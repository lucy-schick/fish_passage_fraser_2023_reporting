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https://d.docs.live.net/d3d3332e1628a93c/Projects/submissions/PSCIS/2023/fraser/phase1/"/>
    </mc:Choice>
  </mc:AlternateContent>
  <xr:revisionPtr revIDLastSave="69" documentId="13_ncr:1_{3C4C01E6-AD7D-E749-8831-185F28D07EF2}" xr6:coauthVersionLast="47" xr6:coauthVersionMax="47" xr10:uidLastSave="{8D6E7860-7A67-B14A-957A-6515173F321D}"/>
  <bookViews>
    <workbookView xWindow="31980" yWindow="-880" windowWidth="30980" windowHeight="17980" firstSheet="1"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50" i="2"/>
  <c r="AM143" i="2"/>
  <c r="AM134" i="2"/>
  <c r="AM127" i="2"/>
  <c r="AM102" i="2"/>
  <c r="AM79" i="2"/>
  <c r="AM78" i="2"/>
  <c r="AM63"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c r="AG7" i="2"/>
  <c r="AH7" i="2"/>
  <c r="AI7" i="2"/>
  <c r="AJ7" i="2"/>
  <c r="AF8" i="2"/>
  <c r="AK8" i="2" s="1"/>
  <c r="AG8" i="2"/>
  <c r="AH8" i="2"/>
  <c r="AI8" i="2"/>
  <c r="AJ8" i="2"/>
  <c r="AF9" i="2"/>
  <c r="AK9" i="2"/>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L15" i="2" s="1"/>
  <c r="AM15" i="2" s="1"/>
  <c r="AF16" i="2"/>
  <c r="AK16" i="2" s="1"/>
  <c r="AG16" i="2"/>
  <c r="AH16" i="2"/>
  <c r="AI16" i="2"/>
  <c r="AJ16" i="2"/>
  <c r="AF17" i="2"/>
  <c r="AK17" i="2"/>
  <c r="AG17" i="2"/>
  <c r="AH17" i="2"/>
  <c r="AI17" i="2"/>
  <c r="AJ17" i="2"/>
  <c r="AF18" i="2"/>
  <c r="AK18" i="2" s="1"/>
  <c r="AL18" i="2" s="1"/>
  <c r="AM18" i="2" s="1"/>
  <c r="AG18" i="2"/>
  <c r="AH18" i="2"/>
  <c r="AI18" i="2"/>
  <c r="AJ18" i="2"/>
  <c r="AF19" i="2"/>
  <c r="AK19" i="2"/>
  <c r="AG19" i="2"/>
  <c r="AL19" i="2" s="1"/>
  <c r="AM19" i="2" s="1"/>
  <c r="AH19" i="2"/>
  <c r="AI19" i="2"/>
  <c r="AJ19" i="2"/>
  <c r="AF20" i="2"/>
  <c r="AK20" i="2" s="1"/>
  <c r="AG20" i="2"/>
  <c r="AH20" i="2"/>
  <c r="AI20" i="2"/>
  <c r="AJ20" i="2"/>
  <c r="AF21" i="2"/>
  <c r="AK21" i="2"/>
  <c r="AG21" i="2"/>
  <c r="AH21" i="2"/>
  <c r="AI21" i="2"/>
  <c r="AJ21" i="2"/>
  <c r="AF22" i="2"/>
  <c r="AK22" i="2" s="1"/>
  <c r="AG22" i="2"/>
  <c r="AH22" i="2"/>
  <c r="AL22" i="2" s="1"/>
  <c r="AM22" i="2" s="1"/>
  <c r="AI22" i="2"/>
  <c r="AJ22" i="2"/>
  <c r="AF23" i="2"/>
  <c r="AK23" i="2"/>
  <c r="AG23" i="2"/>
  <c r="AH23" i="2"/>
  <c r="AI23" i="2"/>
  <c r="AJ23" i="2"/>
  <c r="AL23" i="2" s="1"/>
  <c r="AM23" i="2" s="1"/>
  <c r="AF24" i="2"/>
  <c r="AK24" i="2" s="1"/>
  <c r="AG24" i="2"/>
  <c r="AH24" i="2"/>
  <c r="AI24" i="2"/>
  <c r="AL24" i="2" s="1"/>
  <c r="AM24" i="2" s="1"/>
  <c r="AJ24" i="2"/>
  <c r="AF25" i="2"/>
  <c r="AK25" i="2"/>
  <c r="AG25" i="2"/>
  <c r="AL25" i="2" s="1"/>
  <c r="AM25" i="2" s="1"/>
  <c r="AH25" i="2"/>
  <c r="AI25" i="2"/>
  <c r="AJ25" i="2"/>
  <c r="AF26" i="2"/>
  <c r="AK26" i="2" s="1"/>
  <c r="AL26" i="2" s="1"/>
  <c r="AM26" i="2" s="1"/>
  <c r="AG26" i="2"/>
  <c r="AH26" i="2"/>
  <c r="AI26" i="2"/>
  <c r="AJ26" i="2"/>
  <c r="AF27" i="2"/>
  <c r="AK27" i="2"/>
  <c r="AG27" i="2"/>
  <c r="AH27" i="2"/>
  <c r="AI27" i="2"/>
  <c r="AJ27" i="2"/>
  <c r="AF28" i="2"/>
  <c r="AK28" i="2" s="1"/>
  <c r="AL28" i="2" s="1"/>
  <c r="AM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L33" i="2" s="1"/>
  <c r="AM33" i="2" s="1"/>
  <c r="AH33" i="2"/>
  <c r="AI33" i="2"/>
  <c r="AJ33" i="2"/>
  <c r="AF34" i="2"/>
  <c r="AK34" i="2" s="1"/>
  <c r="AL34" i="2" s="1"/>
  <c r="AM34" i="2" s="1"/>
  <c r="AG34" i="2"/>
  <c r="AH34" i="2"/>
  <c r="AI34" i="2"/>
  <c r="AJ34" i="2"/>
  <c r="AF35" i="2"/>
  <c r="AK35" i="2"/>
  <c r="AG35" i="2"/>
  <c r="AL35" i="2" s="1"/>
  <c r="AM35" i="2" s="1"/>
  <c r="AH35" i="2"/>
  <c r="AI35" i="2"/>
  <c r="AJ35" i="2"/>
  <c r="AF36" i="2"/>
  <c r="AK36" i="2" s="1"/>
  <c r="AG36" i="2"/>
  <c r="AH36" i="2"/>
  <c r="AI36" i="2"/>
  <c r="AJ36" i="2"/>
  <c r="AF37" i="2"/>
  <c r="AK37" i="2"/>
  <c r="AG37" i="2"/>
  <c r="AH37" i="2"/>
  <c r="AI37" i="2"/>
  <c r="AJ37" i="2"/>
  <c r="AF38" i="2"/>
  <c r="AK38" i="2" s="1"/>
  <c r="AG38" i="2"/>
  <c r="AH38" i="2"/>
  <c r="AL38" i="2" s="1"/>
  <c r="AM38" i="2" s="1"/>
  <c r="AI38" i="2"/>
  <c r="AJ38" i="2"/>
  <c r="AF39" i="2"/>
  <c r="AK39" i="2"/>
  <c r="AG39" i="2"/>
  <c r="AH39" i="2"/>
  <c r="AI39" i="2"/>
  <c r="AJ39" i="2"/>
  <c r="AL39" i="2" s="1"/>
  <c r="AM39" i="2" s="1"/>
  <c r="AF40" i="2"/>
  <c r="AK40" i="2" s="1"/>
  <c r="AG40" i="2"/>
  <c r="AH40" i="2"/>
  <c r="AI40" i="2"/>
  <c r="AJ40" i="2"/>
  <c r="AF41" i="2"/>
  <c r="AK41" i="2"/>
  <c r="AG41" i="2"/>
  <c r="AL41" i="2" s="1"/>
  <c r="AM41" i="2" s="1"/>
  <c r="AH41" i="2"/>
  <c r="AI41" i="2"/>
  <c r="AJ41" i="2"/>
  <c r="AF42" i="2"/>
  <c r="AK42" i="2" s="1"/>
  <c r="AG42" i="2"/>
  <c r="AH42" i="2"/>
  <c r="AI42" i="2"/>
  <c r="AJ42" i="2"/>
  <c r="AF43" i="2"/>
  <c r="AK43" i="2"/>
  <c r="AG43" i="2"/>
  <c r="AL43" i="2" s="1"/>
  <c r="AM43" i="2" s="1"/>
  <c r="AH43" i="2"/>
  <c r="AI43" i="2"/>
  <c r="AJ43" i="2"/>
  <c r="AF44" i="2"/>
  <c r="AK44" i="2" s="1"/>
  <c r="AL44" i="2" s="1"/>
  <c r="AM44" i="2" s="1"/>
  <c r="AG44" i="2"/>
  <c r="AH44" i="2"/>
  <c r="AI44" i="2"/>
  <c r="AJ44" i="2"/>
  <c r="AF45" i="2"/>
  <c r="AK45" i="2"/>
  <c r="AG45" i="2"/>
  <c r="AL45" i="2" s="1"/>
  <c r="AM45" i="2" s="1"/>
  <c r="AH45" i="2"/>
  <c r="AI45" i="2"/>
  <c r="AJ45" i="2"/>
  <c r="AF46" i="2"/>
  <c r="AK46" i="2" s="1"/>
  <c r="AG46" i="2"/>
  <c r="AH46" i="2"/>
  <c r="AL46" i="2" s="1"/>
  <c r="AM46" i="2" s="1"/>
  <c r="AI46" i="2"/>
  <c r="AJ46" i="2"/>
  <c r="AF47" i="2"/>
  <c r="AK47" i="2"/>
  <c r="AG47" i="2"/>
  <c r="AH47" i="2"/>
  <c r="AI47" i="2"/>
  <c r="AJ47" i="2"/>
  <c r="AL47" i="2" s="1"/>
  <c r="AM47" i="2" s="1"/>
  <c r="AF48" i="2"/>
  <c r="AK48" i="2" s="1"/>
  <c r="AG48" i="2"/>
  <c r="AH48" i="2"/>
  <c r="AL48" i="2" s="1"/>
  <c r="AM48" i="2" s="1"/>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L53" i="2" s="1"/>
  <c r="AM53" i="2" s="1"/>
  <c r="AH53" i="2"/>
  <c r="AI53" i="2"/>
  <c r="AJ53" i="2"/>
  <c r="AF54" i="2"/>
  <c r="AK54" i="2" s="1"/>
  <c r="AG54" i="2"/>
  <c r="AH54" i="2"/>
  <c r="AI54" i="2"/>
  <c r="AJ54" i="2"/>
  <c r="AF55" i="2"/>
  <c r="AK55" i="2" s="1"/>
  <c r="AG55" i="2"/>
  <c r="AH55" i="2"/>
  <c r="AI55" i="2"/>
  <c r="AJ55" i="2"/>
  <c r="AF56" i="2"/>
  <c r="AK56" i="2" s="1"/>
  <c r="AG56" i="2"/>
  <c r="AL56" i="2" s="1"/>
  <c r="AM56" i="2" s="1"/>
  <c r="AH56" i="2"/>
  <c r="AI56" i="2"/>
  <c r="AJ56" i="2"/>
  <c r="AF57" i="2"/>
  <c r="AK57" i="2" s="1"/>
  <c r="AG57" i="2"/>
  <c r="AH57" i="2"/>
  <c r="AI57" i="2"/>
  <c r="AJ57" i="2"/>
  <c r="AF58" i="2"/>
  <c r="AK58" i="2" s="1"/>
  <c r="AG58" i="2"/>
  <c r="AH58" i="2"/>
  <c r="AI58" i="2"/>
  <c r="AL58" i="2" s="1"/>
  <c r="AM58" i="2" s="1"/>
  <c r="AJ58" i="2"/>
  <c r="AF59" i="2"/>
  <c r="AK59" i="2" s="1"/>
  <c r="AG59" i="2"/>
  <c r="AH59" i="2"/>
  <c r="AI59" i="2"/>
  <c r="AJ59" i="2"/>
  <c r="AF60" i="2"/>
  <c r="AK60" i="2" s="1"/>
  <c r="AG60" i="2"/>
  <c r="AL60" i="2" s="1"/>
  <c r="AM60" i="2" s="1"/>
  <c r="AH60" i="2"/>
  <c r="AI60" i="2"/>
  <c r="AJ60" i="2"/>
  <c r="AF61" i="2"/>
  <c r="AK61" i="2" s="1"/>
  <c r="AG61" i="2"/>
  <c r="AH61" i="2"/>
  <c r="AI61" i="2"/>
  <c r="AJ61" i="2"/>
  <c r="AL61" i="2" s="1"/>
  <c r="AM61" i="2" s="1"/>
  <c r="AF62" i="2"/>
  <c r="AK62" i="2" s="1"/>
  <c r="AL62" i="2" s="1"/>
  <c r="AM62" i="2" s="1"/>
  <c r="AG62" i="2"/>
  <c r="AH62" i="2"/>
  <c r="AI62" i="2"/>
  <c r="AJ62" i="2"/>
  <c r="AF63" i="2"/>
  <c r="AK63" i="2" s="1"/>
  <c r="AG63" i="2"/>
  <c r="AL63" i="2" s="1"/>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L67" i="2" s="1"/>
  <c r="AM67" i="2" s="1"/>
  <c r="AH67" i="2"/>
  <c r="AI67" i="2"/>
  <c r="AJ67" i="2"/>
  <c r="AF68" i="2"/>
  <c r="AK68" i="2" s="1"/>
  <c r="AG68" i="2"/>
  <c r="AH68" i="2"/>
  <c r="AI68" i="2"/>
  <c r="AJ68" i="2"/>
  <c r="AF69" i="2"/>
  <c r="AK69" i="2" s="1"/>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L86" i="2" s="1"/>
  <c r="AM86" i="2" s="1"/>
  <c r="AI86" i="2"/>
  <c r="AJ86" i="2"/>
  <c r="AF87" i="2"/>
  <c r="AK87" i="2" s="1"/>
  <c r="AG87" i="2"/>
  <c r="AL87" i="2" s="1"/>
  <c r="AM87" i="2" s="1"/>
  <c r="AH87" i="2"/>
  <c r="AI87" i="2"/>
  <c r="AJ87" i="2"/>
  <c r="AF88" i="2"/>
  <c r="AK88" i="2" s="1"/>
  <c r="AG88" i="2"/>
  <c r="AH88" i="2"/>
  <c r="AI88" i="2"/>
  <c r="AJ88" i="2"/>
  <c r="AL88" i="2" s="1"/>
  <c r="AM88" i="2" s="1"/>
  <c r="AF89" i="2"/>
  <c r="AK89" i="2" s="1"/>
  <c r="AG89" i="2"/>
  <c r="AH89" i="2"/>
  <c r="AI89" i="2"/>
  <c r="AJ89" i="2"/>
  <c r="AF90" i="2"/>
  <c r="AK90" i="2" s="1"/>
  <c r="AG90" i="2"/>
  <c r="AH90" i="2"/>
  <c r="AL90" i="2" s="1"/>
  <c r="AM90" i="2" s="1"/>
  <c r="AI90" i="2"/>
  <c r="AJ90" i="2"/>
  <c r="AF91" i="2"/>
  <c r="AK91" i="2" s="1"/>
  <c r="AG91" i="2"/>
  <c r="AH91" i="2"/>
  <c r="AI91" i="2"/>
  <c r="AJ91" i="2"/>
  <c r="AF92" i="2"/>
  <c r="AK92" i="2" s="1"/>
  <c r="AG92" i="2"/>
  <c r="AH92" i="2"/>
  <c r="AI92" i="2"/>
  <c r="AJ92" i="2"/>
  <c r="AL92" i="2" s="1"/>
  <c r="AM92" i="2" s="1"/>
  <c r="AF93" i="2"/>
  <c r="AK93" i="2" s="1"/>
  <c r="AG93" i="2"/>
  <c r="AH93" i="2"/>
  <c r="AI93" i="2"/>
  <c r="AL93" i="2" s="1"/>
  <c r="AM93" i="2" s="1"/>
  <c r="AJ93" i="2"/>
  <c r="AF94" i="2"/>
  <c r="AK94" i="2" s="1"/>
  <c r="AG94" i="2"/>
  <c r="AH94" i="2"/>
  <c r="AI94" i="2"/>
  <c r="AJ94" i="2"/>
  <c r="AF95" i="2"/>
  <c r="AK95" i="2" s="1"/>
  <c r="AG95" i="2"/>
  <c r="AL95" i="2" s="1"/>
  <c r="AM95" i="2" s="1"/>
  <c r="AH95" i="2"/>
  <c r="AI95" i="2"/>
  <c r="AJ95" i="2"/>
  <c r="AF96" i="2"/>
  <c r="AK96" i="2" s="1"/>
  <c r="AG96" i="2"/>
  <c r="AH96" i="2"/>
  <c r="AI96" i="2"/>
  <c r="AJ96" i="2"/>
  <c r="AF97" i="2"/>
  <c r="AK97" i="2" s="1"/>
  <c r="AG97" i="2"/>
  <c r="AH97" i="2"/>
  <c r="AI97" i="2"/>
  <c r="AL97" i="2" s="1"/>
  <c r="AM97" i="2" s="1"/>
  <c r="AJ97" i="2"/>
  <c r="AF98" i="2"/>
  <c r="AK98" i="2" s="1"/>
  <c r="AG98" i="2"/>
  <c r="AH98" i="2"/>
  <c r="AI98" i="2"/>
  <c r="AJ98" i="2"/>
  <c r="AF99" i="2"/>
  <c r="AK99" i="2" s="1"/>
  <c r="AG99" i="2"/>
  <c r="AL99" i="2" s="1"/>
  <c r="AM99" i="2" s="1"/>
  <c r="AH99" i="2"/>
  <c r="AI99" i="2"/>
  <c r="AJ99" i="2"/>
  <c r="AF100" i="2"/>
  <c r="AK100" i="2" s="1"/>
  <c r="AG100" i="2"/>
  <c r="AH100" i="2"/>
  <c r="AI100" i="2"/>
  <c r="AJ100" i="2"/>
  <c r="AF101" i="2"/>
  <c r="AK101" i="2" s="1"/>
  <c r="AG101" i="2"/>
  <c r="AH101" i="2"/>
  <c r="AI101" i="2"/>
  <c r="AJ101" i="2"/>
  <c r="AF102" i="2"/>
  <c r="AK102" i="2"/>
  <c r="AG102" i="2"/>
  <c r="AL102" i="2" s="1"/>
  <c r="AH102" i="2"/>
  <c r="AI102" i="2"/>
  <c r="AJ102" i="2"/>
  <c r="AF103" i="2"/>
  <c r="AK103" i="2" s="1"/>
  <c r="AG103" i="2"/>
  <c r="AH103" i="2"/>
  <c r="AI103" i="2"/>
  <c r="AJ103" i="2"/>
  <c r="AF104" i="2"/>
  <c r="AK104" i="2" s="1"/>
  <c r="AG104" i="2"/>
  <c r="AH104" i="2"/>
  <c r="AI104" i="2"/>
  <c r="AL104" i="2" s="1"/>
  <c r="AM104" i="2" s="1"/>
  <c r="AJ104" i="2"/>
  <c r="AF105" i="2"/>
  <c r="AK105" i="2" s="1"/>
  <c r="AG105" i="2"/>
  <c r="AH105" i="2"/>
  <c r="AI105" i="2"/>
  <c r="AJ105" i="2"/>
  <c r="AF106" i="2"/>
  <c r="AK106" i="2" s="1"/>
  <c r="AG106" i="2"/>
  <c r="AL106" i="2" s="1"/>
  <c r="AM106" i="2" s="1"/>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L115" i="2" s="1"/>
  <c r="AM115" i="2" s="1"/>
  <c r="AJ115" i="2"/>
  <c r="AF116" i="2"/>
  <c r="AK116" i="2" s="1"/>
  <c r="AG116" i="2"/>
  <c r="AH116" i="2"/>
  <c r="AI116" i="2"/>
  <c r="AJ116" i="2"/>
  <c r="AF117" i="2"/>
  <c r="AK117" i="2" s="1"/>
  <c r="AG117" i="2"/>
  <c r="AL117" i="2" s="1"/>
  <c r="AM117" i="2" s="1"/>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L121" i="2" s="1"/>
  <c r="AM121" i="2" s="1"/>
  <c r="AF122" i="2"/>
  <c r="AK122" i="2" s="1"/>
  <c r="AG122" i="2"/>
  <c r="AH122" i="2"/>
  <c r="AI122" i="2"/>
  <c r="AJ122" i="2"/>
  <c r="AF123" i="2"/>
  <c r="AK123" i="2" s="1"/>
  <c r="AG123" i="2"/>
  <c r="AH123" i="2"/>
  <c r="AL123" i="2" s="1"/>
  <c r="AM123" i="2" s="1"/>
  <c r="AI123" i="2"/>
  <c r="AJ123" i="2"/>
  <c r="AF124" i="2"/>
  <c r="AK124" i="2" s="1"/>
  <c r="AG124" i="2"/>
  <c r="AH124" i="2"/>
  <c r="AI124" i="2"/>
  <c r="AJ124" i="2"/>
  <c r="AF125" i="2"/>
  <c r="AK125" i="2" s="1"/>
  <c r="AG125" i="2"/>
  <c r="AH125" i="2"/>
  <c r="AI125" i="2"/>
  <c r="AJ125" i="2"/>
  <c r="AF126" i="2"/>
  <c r="AK126" i="2" s="1"/>
  <c r="AL126" i="2" s="1"/>
  <c r="AM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c r="AG134" i="2"/>
  <c r="AL134" i="2" s="1"/>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L150" i="2" s="1"/>
  <c r="AH150" i="2"/>
  <c r="AI150" i="2"/>
  <c r="AJ150" i="2"/>
  <c r="AF151" i="2"/>
  <c r="AK151" i="2" s="1"/>
  <c r="AG151" i="2"/>
  <c r="AH151" i="2"/>
  <c r="AI151" i="2"/>
  <c r="AJ151" i="2"/>
  <c r="AF152" i="2"/>
  <c r="AK152" i="2" s="1"/>
  <c r="AG152" i="2"/>
  <c r="AH152" i="2"/>
  <c r="AI152" i="2"/>
  <c r="AL152" i="2" s="1"/>
  <c r="AM152" i="2" s="1"/>
  <c r="AJ152" i="2"/>
  <c r="AF153" i="2"/>
  <c r="AK153" i="2" s="1"/>
  <c r="AG153" i="2"/>
  <c r="AH153" i="2"/>
  <c r="AI153" i="2"/>
  <c r="AJ153" i="2"/>
  <c r="AF154" i="2"/>
  <c r="AK154" i="2" s="1"/>
  <c r="AG154" i="2"/>
  <c r="AL154" i="2" s="1"/>
  <c r="AM154" i="2" s="1"/>
  <c r="AH154" i="2"/>
  <c r="AI154" i="2"/>
  <c r="AJ154" i="2"/>
  <c r="AF155" i="2"/>
  <c r="AK155" i="2" s="1"/>
  <c r="AG155" i="2"/>
  <c r="AH155" i="2"/>
  <c r="AI155" i="2"/>
  <c r="AJ155" i="2"/>
  <c r="AF156" i="2"/>
  <c r="AK156" i="2" s="1"/>
  <c r="AG156" i="2"/>
  <c r="AH156" i="2"/>
  <c r="AI156" i="2"/>
  <c r="AL156" i="2" s="1"/>
  <c r="AM156" i="2" s="1"/>
  <c r="AJ156" i="2"/>
  <c r="AF157" i="2"/>
  <c r="AK157" i="2" s="1"/>
  <c r="AG157" i="2"/>
  <c r="AH157" i="2"/>
  <c r="AL157" i="2" s="1"/>
  <c r="AM157" i="2" s="1"/>
  <c r="AI157" i="2"/>
  <c r="AJ157" i="2"/>
  <c r="AF158" i="2"/>
  <c r="AK158" i="2"/>
  <c r="AG158" i="2"/>
  <c r="AH158" i="2"/>
  <c r="AI158" i="2"/>
  <c r="AJ158" i="2"/>
  <c r="AL158" i="2" s="1"/>
  <c r="AM158" i="2" s="1"/>
  <c r="AF159" i="2"/>
  <c r="AK159" i="2" s="1"/>
  <c r="AG159" i="2"/>
  <c r="AH159" i="2"/>
  <c r="AI159" i="2"/>
  <c r="AL159" i="2" s="1"/>
  <c r="AM159" i="2" s="1"/>
  <c r="AJ159" i="2"/>
  <c r="AF160" i="2"/>
  <c r="AK160" i="2" s="1"/>
  <c r="AG160" i="2"/>
  <c r="AH160" i="2"/>
  <c r="AL160" i="2" s="1"/>
  <c r="AM160" i="2" s="1"/>
  <c r="AI160" i="2"/>
  <c r="AJ160" i="2"/>
  <c r="AF161" i="2"/>
  <c r="AK161" i="2" s="1"/>
  <c r="AG161" i="2"/>
  <c r="AL161" i="2" s="1"/>
  <c r="AM161" i="2" s="1"/>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L167" i="2" s="1"/>
  <c r="AM167" i="2" s="1"/>
  <c r="AH167" i="2"/>
  <c r="AI167" i="2"/>
  <c r="AJ167" i="2"/>
  <c r="AF168" i="2"/>
  <c r="AK168" i="2" s="1"/>
  <c r="AG168" i="2"/>
  <c r="AH168" i="2"/>
  <c r="AI168" i="2"/>
  <c r="AJ168" i="2"/>
  <c r="AF169" i="2"/>
  <c r="AK169" i="2" s="1"/>
  <c r="AG169" i="2"/>
  <c r="AH169" i="2"/>
  <c r="AI169" i="2"/>
  <c r="AL169" i="2" s="1"/>
  <c r="AM169" i="2" s="1"/>
  <c r="AJ169" i="2"/>
  <c r="AF170" i="2"/>
  <c r="AK170" i="2"/>
  <c r="AG170" i="2"/>
  <c r="AL170" i="2" s="1"/>
  <c r="AM170" i="2" s="1"/>
  <c r="AH170" i="2"/>
  <c r="AI170" i="2"/>
  <c r="AJ170" i="2"/>
  <c r="AF171" i="2"/>
  <c r="AK171" i="2" s="1"/>
  <c r="AG171" i="2"/>
  <c r="AH171" i="2"/>
  <c r="AI171" i="2"/>
  <c r="AJ171" i="2"/>
  <c r="AF172" i="2"/>
  <c r="AK172" i="2" s="1"/>
  <c r="AG172" i="2"/>
  <c r="AH172" i="2"/>
  <c r="AL172" i="2" s="1"/>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L180" i="2" s="1"/>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L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L947" i="2" s="1"/>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I1275" i="2"/>
  <c r="AL1275" i="2" s="1"/>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L2149" i="2" s="1"/>
  <c r="AG2149" i="2"/>
  <c r="AH2149" i="2"/>
  <c r="AI2149" i="2"/>
  <c r="AJ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L2199" i="2" s="1"/>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L2224" i="2" s="1"/>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L2255" i="2" s="1"/>
  <c r="AH2255" i="2"/>
  <c r="AI2255" i="2"/>
  <c r="AJ2255" i="2"/>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L2263" i="2" s="1"/>
  <c r="AH2263" i="2"/>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s="1"/>
  <c r="AG2357" i="2"/>
  <c r="AH2357" i="2"/>
  <c r="AL2357" i="2" s="1"/>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L2364" i="2" s="1"/>
  <c r="AJ2364" i="2"/>
  <c r="AF2365" i="2"/>
  <c r="AK2365" i="2"/>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L2416" i="2" s="1"/>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c r="AG2432" i="2"/>
  <c r="AH2432" i="2"/>
  <c r="AI2432" i="2"/>
  <c r="AL2432" i="2" s="1"/>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s="1"/>
  <c r="AF2523" i="2"/>
  <c r="AK2523" i="2" s="1"/>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s="1"/>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L2641" i="2" s="1"/>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L2674" i="2" s="1"/>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L2851" i="2" s="1"/>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L3158" i="2" s="1"/>
  <c r="AG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L3307" i="2" s="1"/>
  <c r="AJ3307" i="2"/>
  <c r="AF3308" i="2"/>
  <c r="AK3308" i="2"/>
  <c r="AG3308" i="2"/>
  <c r="AH3308" i="2"/>
  <c r="AI3308" i="2"/>
  <c r="AJ3308" i="2"/>
  <c r="AF3309" i="2"/>
  <c r="AK3309" i="2" s="1"/>
  <c r="AG3309" i="2"/>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L3467" i="2" s="1"/>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L3493" i="2" s="1"/>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L3530" i="2" s="1"/>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s="1"/>
  <c r="AG3555" i="2"/>
  <c r="AH3555" i="2"/>
  <c r="AI3555" i="2"/>
  <c r="AL3555" i="2" s="1"/>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L3757" i="2" s="1"/>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L3856" i="2" s="1"/>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L3899" i="2" s="1"/>
  <c r="AG3899" i="2"/>
  <c r="AH3899" i="2"/>
  <c r="AI3899" i="2"/>
  <c r="AJ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L3928" i="2" s="1"/>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s="1"/>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L3993" i="2" s="1"/>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L4116" i="2" s="1"/>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s="1"/>
  <c r="AG4193" i="2"/>
  <c r="AH4193" i="2"/>
  <c r="AI4193" i="2"/>
  <c r="AJ4193" i="2"/>
  <c r="AF4194" i="2"/>
  <c r="AK4194" i="2"/>
  <c r="AG4194" i="2"/>
  <c r="AH4194" i="2"/>
  <c r="AI4194" i="2"/>
  <c r="AJ4194" i="2"/>
  <c r="AL4194" i="2" s="1"/>
  <c r="AF4195" i="2"/>
  <c r="AK4195" i="2" s="1"/>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L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J4250" i="2"/>
  <c r="AF4251" i="2"/>
  <c r="AK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G4257" i="2"/>
  <c r="AH4257" i="2"/>
  <c r="AL4257" i="2" s="1"/>
  <c r="AI4257" i="2"/>
  <c r="AJ4257" i="2"/>
  <c r="AF4258" i="2"/>
  <c r="AK4258" i="2"/>
  <c r="AG4258" i="2"/>
  <c r="AH4258" i="2"/>
  <c r="AI4258" i="2"/>
  <c r="AL4258" i="2" s="1"/>
  <c r="AJ4258" i="2"/>
  <c r="AF4259" i="2"/>
  <c r="AK4259" i="2" s="1"/>
  <c r="AG4259" i="2"/>
  <c r="AL4259" i="2" s="1"/>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L4265" i="2" s="1"/>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K4270" i="2" s="1"/>
  <c r="AG4270" i="2"/>
  <c r="AH4270" i="2"/>
  <c r="AI4270" i="2"/>
  <c r="AJ4270" i="2"/>
  <c r="AF4271" i="2"/>
  <c r="AK4271" i="2"/>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L4295" i="2" s="1"/>
  <c r="AH4295" i="2"/>
  <c r="AI4295" i="2"/>
  <c r="AJ4295" i="2"/>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I4360" i="2"/>
  <c r="AL4360" i="2" s="1"/>
  <c r="AJ4360" i="2"/>
  <c r="AF4361" i="2"/>
  <c r="AK4361" i="2" s="1"/>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L4371" i="2" s="1"/>
  <c r="AH4371" i="2"/>
  <c r="AI4371" i="2"/>
  <c r="AJ4371" i="2"/>
  <c r="AF4372" i="2"/>
  <c r="AK4372" i="2"/>
  <c r="AG4372" i="2"/>
  <c r="AH4372" i="2"/>
  <c r="AI4372" i="2"/>
  <c r="AJ4372" i="2"/>
  <c r="AF4373" i="2"/>
  <c r="AK4373" i="2" s="1"/>
  <c r="AG4373" i="2"/>
  <c r="AH4373" i="2"/>
  <c r="AI4373" i="2"/>
  <c r="AJ4373" i="2"/>
  <c r="AL4373" i="2" s="1"/>
  <c r="AF4374" i="2"/>
  <c r="AK4374" i="2"/>
  <c r="AG4374" i="2"/>
  <c r="AH4374" i="2"/>
  <c r="AI4374" i="2"/>
  <c r="AJ4374" i="2"/>
  <c r="AF4375" i="2"/>
  <c r="AK4375" i="2"/>
  <c r="AG4375" i="2"/>
  <c r="AH4375" i="2"/>
  <c r="AI4375" i="2"/>
  <c r="AJ4375" i="2"/>
  <c r="AF4376" i="2"/>
  <c r="AK4376" i="2"/>
  <c r="AG4376" i="2"/>
  <c r="AH4376" i="2"/>
  <c r="AL4376" i="2" s="1"/>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I4389" i="2"/>
  <c r="AJ4389" i="2"/>
  <c r="AF4390" i="2"/>
  <c r="AK4390" i="2"/>
  <c r="AG4390" i="2"/>
  <c r="AL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c r="AG4403" i="2"/>
  <c r="AL4403" i="2"/>
  <c r="AH4403" i="2"/>
  <c r="AI4403" i="2"/>
  <c r="AJ4403" i="2"/>
  <c r="AF4404" i="2"/>
  <c r="AK4404" i="2" s="1"/>
  <c r="AG4404" i="2"/>
  <c r="AH4404" i="2"/>
  <c r="AI4404" i="2"/>
  <c r="AJ4404" i="2"/>
  <c r="AF4405" i="2"/>
  <c r="AK4405" i="2" s="1"/>
  <c r="AG4405" i="2"/>
  <c r="AH4405" i="2"/>
  <c r="AI4405" i="2"/>
  <c r="AJ4405" i="2"/>
  <c r="AF4406" i="2"/>
  <c r="AG4406" i="2"/>
  <c r="AH4406" i="2"/>
  <c r="AI4406" i="2"/>
  <c r="AJ4406" i="2"/>
  <c r="AL4406" i="2"/>
  <c r="AK4406" i="2"/>
  <c r="AF4407" i="2"/>
  <c r="AK4407" i="2" s="1"/>
  <c r="AL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L4422" i="2" s="1"/>
  <c r="AH4422" i="2"/>
  <c r="AI4422" i="2"/>
  <c r="AJ4422" i="2"/>
  <c r="AF4423" i="2"/>
  <c r="AK4423" i="2"/>
  <c r="AG4423" i="2"/>
  <c r="AH4423" i="2"/>
  <c r="AI4423" i="2"/>
  <c r="AL4423" i="2" s="1"/>
  <c r="AJ4423" i="2"/>
  <c r="AF4424" i="2"/>
  <c r="AK4424" i="2" s="1"/>
  <c r="AG4424" i="2"/>
  <c r="AL4424" i="2" s="1"/>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L4430" i="2" s="1"/>
  <c r="AH4430" i="2"/>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L4448" i="2" s="1"/>
  <c r="AI4448" i="2"/>
  <c r="AJ4448" i="2"/>
  <c r="AF4449" i="2"/>
  <c r="AK4449" i="2"/>
  <c r="AG4449" i="2"/>
  <c r="AH4449" i="2"/>
  <c r="AI4449" i="2"/>
  <c r="AJ4449" i="2"/>
  <c r="AF4450" i="2"/>
  <c r="AK4450" i="2"/>
  <c r="AG4450" i="2"/>
  <c r="AL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F4458" i="2"/>
  <c r="AK4458" i="2" s="1"/>
  <c r="AL4458" i="2" s="1"/>
  <c r="AG4458" i="2"/>
  <c r="AH4458" i="2"/>
  <c r="AI4458" i="2"/>
  <c r="AJ4458" i="2"/>
  <c r="AF4459" i="2"/>
  <c r="AK4459" i="2"/>
  <c r="AG4459" i="2"/>
  <c r="AH4459" i="2"/>
  <c r="AI4459" i="2"/>
  <c r="AJ4459" i="2"/>
  <c r="AF4460" i="2"/>
  <c r="AK4460" i="2"/>
  <c r="AG4460" i="2"/>
  <c r="AH4460" i="2"/>
  <c r="AI4460" i="2"/>
  <c r="AJ4460" i="2"/>
  <c r="AF4461" i="2"/>
  <c r="AK4461" i="2" s="1"/>
  <c r="AG4461" i="2"/>
  <c r="AH4461" i="2"/>
  <c r="AI4461" i="2"/>
  <c r="AJ4461" i="2"/>
  <c r="AF4462" i="2"/>
  <c r="AK4462" i="2" s="1"/>
  <c r="AG4462" i="2"/>
  <c r="AH4462" i="2"/>
  <c r="AI4462" i="2"/>
  <c r="AL4462" i="2" s="1"/>
  <c r="AJ4462" i="2"/>
  <c r="AF4463" i="2"/>
  <c r="AK4463" i="2"/>
  <c r="AG4463" i="2"/>
  <c r="AH4463" i="2"/>
  <c r="AI4463" i="2"/>
  <c r="AJ4463" i="2"/>
  <c r="AF4464" i="2"/>
  <c r="AK4464" i="2" s="1"/>
  <c r="AG4464" i="2"/>
  <c r="AL4464" i="2" s="1"/>
  <c r="AH4464" i="2"/>
  <c r="AI4464" i="2"/>
  <c r="AJ4464" i="2"/>
  <c r="AF4465" i="2"/>
  <c r="AK4465" i="2"/>
  <c r="AG4465" i="2"/>
  <c r="AH4465" i="2"/>
  <c r="AL4465" i="2" s="1"/>
  <c r="AI4465" i="2"/>
  <c r="AJ4465" i="2"/>
  <c r="AF4466" i="2"/>
  <c r="AK4466" i="2" s="1"/>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s="1"/>
  <c r="AG4473" i="2"/>
  <c r="AH4473" i="2"/>
  <c r="AL4473" i="2" s="1"/>
  <c r="AI4473" i="2"/>
  <c r="AJ4473" i="2"/>
  <c r="AF4474" i="2"/>
  <c r="AK4474" i="2"/>
  <c r="AG4474" i="2"/>
  <c r="AH4474" i="2"/>
  <c r="AI4474" i="2"/>
  <c r="AL4474" i="2" s="1"/>
  <c r="AJ4474" i="2"/>
  <c r="AF4475" i="2"/>
  <c r="AK4475" i="2" s="1"/>
  <c r="AG4475" i="2"/>
  <c r="AH4475" i="2"/>
  <c r="AI4475" i="2"/>
  <c r="AJ4475" i="2"/>
  <c r="AF4476" i="2"/>
  <c r="AK4476" i="2"/>
  <c r="AG4476" i="2"/>
  <c r="AH4476" i="2"/>
  <c r="AI4476" i="2"/>
  <c r="AL4476" i="2" s="1"/>
  <c r="AJ4476" i="2"/>
  <c r="AF4477" i="2"/>
  <c r="AK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L4480" i="2" s="1"/>
  <c r="AJ4480" i="2"/>
  <c r="AF4481" i="2"/>
  <c r="AK4481" i="2" s="1"/>
  <c r="AG4481" i="2"/>
  <c r="AH4481" i="2"/>
  <c r="AI4481" i="2"/>
  <c r="AJ4481" i="2"/>
  <c r="AF4482" i="2"/>
  <c r="AK4482" i="2" s="1"/>
  <c r="AG4482" i="2"/>
  <c r="AH4482" i="2"/>
  <c r="AI4482" i="2"/>
  <c r="AJ4482" i="2"/>
  <c r="AF4483" i="2"/>
  <c r="AK4483" i="2" s="1"/>
  <c r="AG4483" i="2"/>
  <c r="AH4483" i="2"/>
  <c r="AI4483" i="2"/>
  <c r="AJ4483" i="2"/>
  <c r="AL4483" i="2" s="1"/>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L4488" i="2" s="1"/>
  <c r="AF4489" i="2"/>
  <c r="AK4489" i="2"/>
  <c r="AG4489" i="2"/>
  <c r="AH4489" i="2"/>
  <c r="AI4489" i="2"/>
  <c r="AJ4489" i="2"/>
  <c r="AF4490" i="2"/>
  <c r="AK4490" i="2"/>
  <c r="AG4490" i="2"/>
  <c r="AH4490" i="2"/>
  <c r="AI4490" i="2"/>
  <c r="AL4490" i="2" s="1"/>
  <c r="AJ4490" i="2"/>
  <c r="AF4491" i="2"/>
  <c r="AK4491" i="2" s="1"/>
  <c r="AG4491" i="2"/>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L4497" i="2" s="1"/>
  <c r="AJ4497" i="2"/>
  <c r="AF4498" i="2"/>
  <c r="AK4498" i="2" s="1"/>
  <c r="AG4498" i="2"/>
  <c r="AH4498" i="2"/>
  <c r="AI4498" i="2"/>
  <c r="AJ4498" i="2"/>
  <c r="AF4499" i="2"/>
  <c r="AK4499" i="2" s="1"/>
  <c r="AG4499" i="2"/>
  <c r="AH4499" i="2"/>
  <c r="AI4499" i="2"/>
  <c r="AJ4499" i="2"/>
  <c r="AL4499" i="2" s="1"/>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s="1"/>
  <c r="AG4504" i="2"/>
  <c r="AH4504" i="2"/>
  <c r="AI4504" i="2"/>
  <c r="AJ4504" i="2"/>
  <c r="AF4505" i="2"/>
  <c r="AK4505" i="2" s="1"/>
  <c r="AG4505" i="2"/>
  <c r="AH4505" i="2"/>
  <c r="AL4505" i="2" s="1"/>
  <c r="AI4505" i="2"/>
  <c r="AJ4505" i="2"/>
  <c r="AF4506" i="2"/>
  <c r="AK4506" i="2"/>
  <c r="AG4506" i="2"/>
  <c r="AH4506" i="2"/>
  <c r="AI4506" i="2"/>
  <c r="AJ4506" i="2"/>
  <c r="AF4507" i="2"/>
  <c r="AK4507" i="2"/>
  <c r="AG4507" i="2"/>
  <c r="AL4507" i="2"/>
  <c r="AH4507" i="2"/>
  <c r="AI4507" i="2"/>
  <c r="AJ4507" i="2"/>
  <c r="AF4508" i="2"/>
  <c r="AK4508" i="2" s="1"/>
  <c r="AL4508" i="2" s="1"/>
  <c r="AG4508" i="2"/>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L4513" i="2" s="1"/>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L4527" i="2" s="1"/>
  <c r="AI4527" i="2"/>
  <c r="AJ4527" i="2"/>
  <c r="AF4528" i="2"/>
  <c r="AK4528" i="2" s="1"/>
  <c r="AG4528" i="2"/>
  <c r="AH4528" i="2"/>
  <c r="AI4528" i="2"/>
  <c r="AJ4528" i="2"/>
  <c r="AF4529" i="2"/>
  <c r="AK4529" i="2" s="1"/>
  <c r="AG4529" i="2"/>
  <c r="AH4529" i="2"/>
  <c r="AI4529" i="2"/>
  <c r="AJ4529" i="2"/>
  <c r="AF4530" i="2"/>
  <c r="AK4530" i="2" s="1"/>
  <c r="AG4530" i="2"/>
  <c r="AH4530" i="2"/>
  <c r="AI4530" i="2"/>
  <c r="AJ4530" i="2"/>
  <c r="AL4530" i="2"/>
  <c r="AF4531" i="2"/>
  <c r="AK4531" i="2"/>
  <c r="AG4531" i="2"/>
  <c r="AH4531" i="2"/>
  <c r="AL4531" i="2" s="1"/>
  <c r="AI4531" i="2"/>
  <c r="AJ4531" i="2"/>
  <c r="AF4532" i="2"/>
  <c r="AK4532" i="2" s="1"/>
  <c r="AG4532" i="2"/>
  <c r="AL4532" i="2" s="1"/>
  <c r="AH4532" i="2"/>
  <c r="AI4532" i="2"/>
  <c r="AJ4532" i="2"/>
  <c r="AF4533" i="2"/>
  <c r="AK4533" i="2"/>
  <c r="AG4533" i="2"/>
  <c r="AH4533" i="2"/>
  <c r="AI4533" i="2"/>
  <c r="AJ4533" i="2"/>
  <c r="AF4534" i="2"/>
  <c r="AK4534" i="2"/>
  <c r="AG4534" i="2"/>
  <c r="AH4534" i="2"/>
  <c r="AI4534" i="2"/>
  <c r="AL4534" i="2" s="1"/>
  <c r="AJ4534" i="2"/>
  <c r="AF4535" i="2"/>
  <c r="AK4535" i="2" s="1"/>
  <c r="AG4535" i="2"/>
  <c r="AH4535" i="2"/>
  <c r="AI4535" i="2"/>
  <c r="AL4535" i="2" s="1"/>
  <c r="AJ4535" i="2"/>
  <c r="AF4536" i="2"/>
  <c r="AK4536" i="2"/>
  <c r="AG4536" i="2"/>
  <c r="AH4536" i="2"/>
  <c r="AI4536" i="2"/>
  <c r="AL4536" i="2"/>
  <c r="AJ4536" i="2"/>
  <c r="AF4537" i="2"/>
  <c r="AK4537" i="2" s="1"/>
  <c r="AG4537" i="2"/>
  <c r="AH4537" i="2"/>
  <c r="AI4537" i="2"/>
  <c r="AJ4537" i="2"/>
  <c r="AF4538" i="2"/>
  <c r="AK4538" i="2" s="1"/>
  <c r="AG4538" i="2"/>
  <c r="AH4538" i="2"/>
  <c r="AI4538" i="2"/>
  <c r="AJ4538" i="2"/>
  <c r="AF4539" i="2"/>
  <c r="AK4539" i="2"/>
  <c r="AG4539" i="2"/>
  <c r="AL4539" i="2"/>
  <c r="AH4539" i="2"/>
  <c r="AI4539" i="2"/>
  <c r="AJ4539" i="2"/>
  <c r="AF4540" i="2"/>
  <c r="AK4540" i="2" s="1"/>
  <c r="AG4540" i="2"/>
  <c r="AH4540" i="2"/>
  <c r="AI4540" i="2"/>
  <c r="AJ4540" i="2"/>
  <c r="AF4541" i="2"/>
  <c r="AK4541" i="2"/>
  <c r="AG4541" i="2"/>
  <c r="AH4541" i="2"/>
  <c r="AI4541" i="2"/>
  <c r="AJ4541" i="2"/>
  <c r="AF4542" i="2"/>
  <c r="AK4542" i="2"/>
  <c r="AG4542" i="2"/>
  <c r="AH4542" i="2"/>
  <c r="AI4542" i="2"/>
  <c r="AJ4542" i="2"/>
  <c r="AF4543" i="2"/>
  <c r="AK4543" i="2" s="1"/>
  <c r="AG4543" i="2"/>
  <c r="AH4543" i="2"/>
  <c r="AI4543" i="2"/>
  <c r="AJ4543" i="2"/>
  <c r="AF4544" i="2"/>
  <c r="AK4544" i="2" s="1"/>
  <c r="AG4544" i="2"/>
  <c r="AH4544" i="2"/>
  <c r="AL4544" i="2" s="1"/>
  <c r="AI4544" i="2"/>
  <c r="AJ4544" i="2"/>
  <c r="AF4545" i="2"/>
  <c r="AK4545" i="2"/>
  <c r="AG4545" i="2"/>
  <c r="AH4545" i="2"/>
  <c r="AI4545" i="2"/>
  <c r="AJ4545" i="2"/>
  <c r="AF4546" i="2"/>
  <c r="AK4546" i="2"/>
  <c r="AG4546" i="2"/>
  <c r="AL4546" i="2" s="1"/>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G4559" i="2"/>
  <c r="AH4559" i="2"/>
  <c r="AI4559" i="2"/>
  <c r="AJ4559" i="2"/>
  <c r="AL4559" i="2" s="1"/>
  <c r="AF4560" i="2"/>
  <c r="AK4560" i="2"/>
  <c r="AG4560" i="2"/>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L4568" i="2" s="1"/>
  <c r="AF4569" i="2"/>
  <c r="AK4569" i="2"/>
  <c r="AG4569" i="2"/>
  <c r="AL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L4584" i="2" s="1"/>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I4590" i="2"/>
  <c r="AL4590" i="2" s="1"/>
  <c r="AJ4590" i="2"/>
  <c r="AF4591" i="2"/>
  <c r="AK4591" i="2" s="1"/>
  <c r="AG4591" i="2"/>
  <c r="AH4591" i="2"/>
  <c r="AI4591" i="2"/>
  <c r="AJ4591" i="2"/>
  <c r="AF4592" i="2"/>
  <c r="AK4592" i="2" s="1"/>
  <c r="AG4592" i="2"/>
  <c r="AH4592" i="2"/>
  <c r="AI4592" i="2"/>
  <c r="AJ4592" i="2"/>
  <c r="AF4593" i="2"/>
  <c r="AK4593" i="2" s="1"/>
  <c r="AG4593" i="2"/>
  <c r="AH4593" i="2"/>
  <c r="AI4593" i="2"/>
  <c r="AJ4593" i="2"/>
  <c r="AL4593" i="2" s="1"/>
  <c r="AF4594" i="2"/>
  <c r="AK4594" i="2"/>
  <c r="AG4594" i="2"/>
  <c r="AH4594" i="2"/>
  <c r="AI4594" i="2"/>
  <c r="AJ4594" i="2"/>
  <c r="AF4595" i="2"/>
  <c r="AK4595" i="2"/>
  <c r="AG4595" i="2"/>
  <c r="AH4595" i="2"/>
  <c r="AI4595" i="2"/>
  <c r="AL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G4599" i="2"/>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s="1"/>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s="1"/>
  <c r="AG4617" i="2"/>
  <c r="AH4617" i="2"/>
  <c r="AI4617" i="2"/>
  <c r="AJ4617" i="2"/>
  <c r="AF4618" i="2"/>
  <c r="AK4618" i="2" s="1"/>
  <c r="AG4618" i="2"/>
  <c r="AH4618" i="2"/>
  <c r="AL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L4627" i="2" s="1"/>
  <c r="AF4628" i="2"/>
  <c r="AK4628" i="2"/>
  <c r="AG4628" i="2"/>
  <c r="AH4628" i="2"/>
  <c r="AI4628" i="2"/>
  <c r="AJ4628" i="2"/>
  <c r="AF4629" i="2"/>
  <c r="AK4629" i="2" s="1"/>
  <c r="AG4629" i="2"/>
  <c r="AH4629" i="2"/>
  <c r="AI4629" i="2"/>
  <c r="AJ4629" i="2"/>
  <c r="AF4630" i="2"/>
  <c r="AK4630" i="2" s="1"/>
  <c r="AG4630" i="2"/>
  <c r="AH4630" i="2"/>
  <c r="AI4630" i="2"/>
  <c r="AJ4630" i="2"/>
  <c r="AF4631" i="2"/>
  <c r="AK4631" i="2"/>
  <c r="AG4631" i="2"/>
  <c r="AL4631" i="2"/>
  <c r="AH4631" i="2"/>
  <c r="AI4631" i="2"/>
  <c r="AJ4631" i="2"/>
  <c r="AF4632" i="2"/>
  <c r="AK4632" i="2" s="1"/>
  <c r="AG4632" i="2"/>
  <c r="AH4632" i="2"/>
  <c r="AI4632" i="2"/>
  <c r="AJ4632" i="2"/>
  <c r="AF4633" i="2"/>
  <c r="AK4633" i="2" s="1"/>
  <c r="AG4633" i="2"/>
  <c r="AH4633" i="2"/>
  <c r="AI4633" i="2"/>
  <c r="AJ4633" i="2"/>
  <c r="AF4634" i="2"/>
  <c r="AK4634" i="2" s="1"/>
  <c r="AL4634" i="2" s="1"/>
  <c r="AG4634" i="2"/>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I4641" i="2"/>
  <c r="AJ4641" i="2"/>
  <c r="AL4641" i="2" s="1"/>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s="1"/>
  <c r="AH4666" i="2"/>
  <c r="AI4666" i="2"/>
  <c r="AJ4666" i="2"/>
  <c r="AF4667" i="2"/>
  <c r="AK4667" i="2"/>
  <c r="AG4667" i="2"/>
  <c r="AH4667" i="2"/>
  <c r="AI4667" i="2"/>
  <c r="AJ4667" i="2"/>
  <c r="AF4668" i="2"/>
  <c r="AK4668" i="2" s="1"/>
  <c r="AG4668" i="2"/>
  <c r="AH4668" i="2"/>
  <c r="AI4668" i="2"/>
  <c r="AJ4668" i="2"/>
  <c r="AF4669" i="2"/>
  <c r="AK4669" i="2" s="1"/>
  <c r="AG4669" i="2"/>
  <c r="AL4669" i="2" s="1"/>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s="1"/>
  <c r="AG4673" i="2"/>
  <c r="AH4673" i="2"/>
  <c r="AI4673" i="2"/>
  <c r="AJ4673" i="2"/>
  <c r="AF4674" i="2"/>
  <c r="AK4674" i="2"/>
  <c r="AG4674" i="2"/>
  <c r="AH4674" i="2"/>
  <c r="AI4674" i="2"/>
  <c r="AL4674" i="2" s="1"/>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G4681" i="2"/>
  <c r="AH4681" i="2"/>
  <c r="AL4681" i="2"/>
  <c r="AI4681" i="2"/>
  <c r="AJ4681" i="2"/>
  <c r="AF4682" i="2"/>
  <c r="AK4682" i="2"/>
  <c r="AG4682" i="2"/>
  <c r="AH4682" i="2"/>
  <c r="AI4682" i="2"/>
  <c r="AL4682" i="2"/>
  <c r="AJ4682" i="2"/>
  <c r="AF4683" i="2"/>
  <c r="AK4683" i="2" s="1"/>
  <c r="AG4683" i="2"/>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G4697" i="2"/>
  <c r="AH4697" i="2"/>
  <c r="AI4697" i="2"/>
  <c r="AJ4697" i="2"/>
  <c r="AF4698" i="2"/>
  <c r="AK4698" i="2" s="1"/>
  <c r="AG4698" i="2"/>
  <c r="AH4698" i="2"/>
  <c r="AI4698" i="2"/>
  <c r="AJ4698" i="2"/>
  <c r="AF4699" i="2"/>
  <c r="AK4699" i="2" s="1"/>
  <c r="AG4699" i="2"/>
  <c r="AL4699" i="2" s="1"/>
  <c r="AH4699" i="2"/>
  <c r="AI4699" i="2"/>
  <c r="AJ4699" i="2"/>
  <c r="AF4700" i="2"/>
  <c r="AK4700" i="2"/>
  <c r="AG4700" i="2"/>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H4708" i="2"/>
  <c r="AI4708" i="2"/>
  <c r="AJ4708" i="2"/>
  <c r="AF4709" i="2"/>
  <c r="AK4709" i="2" s="1"/>
  <c r="AG4709" i="2"/>
  <c r="AH4709" i="2"/>
  <c r="AI4709" i="2"/>
  <c r="AJ4709" i="2"/>
  <c r="AF4710" i="2"/>
  <c r="AK4710" i="2"/>
  <c r="AG4710" i="2"/>
  <c r="AL4710" i="2"/>
  <c r="AH4710" i="2"/>
  <c r="AI4710" i="2"/>
  <c r="AJ4710" i="2"/>
  <c r="AF4711" i="2"/>
  <c r="AK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L4714" i="2" s="1"/>
  <c r="AH4714" i="2"/>
  <c r="AI4714" i="2"/>
  <c r="AJ4714" i="2"/>
  <c r="AF4715" i="2"/>
  <c r="AK4715" i="2"/>
  <c r="AG4715" i="2"/>
  <c r="AH4715" i="2"/>
  <c r="AI4715" i="2"/>
  <c r="AL4715" i="2" s="1"/>
  <c r="AJ4715" i="2"/>
  <c r="AF4716" i="2"/>
  <c r="AK4716" i="2" s="1"/>
  <c r="AG4716" i="2"/>
  <c r="AH4716" i="2"/>
  <c r="AI4716" i="2"/>
  <c r="AJ4716" i="2"/>
  <c r="AF4717" i="2"/>
  <c r="AK4717" i="2" s="1"/>
  <c r="AG4717" i="2"/>
  <c r="AH4717" i="2"/>
  <c r="AI4717" i="2"/>
  <c r="AJ4717" i="2"/>
  <c r="AF4718" i="2"/>
  <c r="AK4718" i="2"/>
  <c r="AG4718" i="2"/>
  <c r="AL4718" i="2"/>
  <c r="AH4718" i="2"/>
  <c r="AI4718" i="2"/>
  <c r="AJ4718" i="2"/>
  <c r="AF4719" i="2"/>
  <c r="AK4719" i="2" s="1"/>
  <c r="AG4719" i="2"/>
  <c r="AH4719" i="2"/>
  <c r="AI4719" i="2"/>
  <c r="AJ4719" i="2"/>
  <c r="AF4720" i="2"/>
  <c r="AK4720" i="2" s="1"/>
  <c r="AG4720" i="2"/>
  <c r="AH4720" i="2"/>
  <c r="AI4720" i="2"/>
  <c r="AJ4720" i="2"/>
  <c r="AF4721" i="2"/>
  <c r="AK4721" i="2" s="1"/>
  <c r="AG4721" i="2"/>
  <c r="AH4721" i="2"/>
  <c r="AL4721" i="2"/>
  <c r="AI4721" i="2"/>
  <c r="AJ4721" i="2"/>
  <c r="AF4722" i="2"/>
  <c r="AK4722" i="2"/>
  <c r="AG4722" i="2"/>
  <c r="AH4722" i="2"/>
  <c r="AI4722" i="2"/>
  <c r="AL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H4726" i="2"/>
  <c r="AL4726" i="2" s="1"/>
  <c r="AI4726" i="2"/>
  <c r="AJ4726" i="2"/>
  <c r="AF4727" i="2"/>
  <c r="AK4727" i="2" s="1"/>
  <c r="AG4727" i="2"/>
  <c r="AL4727" i="2" s="1"/>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L4744" i="2"/>
  <c r="AI4744" i="2"/>
  <c r="AJ4744" i="2"/>
  <c r="AF4745" i="2"/>
  <c r="AK4745" i="2"/>
  <c r="AG4745" i="2"/>
  <c r="AH4745" i="2"/>
  <c r="AI4745" i="2"/>
  <c r="AJ4745" i="2"/>
  <c r="AF4746" i="2"/>
  <c r="AK4746" i="2" s="1"/>
  <c r="AG4746" i="2"/>
  <c r="AH4746" i="2"/>
  <c r="AL4746" i="2" s="1"/>
  <c r="AI4746" i="2"/>
  <c r="AJ4746" i="2"/>
  <c r="AF4747" i="2"/>
  <c r="AK4747" i="2"/>
  <c r="AG4747" i="2"/>
  <c r="AH4747" i="2"/>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L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H4761" i="2"/>
  <c r="AI4761" i="2"/>
  <c r="AJ4761" i="2"/>
  <c r="AF4762" i="2"/>
  <c r="AK4762" i="2"/>
  <c r="AG4762" i="2"/>
  <c r="AH4762" i="2"/>
  <c r="AI4762" i="2"/>
  <c r="AL4762" i="2" s="1"/>
  <c r="AJ4762" i="2"/>
  <c r="AF4763" i="2"/>
  <c r="AK4763" i="2" s="1"/>
  <c r="AG4763" i="2"/>
  <c r="AH4763" i="2"/>
  <c r="AL4763" i="2" s="1"/>
  <c r="AI4763" i="2"/>
  <c r="AJ4763" i="2"/>
  <c r="AF4764" i="2"/>
  <c r="AK4764" i="2"/>
  <c r="AG4764" i="2"/>
  <c r="AH4764" i="2"/>
  <c r="AI4764" i="2"/>
  <c r="AL4764" i="2" s="1"/>
  <c r="AJ4764" i="2"/>
  <c r="AF4765" i="2"/>
  <c r="AK4765" i="2" s="1"/>
  <c r="AG4765" i="2"/>
  <c r="AL4765" i="2" s="1"/>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H4773" i="2"/>
  <c r="AI4773" i="2"/>
  <c r="AJ4773" i="2"/>
  <c r="AL4773" i="2"/>
  <c r="AF4774" i="2"/>
  <c r="AK4774" i="2" s="1"/>
  <c r="AG4774" i="2"/>
  <c r="AH4774" i="2"/>
  <c r="AL4774" i="2" s="1"/>
  <c r="AI4774" i="2"/>
  <c r="AJ4774" i="2"/>
  <c r="AF4775" i="2"/>
  <c r="AK4775" i="2" s="1"/>
  <c r="AG4775" i="2"/>
  <c r="AH4775" i="2"/>
  <c r="AI4775" i="2"/>
  <c r="AJ4775" i="2"/>
  <c r="AF4776" i="2"/>
  <c r="AK4776" i="2"/>
  <c r="AG4776" i="2"/>
  <c r="AH4776" i="2"/>
  <c r="AI4776" i="2"/>
  <c r="AL4776" i="2" s="1"/>
  <c r="AJ4776" i="2"/>
  <c r="AF4777" i="2"/>
  <c r="AK4777" i="2" s="1"/>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L4784" i="2" s="1"/>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s="1"/>
  <c r="AG4791" i="2"/>
  <c r="AL4791" i="2"/>
  <c r="AH4791" i="2"/>
  <c r="AI4791" i="2"/>
  <c r="AJ4791" i="2"/>
  <c r="AF4792" i="2"/>
  <c r="AK4792" i="2" s="1"/>
  <c r="AG4792" i="2"/>
  <c r="AH4792" i="2"/>
  <c r="AI4792" i="2"/>
  <c r="AJ4792" i="2"/>
  <c r="AF4793" i="2"/>
  <c r="AK4793" i="2"/>
  <c r="AG4793" i="2"/>
  <c r="AH4793" i="2"/>
  <c r="AI4793" i="2"/>
  <c r="AJ4793" i="2"/>
  <c r="AL4793" i="2" s="1"/>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G4800" i="2"/>
  <c r="AH4800" i="2"/>
  <c r="AI4800" i="2"/>
  <c r="AL4800" i="2" s="1"/>
  <c r="AJ4800" i="2"/>
  <c r="AF4801" i="2"/>
  <c r="AK4801" i="2"/>
  <c r="AG4801" i="2"/>
  <c r="AH4801" i="2"/>
  <c r="AI4801" i="2"/>
  <c r="AJ4801" i="2"/>
  <c r="AF4802" i="2"/>
  <c r="AK4802" i="2" s="1"/>
  <c r="AG4802" i="2"/>
  <c r="AH4802" i="2"/>
  <c r="AI4802" i="2"/>
  <c r="AJ4802" i="2"/>
  <c r="AF4803" i="2"/>
  <c r="AK4803" i="2"/>
  <c r="AG4803" i="2"/>
  <c r="AH4803" i="2"/>
  <c r="AI4803" i="2"/>
  <c r="AJ4803" i="2"/>
  <c r="AL4803" i="2" s="1"/>
  <c r="AF4804" i="2"/>
  <c r="AK4804" i="2"/>
  <c r="AG4804" i="2"/>
  <c r="AH4804" i="2"/>
  <c r="AI4804" i="2"/>
  <c r="AJ4804" i="2"/>
  <c r="AF4805" i="2"/>
  <c r="AK4805" i="2"/>
  <c r="AG4805" i="2"/>
  <c r="AH4805" i="2"/>
  <c r="AI4805" i="2"/>
  <c r="AL4805" i="2"/>
  <c r="AJ4805" i="2"/>
  <c r="AF4806" i="2"/>
  <c r="AK4806" i="2"/>
  <c r="AG4806" i="2"/>
  <c r="AH4806" i="2"/>
  <c r="AI4806" i="2"/>
  <c r="AJ4806" i="2"/>
  <c r="AF4807" i="2"/>
  <c r="AK4807" i="2" s="1"/>
  <c r="AG4807" i="2"/>
  <c r="AH4807" i="2"/>
  <c r="AI4807" i="2"/>
  <c r="AJ4807" i="2"/>
  <c r="AF4808" i="2"/>
  <c r="AK4808" i="2" s="1"/>
  <c r="AG4808" i="2"/>
  <c r="AH4808" i="2"/>
  <c r="AI4808" i="2"/>
  <c r="AJ4808" i="2"/>
  <c r="AF4809" i="2"/>
  <c r="AK4809" i="2"/>
  <c r="AG4809" i="2"/>
  <c r="AL4809" i="2" s="1"/>
  <c r="AH4809" i="2"/>
  <c r="AI4809" i="2"/>
  <c r="AJ4809" i="2"/>
  <c r="AF4810" i="2"/>
  <c r="AK4810" i="2" s="1"/>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s="1"/>
  <c r="AG4816" i="2"/>
  <c r="AH4816" i="2"/>
  <c r="AI4816" i="2"/>
  <c r="AJ4816" i="2"/>
  <c r="AF4817" i="2"/>
  <c r="AK4817" i="2" s="1"/>
  <c r="AL4817" i="2" s="1"/>
  <c r="AG4817" i="2"/>
  <c r="AH4817" i="2"/>
  <c r="AI4817" i="2"/>
  <c r="AJ4817" i="2"/>
  <c r="AF4818" i="2"/>
  <c r="AK4818" i="2" s="1"/>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c r="AG4822" i="2"/>
  <c r="AL4822" i="2"/>
  <c r="AH4822" i="2"/>
  <c r="AI4822" i="2"/>
  <c r="AJ4822" i="2"/>
  <c r="AF4823" i="2"/>
  <c r="AK4823" i="2" s="1"/>
  <c r="AG4823" i="2"/>
  <c r="AL4823" i="2" s="1"/>
  <c r="AH4823" i="2"/>
  <c r="AI4823" i="2"/>
  <c r="AJ4823" i="2"/>
  <c r="AF4824" i="2"/>
  <c r="AK4824" i="2"/>
  <c r="AG4824" i="2"/>
  <c r="AH4824" i="2"/>
  <c r="AI4824" i="2"/>
  <c r="AJ4824" i="2"/>
  <c r="AF4825" i="2"/>
  <c r="AK4825" i="2"/>
  <c r="AG4825" i="2"/>
  <c r="AH4825" i="2"/>
  <c r="AI4825" i="2"/>
  <c r="AJ4825" i="2"/>
  <c r="AF4826" i="2"/>
  <c r="AK4826" i="2"/>
  <c r="AG4826" i="2"/>
  <c r="AL4826" i="2"/>
  <c r="AH4826" i="2"/>
  <c r="AI4826" i="2"/>
  <c r="AJ4826" i="2"/>
  <c r="AF4827" i="2"/>
  <c r="AK4827" i="2" s="1"/>
  <c r="AG4827" i="2"/>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c r="AG4831" i="2"/>
  <c r="AL4831" i="2"/>
  <c r="AH4831" i="2"/>
  <c r="AI4831" i="2"/>
  <c r="AJ4831" i="2"/>
  <c r="AF4832" i="2"/>
  <c r="AK4832" i="2" s="1"/>
  <c r="AG4832" i="2"/>
  <c r="AL4832" i="2" s="1"/>
  <c r="AH4832" i="2"/>
  <c r="AI4832" i="2"/>
  <c r="AJ4832" i="2"/>
  <c r="AF4833" i="2"/>
  <c r="AK4833" i="2" s="1"/>
  <c r="AL4833" i="2" s="1"/>
  <c r="AG4833" i="2"/>
  <c r="AH4833" i="2"/>
  <c r="AI4833" i="2"/>
  <c r="AJ4833" i="2"/>
  <c r="AF4834" i="2"/>
  <c r="AK4834" i="2" s="1"/>
  <c r="AG4834" i="2"/>
  <c r="AH4834" i="2"/>
  <c r="AL4834" i="2" s="1"/>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c r="AG4846" i="2"/>
  <c r="AH4846" i="2"/>
  <c r="AI4846" i="2"/>
  <c r="AJ4846" i="2"/>
  <c r="AL4846" i="2" s="1"/>
  <c r="AF4847" i="2"/>
  <c r="AK4847" i="2" s="1"/>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s="1"/>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I4853" i="2"/>
  <c r="AJ4853" i="2"/>
  <c r="AF4854" i="2"/>
  <c r="AK4854" i="2" s="1"/>
  <c r="AG4854" i="2"/>
  <c r="AH4854" i="2"/>
  <c r="AI4854" i="2"/>
  <c r="AJ4854" i="2"/>
  <c r="AF4855" i="2"/>
  <c r="AK4855" i="2"/>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c r="AG4859" i="2"/>
  <c r="AL4859" i="2"/>
  <c r="AH4859" i="2"/>
  <c r="AI4859" i="2"/>
  <c r="AJ4859" i="2"/>
  <c r="AF4860" i="2"/>
  <c r="AK4860" i="2" s="1"/>
  <c r="AL4860" i="2" s="1"/>
  <c r="AG4860" i="2"/>
  <c r="AH4860" i="2"/>
  <c r="AI4860" i="2"/>
  <c r="AJ4860" i="2"/>
  <c r="AF4861" i="2"/>
  <c r="AK4861" i="2" s="1"/>
  <c r="AG4861" i="2"/>
  <c r="AH4861" i="2"/>
  <c r="AI4861" i="2"/>
  <c r="AJ4861" i="2"/>
  <c r="AL4861" i="2" s="1"/>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G4865" i="2"/>
  <c r="AH4865" i="2"/>
  <c r="AL4865" i="2" s="1"/>
  <c r="AI4865" i="2"/>
  <c r="AJ4865" i="2"/>
  <c r="AF4866" i="2"/>
  <c r="AK4866" i="2" s="1"/>
  <c r="AG4866" i="2"/>
  <c r="AH4866" i="2"/>
  <c r="AL4866" i="2" s="1"/>
  <c r="AI4866" i="2"/>
  <c r="AJ4866" i="2"/>
  <c r="AF4867" i="2"/>
  <c r="AK4867" i="2"/>
  <c r="AG4867" i="2"/>
  <c r="AH4867" i="2"/>
  <c r="AI4867" i="2"/>
  <c r="AL4867" i="2" s="1"/>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s="1"/>
  <c r="AG4880" i="2"/>
  <c r="AH4880" i="2"/>
  <c r="AI4880" i="2"/>
  <c r="AJ4880" i="2"/>
  <c r="AF4881" i="2"/>
  <c r="AK4881" i="2"/>
  <c r="AG4881" i="2"/>
  <c r="AH4881" i="2"/>
  <c r="AI4881" i="2"/>
  <c r="AL4881" i="2" s="1"/>
  <c r="AJ4881" i="2"/>
  <c r="AF4882" i="2"/>
  <c r="AK4882" i="2"/>
  <c r="AG4882" i="2"/>
  <c r="AH4882" i="2"/>
  <c r="AI4882" i="2"/>
  <c r="AJ4882" i="2"/>
  <c r="AL4882" i="2" s="1"/>
  <c r="AF4883" i="2"/>
  <c r="AK4883" i="2" s="1"/>
  <c r="AG4883" i="2"/>
  <c r="AH4883" i="2"/>
  <c r="AL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G4887" i="2"/>
  <c r="AH4887" i="2"/>
  <c r="AI4887" i="2"/>
  <c r="AJ4887" i="2"/>
  <c r="AL4887" i="2" s="1"/>
  <c r="AF4888" i="2"/>
  <c r="AK4888" i="2"/>
  <c r="AG4888" i="2"/>
  <c r="AL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L4891" i="2" s="1"/>
  <c r="AJ4891" i="2"/>
  <c r="AF4892" i="2"/>
  <c r="AK4892" i="2" s="1"/>
  <c r="AG4892" i="2"/>
  <c r="AH4892" i="2"/>
  <c r="AI4892" i="2"/>
  <c r="AJ4892" i="2"/>
  <c r="AF4893" i="2"/>
  <c r="AK4893" i="2"/>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L4909" i="2" s="1"/>
  <c r="AI4909" i="2"/>
  <c r="AJ4909" i="2"/>
  <c r="AF4910" i="2"/>
  <c r="AK4910" i="2"/>
  <c r="AG4910" i="2"/>
  <c r="AH4910" i="2"/>
  <c r="AI4910" i="2"/>
  <c r="AJ4910" i="2"/>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J4915" i="2"/>
  <c r="AF4916" i="2"/>
  <c r="AK4916" i="2" s="1"/>
  <c r="AL4916" i="2" s="1"/>
  <c r="AG4916" i="2"/>
  <c r="AH4916" i="2"/>
  <c r="AI4916" i="2"/>
  <c r="AJ4916" i="2"/>
  <c r="AF4917" i="2"/>
  <c r="AK4917" i="2" s="1"/>
  <c r="AL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L4921" i="2" s="1"/>
  <c r="AG4921" i="2"/>
  <c r="AH4921" i="2"/>
  <c r="AI4921" i="2"/>
  <c r="AJ4921" i="2"/>
  <c r="AF4922" i="2"/>
  <c r="AK4922" i="2" s="1"/>
  <c r="AG4922" i="2"/>
  <c r="AH4922" i="2"/>
  <c r="AI4922" i="2"/>
  <c r="AJ4922" i="2"/>
  <c r="AF4923" i="2"/>
  <c r="AK4923" i="2" s="1"/>
  <c r="AL4923" i="2" s="1"/>
  <c r="AG4923" i="2"/>
  <c r="AH4923" i="2"/>
  <c r="AI4923" i="2"/>
  <c r="AJ4923" i="2"/>
  <c r="AF4924" i="2"/>
  <c r="AK4924" i="2"/>
  <c r="AG4924" i="2"/>
  <c r="AL4924" i="2" s="1"/>
  <c r="AH4924" i="2"/>
  <c r="AI4924" i="2"/>
  <c r="AJ4924" i="2"/>
  <c r="AF4925" i="2"/>
  <c r="AK4925" i="2" s="1"/>
  <c r="AL4925" i="2" s="1"/>
  <c r="AG4925" i="2"/>
  <c r="AH4925" i="2"/>
  <c r="AI4925" i="2"/>
  <c r="AJ4925" i="2"/>
  <c r="AF4926" i="2"/>
  <c r="AK4926" i="2" s="1"/>
  <c r="AL4926" i="2" s="1"/>
  <c r="AG4926" i="2"/>
  <c r="AH4926" i="2"/>
  <c r="AI4926" i="2"/>
  <c r="AJ4926" i="2"/>
  <c r="AF4927" i="2"/>
  <c r="AK4927" i="2" s="1"/>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I4941" i="2"/>
  <c r="AJ4941" i="2"/>
  <c r="AF4942" i="2"/>
  <c r="AK4942" i="2"/>
  <c r="AG4942" i="2"/>
  <c r="AL4942" i="2" s="1"/>
  <c r="AH4942" i="2"/>
  <c r="AI4942" i="2"/>
  <c r="AJ4942" i="2"/>
  <c r="AF4943" i="2"/>
  <c r="AK4943" i="2" s="1"/>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s="1"/>
  <c r="AL4951" i="2" s="1"/>
  <c r="AG4951" i="2"/>
  <c r="AH4951" i="2"/>
  <c r="AI4951" i="2"/>
  <c r="AJ4951" i="2"/>
  <c r="AF4952" i="2"/>
  <c r="AK4952" i="2" s="1"/>
  <c r="AL4952" i="2" s="1"/>
  <c r="AG4952" i="2"/>
  <c r="AH4952" i="2"/>
  <c r="AI4952" i="2"/>
  <c r="AJ4952" i="2"/>
  <c r="AF4953" i="2"/>
  <c r="AK4953" i="2" s="1"/>
  <c r="AL4953" i="2" s="1"/>
  <c r="AG4953" i="2"/>
  <c r="AH4953" i="2"/>
  <c r="AI4953" i="2"/>
  <c r="AJ4953" i="2"/>
  <c r="AF4954" i="2"/>
  <c r="AK4954" i="2" s="1"/>
  <c r="AG4954" i="2"/>
  <c r="AH4954" i="2"/>
  <c r="AI4954" i="2"/>
  <c r="AL4954" i="2" s="1"/>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L4961" i="2" s="1"/>
  <c r="AG4961" i="2"/>
  <c r="AH4961" i="2"/>
  <c r="AI4961" i="2"/>
  <c r="AJ4961" i="2"/>
  <c r="AF4962" i="2"/>
  <c r="AK4962" i="2" s="1"/>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s="1"/>
  <c r="AL4965" i="2" s="1"/>
  <c r="AG4965" i="2"/>
  <c r="AH4965" i="2"/>
  <c r="AI4965" i="2"/>
  <c r="AJ4965" i="2"/>
  <c r="AF4966" i="2"/>
  <c r="AK4966" i="2" s="1"/>
  <c r="AL4966" i="2" s="1"/>
  <c r="AG4966" i="2"/>
  <c r="AH4966" i="2"/>
  <c r="AI4966" i="2"/>
  <c r="AJ4966" i="2"/>
  <c r="AF4967" i="2"/>
  <c r="AK4967" i="2"/>
  <c r="AG4967" i="2"/>
  <c r="AH4967" i="2"/>
  <c r="AI4967" i="2"/>
  <c r="AL4967" i="2" s="1"/>
  <c r="AJ4967" i="2"/>
  <c r="AF4968" i="2"/>
  <c r="AK4968" i="2" s="1"/>
  <c r="AG4968" i="2"/>
  <c r="AH4968" i="2"/>
  <c r="AI4968" i="2"/>
  <c r="AJ4968" i="2"/>
  <c r="AF4969" i="2"/>
  <c r="AK4969" i="2" s="1"/>
  <c r="AL4969" i="2" s="1"/>
  <c r="AG4969" i="2"/>
  <c r="AH4969" i="2"/>
  <c r="AI4969" i="2"/>
  <c r="AJ4969" i="2"/>
  <c r="AF4970" i="2"/>
  <c r="AK4970" i="2"/>
  <c r="AG4970" i="2"/>
  <c r="AL4970" i="2" s="1"/>
  <c r="AH4970" i="2"/>
  <c r="AI4970" i="2"/>
  <c r="AJ4970" i="2"/>
  <c r="AF4971" i="2"/>
  <c r="AK4971" i="2" s="1"/>
  <c r="AG4971" i="2"/>
  <c r="AH4971" i="2"/>
  <c r="AI4971" i="2"/>
  <c r="AJ4971" i="2"/>
  <c r="AF4972" i="2"/>
  <c r="AK4972" i="2" s="1"/>
  <c r="AG4972" i="2"/>
  <c r="AL4972" i="2" s="1"/>
  <c r="AH4972" i="2"/>
  <c r="AI4972" i="2"/>
  <c r="AJ4972" i="2"/>
  <c r="AF4973" i="2"/>
  <c r="AK4973" i="2" s="1"/>
  <c r="AL4973" i="2" s="1"/>
  <c r="AG4973" i="2"/>
  <c r="AH4973" i="2"/>
  <c r="AI4973" i="2"/>
  <c r="AJ4973" i="2"/>
  <c r="AF4974" i="2"/>
  <c r="AK4974" i="2" s="1"/>
  <c r="AL4974" i="2" s="1"/>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H4978" i="2"/>
  <c r="AL4978" i="2" s="1"/>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s="1"/>
  <c r="AG4983" i="2"/>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L4986" i="2" s="1"/>
  <c r="AJ4986" i="2"/>
  <c r="AF4987" i="2"/>
  <c r="AK4987" i="2"/>
  <c r="AG4987" i="2"/>
  <c r="AH4987" i="2"/>
  <c r="AI4987" i="2"/>
  <c r="AJ4987" i="2"/>
  <c r="AL4987" i="2" s="1"/>
  <c r="AF4988" i="2"/>
  <c r="AK4988" i="2" s="1"/>
  <c r="AG4988" i="2"/>
  <c r="AH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H4996" i="2"/>
  <c r="AI4996" i="2"/>
  <c r="AL4996" i="2" s="1"/>
  <c r="AJ4996" i="2"/>
  <c r="AF4997" i="2"/>
  <c r="AK4997" i="2" s="1"/>
  <c r="AL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M69"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280" i="2"/>
  <c r="AL272" i="2"/>
  <c r="AL264" i="2"/>
  <c r="AL256" i="2"/>
  <c r="AL248" i="2"/>
  <c r="AL240" i="2"/>
  <c r="AL233" i="2"/>
  <c r="AL226" i="2"/>
  <c r="AL85" i="2"/>
  <c r="AM85" i="2" s="1"/>
  <c r="AL155" i="2"/>
  <c r="AM155" i="2" s="1"/>
  <c r="AL147" i="2"/>
  <c r="AM147" i="2" s="1"/>
  <c r="AL143" i="2"/>
  <c r="AL139" i="2"/>
  <c r="AM139" i="2" s="1"/>
  <c r="AL131" i="2"/>
  <c r="AM131" i="2" s="1"/>
  <c r="AL127" i="2"/>
  <c r="AL111" i="2"/>
  <c r="AM111" i="2" s="1"/>
  <c r="AL91" i="2"/>
  <c r="AM91" i="2" s="1"/>
  <c r="AL148" i="2"/>
  <c r="AM148" i="2" s="1"/>
  <c r="AL140" i="2"/>
  <c r="AM140" i="2" s="1"/>
  <c r="AL136" i="2"/>
  <c r="AM136" i="2" s="1"/>
  <c r="AL132" i="2"/>
  <c r="AM132" i="2" s="1"/>
  <c r="AL124" i="2"/>
  <c r="AM124" i="2" s="1"/>
  <c r="AL120" i="2"/>
  <c r="AM120" i="2" s="1"/>
  <c r="AL100" i="2"/>
  <c r="AM100" i="2" s="1"/>
  <c r="AL82" i="2"/>
  <c r="AM82" i="2" s="1"/>
  <c r="AL153" i="2"/>
  <c r="AM153" i="2" s="1"/>
  <c r="AL149" i="2"/>
  <c r="AM149" i="2" s="1"/>
  <c r="AL145" i="2"/>
  <c r="AM145" i="2" s="1"/>
  <c r="AL137" i="2"/>
  <c r="AM137" i="2" s="1"/>
  <c r="AL133" i="2"/>
  <c r="AM133" i="2" s="1"/>
  <c r="AL129" i="2"/>
  <c r="AM129" i="2" s="1"/>
  <c r="AL113" i="2"/>
  <c r="AM113" i="2" s="1"/>
  <c r="AL83" i="2"/>
  <c r="AM83" i="2" s="1"/>
  <c r="AL146" i="2"/>
  <c r="AM146" i="2" s="1"/>
  <c r="AL142" i="2"/>
  <c r="AM142" i="2" s="1"/>
  <c r="AL138" i="2"/>
  <c r="AM138" i="2" s="1"/>
  <c r="AL130" i="2"/>
  <c r="AM130" i="2" s="1"/>
  <c r="AL122" i="2"/>
  <c r="AM122" i="2" s="1"/>
  <c r="AL98" i="2"/>
  <c r="AM98" i="2" s="1"/>
  <c r="AL74" i="2"/>
  <c r="AM74" i="2" s="1"/>
  <c r="AL78" i="2"/>
  <c r="AL70" i="2"/>
  <c r="AM70" i="2" s="1"/>
  <c r="AL30" i="2"/>
  <c r="AM30" i="2" s="1"/>
  <c r="AL79" i="2"/>
  <c r="AL71" i="2"/>
  <c r="AM71" i="2" s="1"/>
  <c r="AL55" i="2"/>
  <c r="AM55" i="2" s="1"/>
  <c r="AL89" i="2"/>
  <c r="AM89" i="2" s="1"/>
  <c r="AL81" i="2"/>
  <c r="AM81" i="2" s="1"/>
  <c r="AL65" i="2"/>
  <c r="AM65" i="2" s="1"/>
  <c r="AL57" i="2"/>
  <c r="AM57" i="2" s="1"/>
  <c r="AL49" i="2"/>
  <c r="AM49" i="2" s="1"/>
  <c r="AL75" i="2"/>
  <c r="AM75" i="2" s="1"/>
  <c r="AL59" i="2"/>
  <c r="AM59" i="2" s="1"/>
  <c r="AL27" i="2"/>
  <c r="AM27" i="2" s="1"/>
  <c r="AL17" i="2"/>
  <c r="AM17" i="2" s="1"/>
  <c r="AL20" i="2"/>
  <c r="AM20" i="2" s="1"/>
  <c r="AL14" i="2"/>
  <c r="AM14" i="2" s="1"/>
  <c r="AL13" i="2"/>
  <c r="AM13"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5017" i="2"/>
  <c r="AL5037" i="2"/>
  <c r="AL5074" i="2"/>
  <c r="AL5150" i="2"/>
  <c r="AL5157" i="2"/>
  <c r="AL5160" i="2"/>
  <c r="AL5165" i="2"/>
  <c r="AL5168" i="2"/>
  <c r="AL5182" i="2"/>
  <c r="AL5189" i="2"/>
  <c r="AL5192" i="2"/>
  <c r="AL5197" i="2"/>
  <c r="AL5222" i="2"/>
  <c r="AL5058" i="2"/>
  <c r="AL197" i="2"/>
  <c r="AL190" i="2"/>
  <c r="AL5070" i="2"/>
  <c r="AL5130" i="2"/>
  <c r="AL241" i="2"/>
  <c r="AL187" i="2"/>
  <c r="AL5009" i="2"/>
  <c r="AL5029" i="2"/>
  <c r="AL5123" i="2"/>
  <c r="AL222" i="2"/>
  <c r="AL208" i="2"/>
  <c r="AL66" i="2"/>
  <c r="AM66" i="2" s="1"/>
  <c r="AL5005" i="2"/>
  <c r="AL5049" i="2"/>
  <c r="AL5066" i="2"/>
  <c r="AL5132" i="2"/>
  <c r="AL5158" i="2"/>
  <c r="AL5190" i="2"/>
  <c r="AL4912" i="2"/>
  <c r="AL4885"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307" i="2"/>
  <c r="AL298" i="2"/>
  <c r="AL279" i="2"/>
  <c r="AL77" i="2"/>
  <c r="AM77" i="2" s="1"/>
  <c r="AL5013" i="2"/>
  <c r="AL36" i="2"/>
  <c r="AM36" i="2" s="1"/>
  <c r="AL5198" i="2"/>
  <c r="AL5267" i="2"/>
  <c r="AL221" i="2"/>
  <c r="AL216" i="2"/>
  <c r="AL68" i="2"/>
  <c r="AM68" i="2" s="1"/>
  <c r="AL64" i="2"/>
  <c r="AM64" i="2" s="1"/>
  <c r="AL5243" i="2"/>
  <c r="AL5018" i="2"/>
  <c r="AL5021" i="2"/>
  <c r="AL5223" i="2"/>
  <c r="AL4786" i="2"/>
  <c r="AL4752" i="2"/>
  <c r="AL4489" i="2"/>
  <c r="AL4324" i="2"/>
  <c r="AL4278" i="2"/>
  <c r="AL4225" i="2"/>
  <c r="AL4141" i="2"/>
  <c r="AL4900"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981" i="2"/>
  <c r="AL4877"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M80" i="2" s="1"/>
  <c r="AL5144" i="2"/>
  <c r="AL5239" i="2"/>
  <c r="AL5271" i="2"/>
  <c r="AL193" i="2"/>
  <c r="AL186" i="2"/>
  <c r="AL52" i="2"/>
  <c r="AM52" i="2" s="1"/>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716" i="2"/>
  <c r="AL4601" i="2"/>
  <c r="AL4396"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5127" i="2"/>
  <c r="AL214" i="2"/>
  <c r="AL182" i="2"/>
  <c r="AL202" i="2"/>
  <c r="AL195" i="2"/>
  <c r="AL5006" i="2"/>
  <c r="AL5149" i="2"/>
  <c r="AL5174" i="2"/>
  <c r="AL165" i="2"/>
  <c r="AM165" i="2" s="1"/>
  <c r="AL5002" i="2"/>
  <c r="AL5026" i="2"/>
  <c r="AL5053" i="2"/>
  <c r="AL5122" i="2"/>
  <c r="AL215" i="2"/>
  <c r="AL191" i="2"/>
  <c r="AL72" i="2"/>
  <c r="AM72" i="2" s="1"/>
  <c r="AL5059" i="2"/>
  <c r="AL5184" i="2"/>
  <c r="AL5255" i="2"/>
  <c r="AL11" i="2"/>
  <c r="AM11" i="2" s="1"/>
  <c r="AL6" i="2"/>
  <c r="AM6" i="2"/>
  <c r="AL4955" i="2"/>
  <c r="AL4914" i="2"/>
  <c r="AL4797" i="2"/>
  <c r="AL4649" i="2"/>
  <c r="AL4597" i="2"/>
  <c r="AL4858" i="2"/>
  <c r="AL4704" i="2"/>
  <c r="AL4664" i="2"/>
  <c r="AL4579" i="2"/>
  <c r="AL4853" i="2"/>
  <c r="AL4785" i="2"/>
  <c r="AL4698" i="2"/>
  <c r="AL4895" i="2"/>
  <c r="AL4892" i="2"/>
  <c r="AL485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M32" i="2" s="1"/>
  <c r="AL5046" i="2"/>
  <c r="AL183" i="2"/>
  <c r="AL5086" i="2"/>
  <c r="AL5115" i="2"/>
  <c r="AL5259" i="2"/>
  <c r="AL315" i="2"/>
  <c r="AL192" i="2"/>
  <c r="AL5098" i="2"/>
  <c r="AL5152" i="2"/>
  <c r="AL5247" i="2"/>
  <c r="AL4939" i="2"/>
  <c r="AL4677" i="2"/>
  <c r="AL4856" i="2"/>
  <c r="AL4840" i="2"/>
  <c r="AL4779" i="2"/>
  <c r="AL4771" i="2"/>
  <c r="AL4733" i="2"/>
  <c r="AL4719" i="2"/>
  <c r="AL4556" i="2"/>
  <c r="AL4537" i="2"/>
  <c r="AL4515" i="2"/>
  <c r="AL4948" i="2"/>
  <c r="AL4903" i="2"/>
  <c r="AL4896" i="2"/>
  <c r="AL4874" i="2"/>
  <c r="AL4871" i="2"/>
  <c r="AL4836" i="2"/>
  <c r="AL4821" i="2"/>
  <c r="AL4799" i="2"/>
  <c r="AL4772" i="2"/>
  <c r="AL4730" i="2"/>
  <c r="AL4647" i="2"/>
  <c r="AL4588" i="2"/>
  <c r="AL4582" i="2"/>
  <c r="AL4937" i="2"/>
  <c r="AL4843" i="2"/>
  <c r="AL4825" i="2"/>
  <c r="AL4806" i="2"/>
  <c r="AL4766" i="2"/>
  <c r="AL4758" i="2"/>
  <c r="AL4751" i="2"/>
  <c r="AL4723" i="2"/>
  <c r="AL4675" i="2"/>
  <c r="AL4604" i="2"/>
  <c r="AL4594" i="2"/>
  <c r="AL4550" i="2"/>
  <c r="AL4506" i="2"/>
  <c r="AL4452" i="2"/>
  <c r="AL4894" i="2"/>
  <c r="AL4884" i="2"/>
  <c r="AL4794" i="2"/>
  <c r="AL4686" i="2"/>
  <c r="AL4656" i="2"/>
  <c r="AL4635" i="2"/>
  <c r="AL4580" i="2"/>
  <c r="AL4574" i="2"/>
  <c r="AL4548" i="2"/>
  <c r="AL4522" i="2"/>
  <c r="AL4449" i="2"/>
  <c r="AL4935" i="2"/>
  <c r="AL4905" i="2"/>
  <c r="AL4879"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M84" i="2" s="1"/>
  <c r="AL178" i="2" l="1"/>
  <c r="AL174" i="2"/>
  <c r="AL173" i="2"/>
  <c r="AL9" i="2"/>
  <c r="AM9" i="2" s="1"/>
  <c r="AL8" i="2"/>
  <c r="AM8" i="2" s="1"/>
  <c r="AL7" i="2"/>
  <c r="AM7" i="2" s="1"/>
  <c r="AL42" i="2"/>
  <c r="AM42" i="2" s="1"/>
  <c r="AL40" i="2"/>
  <c r="AM40" i="2" s="1"/>
  <c r="AL16" i="2"/>
  <c r="AM16" i="2" s="1"/>
  <c r="AL10" i="2"/>
  <c r="AM10" i="2" s="1"/>
  <c r="AL171" i="2"/>
  <c r="AM171" i="2" s="1"/>
  <c r="AL116" i="2"/>
  <c r="AM116" i="2" s="1"/>
  <c r="AL114" i="2"/>
  <c r="AM114" i="2" s="1"/>
  <c r="AL110" i="2"/>
  <c r="AM110" i="2" s="1"/>
  <c r="AL108" i="2"/>
  <c r="AM108" i="2" s="1"/>
  <c r="AL107" i="2"/>
  <c r="AM107" i="2" s="1"/>
  <c r="AL105" i="2"/>
  <c r="AM105" i="2" s="1"/>
  <c r="AL101" i="2"/>
  <c r="AM101" i="2" s="1"/>
  <c r="AL94" i="2"/>
  <c r="AM94" i="2" s="1"/>
  <c r="AL51" i="2"/>
  <c r="AM51" i="2" s="1"/>
  <c r="AL166" i="2"/>
  <c r="AM166" i="2" s="1"/>
  <c r="AL164" i="2"/>
  <c r="AM164" i="2" s="1"/>
  <c r="AL112" i="2"/>
  <c r="AM112" i="2" s="1"/>
  <c r="AL109" i="2"/>
  <c r="AM109" i="2" s="1"/>
  <c r="AL103" i="2"/>
  <c r="AM103" i="2" s="1"/>
  <c r="AL96" i="2"/>
  <c r="AM96" i="2" s="1"/>
  <c r="AL163" i="2"/>
  <c r="AM163" i="2" s="1"/>
  <c r="AL125" i="2"/>
  <c r="AM125" i="2" s="1"/>
  <c r="AL119" i="2"/>
  <c r="AM119" i="2" s="1"/>
  <c r="AL118" i="2"/>
  <c r="AM118" i="2" s="1"/>
  <c r="AL54" i="2"/>
  <c r="AM54" i="2" s="1"/>
  <c r="AL176" i="2"/>
  <c r="AL162" i="2"/>
  <c r="AM162" i="2" s="1"/>
  <c r="AL151" i="2"/>
  <c r="AM151" i="2" s="1"/>
  <c r="AL144" i="2"/>
  <c r="AM144" i="2" s="1"/>
  <c r="AL141" i="2"/>
  <c r="AM141" i="2" s="1"/>
  <c r="AL135" i="2"/>
  <c r="AM135" i="2" s="1"/>
  <c r="AL128" i="2"/>
  <c r="AM128" i="2" s="1"/>
  <c r="AL76" i="2"/>
  <c r="AM76" i="2" s="1"/>
  <c r="AL73" i="2"/>
  <c r="AM73" i="2" s="1"/>
  <c r="AL31" i="2"/>
  <c r="AM31" i="2" s="1"/>
  <c r="AL168" i="2"/>
  <c r="AM168" i="2" s="1"/>
  <c r="AL4998" i="2"/>
  <c r="AL4975" i="2"/>
  <c r="AL4971" i="2"/>
  <c r="AL4968" i="2"/>
  <c r="AL4934" i="2"/>
  <c r="AL4880" i="2"/>
  <c r="AL4842" i="2"/>
  <c r="AL4983" i="2"/>
  <c r="AL4945" i="2"/>
  <c r="AL4915" i="2"/>
  <c r="AL4902" i="2"/>
  <c r="AL4988" i="2"/>
  <c r="AL4982" i="2"/>
  <c r="AL4941" i="2"/>
  <c r="AL4922" i="2"/>
  <c r="AL4901" i="2"/>
  <c r="AL4827" i="2"/>
  <c r="AL4775" i="2"/>
  <c r="AL4873" i="2"/>
  <c r="AL4845" i="2"/>
  <c r="AL4808" i="2"/>
  <c r="AL4761" i="2"/>
  <c r="AL4749" i="2"/>
  <c r="AL4742" i="2"/>
  <c r="AL4740" i="2"/>
  <c r="AL4707" i="2"/>
  <c r="AL4700" i="2"/>
  <c r="AL4690" i="2"/>
  <c r="AL4685" i="2"/>
  <c r="AL4683" i="2"/>
  <c r="AL4673" i="2"/>
  <c r="AL4672" i="2"/>
  <c r="AL4628" i="2"/>
  <c r="AL4578" i="2"/>
  <c r="AL4560" i="2"/>
  <c r="AL4557" i="2"/>
  <c r="AL4502" i="2"/>
  <c r="AL4491" i="2"/>
  <c r="AL4477" i="2"/>
  <c r="AL4475" i="2"/>
  <c r="AL4471" i="2"/>
  <c r="AL4457" i="2"/>
  <c r="AL4421" i="2"/>
  <c r="AL4405" i="2"/>
  <c r="AL4372" i="2"/>
  <c r="AL4361" i="2"/>
  <c r="AL4354" i="2"/>
  <c r="AL4322" i="2"/>
  <c r="AL4296" i="2"/>
  <c r="AL4294" i="2"/>
  <c r="AL4270" i="2"/>
  <c r="AL4260" i="2"/>
  <c r="AL4208" i="2"/>
  <c r="AL4190" i="2"/>
  <c r="AL4186" i="2"/>
  <c r="AL4182" i="2"/>
  <c r="AL4129" i="2"/>
  <c r="AL4111" i="2"/>
  <c r="AL3956" i="2"/>
  <c r="AL3950" i="2"/>
  <c r="AL3948" i="2"/>
  <c r="AL4854" i="2"/>
  <c r="AL4828" i="2"/>
  <c r="AL4792" i="2"/>
  <c r="AL4743" i="2"/>
  <c r="AL4731" i="2"/>
  <c r="AL4725" i="2"/>
  <c r="AL4709" i="2"/>
  <c r="AL4708" i="2"/>
  <c r="AL4667" i="2"/>
  <c r="AL4657" i="2"/>
  <c r="AL4622" i="2"/>
  <c r="AL4610" i="2"/>
  <c r="AL4607" i="2"/>
  <c r="AL4603" i="2"/>
  <c r="AL4585" i="2"/>
  <c r="AL4524" i="2"/>
  <c r="AL4523" i="2"/>
  <c r="AL4472" i="2"/>
  <c r="AL4451" i="2"/>
  <c r="AL4432" i="2"/>
  <c r="AL4408" i="2"/>
  <c r="AL4323" i="2"/>
  <c r="AL4256" i="2"/>
  <c r="AL4170" i="2"/>
  <c r="AL4162" i="2"/>
  <c r="AL3953" i="2"/>
  <c r="AL3885" i="2"/>
  <c r="AL4893" i="2"/>
  <c r="AL4889" i="2"/>
  <c r="AL4830" i="2"/>
  <c r="AL4801" i="2"/>
  <c r="AL4747" i="2"/>
  <c r="AL4745" i="2"/>
  <c r="AL4737" i="2"/>
  <c r="AL4717" i="2"/>
  <c r="AL4705" i="2"/>
  <c r="AL4703" i="2"/>
  <c r="AL4687" i="2"/>
  <c r="AL4630" i="2"/>
  <c r="AL4625" i="2"/>
  <c r="AL4564" i="2"/>
  <c r="AL4542" i="2"/>
  <c r="AL4540" i="2"/>
  <c r="AL4538" i="2"/>
  <c r="AL4521" i="2"/>
  <c r="AL4495" i="2"/>
  <c r="AL4484" i="2"/>
  <c r="AL4463" i="2"/>
  <c r="AL4460" i="2"/>
  <c r="AL4437" i="2"/>
  <c r="AL4435" i="2"/>
  <c r="AL4420" i="2"/>
  <c r="AL4397" i="2"/>
  <c r="AL4391" i="2"/>
  <c r="AL4389" i="2"/>
  <c r="AL4364" i="2"/>
  <c r="AL4356" i="2"/>
  <c r="AL4347" i="2"/>
  <c r="AL4289" i="2"/>
  <c r="AL4250" i="2"/>
  <c r="AL4228" i="2"/>
  <c r="AL4199" i="2"/>
  <c r="AL3927" i="2"/>
  <c r="AL3883" i="2"/>
  <c r="AL3743" i="2"/>
  <c r="AL3741" i="2"/>
  <c r="AL3672" i="2"/>
  <c r="AL3526" i="2"/>
  <c r="AL3506" i="2"/>
  <c r="AL3497" i="2"/>
  <c r="AL3440" i="2"/>
  <c r="AL3360" i="2"/>
  <c r="AL3771" i="2"/>
  <c r="AL3683" i="2"/>
  <c r="AL3548" i="2"/>
  <c r="AL3521" i="2"/>
  <c r="AL3481" i="2"/>
  <c r="AL3363" i="2"/>
  <c r="AL3254" i="2"/>
  <c r="AL3825" i="2"/>
  <c r="AL3774" i="2"/>
  <c r="AL3735" i="2"/>
  <c r="AL3726" i="2"/>
  <c r="AL3616" i="2"/>
  <c r="AL3611" i="2"/>
  <c r="AL3531" i="2"/>
  <c r="AL3517" i="2"/>
  <c r="AL3499" i="2"/>
  <c r="AL3465" i="2"/>
  <c r="AL3309" i="2"/>
  <c r="AL3234" i="2"/>
  <c r="AL3212" i="2"/>
  <c r="AL3123" i="2"/>
  <c r="AL2454" i="2"/>
  <c r="AL3005" i="2"/>
  <c r="AL2939" i="2"/>
  <c r="AL2923" i="2"/>
  <c r="AL2282" i="2"/>
  <c r="AL2968" i="2"/>
  <c r="AL2605" i="2"/>
  <c r="AL2571" i="2"/>
  <c r="AL2446" i="2"/>
  <c r="AL2799" i="2"/>
  <c r="AL2663" i="2"/>
  <c r="AL2637" i="2"/>
  <c r="AL2630" i="2"/>
  <c r="AL2624" i="2"/>
  <c r="AL2568" i="2"/>
  <c r="AL2542" i="2"/>
  <c r="AL2479" i="2"/>
  <c r="AL2673" i="2"/>
  <c r="AL2606" i="2"/>
  <c r="AL2353" i="2"/>
  <c r="AL2277" i="2"/>
  <c r="AL2462" i="2"/>
  <c r="AL2383" i="2"/>
  <c r="AL1789" i="2"/>
  <c r="AL1633" i="2"/>
  <c r="AL1588" i="2"/>
  <c r="AL2476" i="2"/>
  <c r="AL2438" i="2"/>
  <c r="AL2414" i="2"/>
  <c r="AL2379" i="2"/>
  <c r="AL2184" i="2"/>
  <c r="AL2006" i="2"/>
  <c r="AL1971" i="2"/>
  <c r="AL2204" i="2"/>
  <c r="AL1486" i="2"/>
  <c r="AL1308" i="2"/>
  <c r="AL1088" i="2"/>
  <c r="AL950" i="2"/>
  <c r="AL925" i="2"/>
  <c r="AL1455" i="2"/>
  <c r="AL1224" i="2"/>
  <c r="AL1103" i="2"/>
  <c r="AL1093" i="2"/>
  <c r="AL998" i="2"/>
  <c r="AL967" i="2"/>
  <c r="AL1343" i="2"/>
  <c r="AL1327" i="2"/>
  <c r="AL1173" i="2"/>
  <c r="AL1001" i="2"/>
  <c r="AL983" i="2"/>
  <c r="AL292" i="2"/>
  <c r="AL704" i="2"/>
  <c r="AL525" i="2"/>
  <c r="AL445" i="2"/>
  <c r="AL297"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rgb="FF000000"/>
            <rFont val="Tahoma"/>
            <family val="2"/>
          </rPr>
          <t xml:space="preserve">The name of the responsible
</t>
        </r>
        <r>
          <rPr>
            <b/>
            <sz val="9"/>
            <color rgb="FF000000"/>
            <rFont val="Tahoma"/>
            <family val="2"/>
          </rPr>
          <t>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<sst xmlns="http://schemas.openxmlformats.org/spreadsheetml/2006/main" count="2839" uniqueCount="496">
  <si>
    <t>PSCIS (Provincial Stream Crossing Inventory System)</t>
  </si>
  <si>
    <t>Field Data Submission Form v2.4</t>
  </si>
  <si>
    <t>Instructions:</t>
  </si>
  <si>
    <t>Step 1:</t>
  </si>
  <si>
    <t>Ensure that Macros are enabled in your session of Excel</t>
  </si>
  <si>
    <t>Step 2:</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</si>
  <si>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</si>
  <si>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Step 3:</t>
  </si>
  <si>
    <t>Enter as many assessments as needed (up to 200 - see below) on the PSCIS Assessment Worksheet.  Enter a single assessment on each row, leaving no spaces between assessment rows. If there is a space between assessments, subsequent rows may not be validated or processed</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</si>
  <si>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</si>
  <si>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</si>
  <si>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</si>
  <si>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Step 4:</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</si>
  <si>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</si>
  <si>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t>Step 5:</t>
  </si>
  <si>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</si>
  <si>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</si>
  <si>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</si>
  <si>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</si>
  <si>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t>Additional Notes and Comments:</t>
  </si>
  <si>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</si>
  <si>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</si>
  <si>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Types</t>
  </si>
  <si>
    <t>OBS</t>
  </si>
  <si>
    <t>Project Number:</t>
  </si>
  <si>
    <t>fraser_2023_phase1</t>
  </si>
  <si>
    <t>Project Name:</t>
  </si>
  <si>
    <t>Fraser Fish Passage Restoration Planning 2023 - Phase 1</t>
  </si>
  <si>
    <t>Funding Recipient Client Number:</t>
  </si>
  <si>
    <t>00180607</t>
  </si>
  <si>
    <t>Funding Recipient Contact Name:</t>
  </si>
  <si>
    <t>Al Irvine</t>
  </si>
  <si>
    <t>Funding Recipient Contact Phone #:</t>
  </si>
  <si>
    <t>250-777-1518</t>
  </si>
  <si>
    <t>Funding Recipient Contact Email:</t>
  </si>
  <si>
    <t>al@newgraphenvironment.com</t>
  </si>
  <si>
    <t>Consultant Client Number:</t>
  </si>
  <si>
    <t>00198456</t>
  </si>
  <si>
    <t>Consultant Client Contact Name:</t>
  </si>
  <si>
    <t>Consultant Client Contact Phone #:</t>
  </si>
  <si>
    <t>Consultant Client Contact Email:</t>
  </si>
  <si>
    <t>Project Budget:</t>
  </si>
  <si>
    <t>Funding Source:</t>
  </si>
  <si>
    <t>Please ensure you have read and understand the instructions and notes found on the first page of this document, titled "Instructions"</t>
  </si>
  <si>
    <t>soft url:</t>
  </si>
  <si>
    <t>http://www.env.gov.bc.ca/csd/imb/soft/soft.shtml</t>
  </si>
  <si>
    <t>esf url:</t>
  </si>
  <si>
    <t>https://apps.nrs.gov.bc.ca/ext/esf/submissionWelcome.do</t>
  </si>
  <si>
    <t>PSCIS Assessment Worksheet</t>
  </si>
  <si>
    <t>Location and Overview Information</t>
  </si>
  <si>
    <t>Field Observations and Assessment Measurements</t>
  </si>
  <si>
    <t>Stream Information</t>
  </si>
  <si>
    <t>Scoring Data</t>
  </si>
  <si>
    <t>Recommendations</t>
  </si>
  <si>
    <t>Date of Assessment (YYYY-MM-DD)</t>
  </si>
  <si>
    <t>PSCIS Crossing ID</t>
  </si>
  <si>
    <t>My Crossing Reference</t>
  </si>
  <si>
    <t>Crew Members</t>
  </si>
  <si>
    <t>UTM Zone</t>
  </si>
  <si>
    <t>Easting</t>
  </si>
  <si>
    <t>Northing</t>
  </si>
  <si>
    <t>Stream Name</t>
  </si>
  <si>
    <t>Road Name</t>
  </si>
  <si>
    <t>Road KM Mark</t>
  </si>
  <si>
    <t>Road Tenure</t>
  </si>
  <si>
    <t>Crossing Type</t>
  </si>
  <si>
    <t>Crossing Subtype</t>
  </si>
  <si>
    <t>Diameter or Span (meters)</t>
  </si>
  <si>
    <t>Length or Width  (meters)</t>
  </si>
  <si>
    <t>Continuous Embeddedment? Yes/No</t>
  </si>
  <si>
    <t>Average Depth Embededdment  (meters)</t>
  </si>
  <si>
    <t>Resemble Channel? Yes / No</t>
  </si>
  <si>
    <t>Backwatered? Yes / No</t>
  </si>
  <si>
    <t>Percentage Backwatered</t>
  </si>
  <si>
    <t>Fill Depth  (meters)</t>
  </si>
  <si>
    <t>Outlet Drop  (meters)</t>
  </si>
  <si>
    <t>Outlet Pool Depth  (0.01m)</t>
  </si>
  <si>
    <t>Inlet Drop? Yes / No</t>
  </si>
  <si>
    <t>Culvert Slope (%)</t>
  </si>
  <si>
    <t>Downstream Channel Width  (meters)</t>
  </si>
  <si>
    <t>Stream Slope</t>
  </si>
  <si>
    <t>Beaver Activity? Yes / No</t>
  </si>
  <si>
    <t>Fish Observed? Yes / No</t>
  </si>
  <si>
    <t>Valley Fill</t>
  </si>
  <si>
    <t>Habitat Value</t>
  </si>
  <si>
    <t>Stream Width Ratio</t>
  </si>
  <si>
    <t>Culvert Length Score</t>
  </si>
  <si>
    <t>Embed Score</t>
  </si>
  <si>
    <t>Outlet Drop Score</t>
  </si>
  <si>
    <t>Culvert Slope Score</t>
  </si>
  <si>
    <t>Stream Width Ratio Score</t>
  </si>
  <si>
    <t>Final Score</t>
  </si>
  <si>
    <t>Barrier Result</t>
  </si>
  <si>
    <t>Crossing Fix</t>
  </si>
  <si>
    <t>Recommended Diameter or Span (meters)</t>
  </si>
  <si>
    <t>Assessment Comment</t>
  </si>
  <si>
    <t>AI</t>
  </si>
  <si>
    <t>Tributary to Endako River</t>
  </si>
  <si>
    <t>Highway 16</t>
  </si>
  <si>
    <t>MOTI</t>
  </si>
  <si>
    <t>Closed Bottom Structure</t>
  </si>
  <si>
    <t>Round Culvert</t>
  </si>
  <si>
    <t>No</t>
  </si>
  <si>
    <t>Deep Fill</t>
  </si>
  <si>
    <t>Medium</t>
  </si>
  <si>
    <t>Replace with New Open Bottom Structure</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</si>
  <si>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</si>
  <si>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West Decker Road</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</si>
  <si>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</si>
  <si>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Yes</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</si>
  <si>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</si>
  <si>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Priestly Station Road</t>
  </si>
  <si>
    <t>MOTI Local</t>
  </si>
  <si>
    <t>Replace Structure with Streambed Simulation CBS</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</si>
  <si>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</si>
  <si>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Sam Ross Creek</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</si>
  <si>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</si>
  <si>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Alf Creek</t>
  </si>
  <si>
    <t>Low</t>
  </si>
  <si>
    <t>Dry with very poorly defined channel upstream and downstream.  Seems very unlikely that this system could support fish.  Pipe is rusted right through at the inlet for ~1m.  Pipe is in very bad shape.  MoTi chris_culvert_id: 1793794. 13:41:54</t>
  </si>
  <si>
    <t>Tributary to Fraser Lake</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</si>
  <si>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</si>
  <si>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Perry Creek</t>
  </si>
  <si>
    <t>Stella Road</t>
  </si>
  <si>
    <t>Small drainage. Dry with primarily vegetated channel indicating does not much flow for most of the year. Culvert rusting at inlet.  MoTi chris_culvert_id: 1794274. 10:53:44</t>
  </si>
  <si>
    <t>Gala Bay Road</t>
  </si>
  <si>
    <t>High</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</si>
  <si>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</si>
  <si>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Scotch Creek</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</si>
  <si>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</si>
  <si>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Tributary to Nechako River</t>
  </si>
  <si>
    <t>Dog Creek Road</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</si>
  <si>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</si>
  <si>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Sutherland FSR</t>
  </si>
  <si>
    <t>West Fraser R09194 SE</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</si>
  <si>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</si>
  <si>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Aird Creek</t>
  </si>
  <si>
    <t>Upper Mud River Road</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</si>
  <si>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</si>
  <si>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Chilako Creek</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</si>
  <si>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</si>
  <si>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Tributary to Chelako River</t>
  </si>
  <si>
    <t>McBride Timber Road</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</si>
  <si>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</si>
  <si>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Beaverley Creek</t>
  </si>
  <si>
    <t>Blackwater Road</t>
  </si>
  <si>
    <t>Moti major structure. Beaver dam located approximately 30 m downstream has backwatered the entire structure.   MoTi chris_hwy_structure_road_id: 3755. 13:13:41</t>
  </si>
  <si>
    <t>MW</t>
  </si>
  <si>
    <t>Murray Creek</t>
  </si>
  <si>
    <t>Loop Rd</t>
  </si>
  <si>
    <t>Vanderhoof</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</si>
  <si>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</si>
  <si>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Snell Rd E</t>
  </si>
  <si>
    <t>Grassy wetland habitat upstream and downstream. Culvert diameter used as channel width and stream slope estimated. Beaver grate present at inlet. Some flow in culvert.   MoTi chris_culvert_id: 1808533. 09:55:51</t>
  </si>
  <si>
    <t>Loop Road</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</si>
  <si>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</si>
  <si>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East Murray Creek</t>
  </si>
  <si>
    <t>No water in culvert. Dewatered upstream. Some standing water in outlet pool, then dewaters downstream. Clear signs of cattle intruding into channel upstream.   MoTi chris_culvert_id: 1808528. 12:00:12</t>
  </si>
  <si>
    <t>McIntosh Creek</t>
  </si>
  <si>
    <t>Mcleod Pit Rd</t>
  </si>
  <si>
    <t>Three culverts. Water flowing through two pipes. The other one is dewatered, looks like it was installed too high. Overgrown channel upstream. Downstream goes through agricultural land.  MoTi chris_culvert_id: 1807160, 1807157, 1807159. 12:30:04</t>
  </si>
  <si>
    <t>Stringer Rd</t>
  </si>
  <si>
    <t>Fully dewatered. Very small culvert. Signs of a stream channel but doesn't look like there has been water flowing in years.   MoTi chris_culvert_id: 1806918. 13:57:33</t>
  </si>
  <si>
    <t>Knight Creek</t>
  </si>
  <si>
    <t>Gulbranson Rd</t>
  </si>
  <si>
    <t>Huge outlet pool, but no outlet drop. No water in pipe and no flowing water in stream.  MoTi chris_culvert_id: 1803926. 15:09:18</t>
  </si>
  <si>
    <t>Tributary to Tritt Creek</t>
  </si>
  <si>
    <t>Sturgeon Pt Rd</t>
  </si>
  <si>
    <t>Dewatered.  Vegetated stream channel. Three culverts, diameter totaled.  MoTi chris_culvert_id: 1801577, 1801578. 15:44:14</t>
  </si>
  <si>
    <t>Clear Creek</t>
  </si>
  <si>
    <t>Braeside Rd</t>
  </si>
  <si>
    <t>Oval Culvert</t>
  </si>
  <si>
    <t>High quality habitat upstream, wide channel with good flow. Lots of instream vegetation near culvert.  Fully backwatered and passable at time of assessement. MoTi chris_hwy_structure_road_id: 30525. 09:33:54</t>
  </si>
  <si>
    <t>Tributary to Clear Creek</t>
  </si>
  <si>
    <t>Blue Mountain Road</t>
  </si>
  <si>
    <t>Upstream, overgrown with smaller channel. than downstream. Significant outlet drop.. 10:44:11</t>
  </si>
  <si>
    <t>Highway 27 S</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</si>
  <si>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</si>
  <si>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</si>
  <si>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Moss Creek</t>
  </si>
  <si>
    <t>Inlet almost completely blocked by debris and wood. Wetland upstream. Beaver dam blocking most of water just downstream of outlet pool.  Chinook observations noted downstream MoTi chris_culvert_id: 1804629. 13:01:50</t>
  </si>
  <si>
    <t>Redmond Creek</t>
  </si>
  <si>
    <t>Big, deep outlet pool. Water is flowing from inlet under the pipe for ~10m and then entering pipe through small hole and then flowing in pipe to outlet.  Very near Nechako on unpaved road.  Perched pipe. MoTi chris_culvert_id: 1804624. 13:44:39</t>
  </si>
  <si>
    <t>Walker Rd</t>
  </si>
  <si>
    <t>Very small channel. Agricultural fields upstream and downstream of crossing with no tree cover.  Seems likely historic wetland area. MoTi chris_culvert_id: 1800221. 14:39:14</t>
  </si>
  <si>
    <t>Tributary to Hulatt Creek</t>
  </si>
  <si>
    <t>Barsness Rd</t>
  </si>
  <si>
    <t>Dewatered pasture upstream with vegetated channel. Small channel downstream with no water.  MoTi chris_culvert_id: 1807349. 15:54:33</t>
  </si>
  <si>
    <t>Gilbert Creek</t>
  </si>
  <si>
    <t>Gilbert Rd</t>
  </si>
  <si>
    <t>Landowner reports there hasn't been water in stream since the spring.  MoTi chris_culvert_id: 1806660. 10:18:36</t>
  </si>
  <si>
    <t>Sturgeon Point Rd</t>
  </si>
  <si>
    <t>Mostly dewatered channel with small amount of water in outlet pool.. Large outlet drop. No well defined channel upstream. Channel width and gradient estimated as areas immediately upstream and downstream are fenced off.  MoTi chris_culvert_id: 1801616. 10:37:09</t>
  </si>
  <si>
    <t>Bave Rd</t>
  </si>
  <si>
    <t>Two pipes. Dewatered at tiime of assessment.  Large outlet drop. Debris jam near outlet blocking channel. Grassy habitat upstream, with small channel.  MoTi chris_culvert_id: 1802489, 1802490. 11:10:27</t>
  </si>
  <si>
    <t>Leona Creek</t>
  </si>
  <si>
    <t>Sackner Rd</t>
  </si>
  <si>
    <t>Dewatered at time of assessment. Very small channel upstream. Culvert was installed deep down into the valley.  MoTi chris_culvert_id: 1801777. 11:40:33</t>
  </si>
  <si>
    <t>Leduc Creek</t>
  </si>
  <si>
    <t>Dewatered at time of assessment. Small channel. Inlet side is fenced off by barbed wire. MoTi chris_culvert_id: 1801803. 12:10:19</t>
  </si>
  <si>
    <t>Strieger Rd</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</si>
  <si>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</si>
  <si>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</si>
  <si>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</si>
  <si>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Nine Mile Creek</t>
  </si>
  <si>
    <t>Dog Creek FSR</t>
  </si>
  <si>
    <t>MOTI Unclassified</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</si>
  <si>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</si>
  <si>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Settlement Rd</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</si>
  <si>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</si>
  <si>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Goldie Creek</t>
  </si>
  <si>
    <t>Highway 16 W</t>
  </si>
  <si>
    <t>Dewatered stream.  Large outlet pool. Pipe very corroded on outlet side. Wide stream channel upstream.  Grassy channel downstream.  Fully backwatered at time of assessdmnt. MoTi chris_culvert_id: 3738843. 08:55:03</t>
  </si>
  <si>
    <t>Croft Creek</t>
  </si>
  <si>
    <t>Landaluza Rd</t>
  </si>
  <si>
    <t>Wetland upstream and downstream. Culvert blocked with some debris and overgrown with vegetation. Probably hasn't been flow through pipe in a while.. 09:26:55</t>
  </si>
  <si>
    <t>Endako River</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</si>
  <si>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</si>
  <si>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Allen Creek</t>
  </si>
  <si>
    <t>Dewatered at time of assessment.  Wide channel, private land on both sides. Culvert looks old and corroded, abundant fill in barrel.  MoTi chris_culvert_id: 2076438. 12:44:04</t>
  </si>
  <si>
    <t>Powder House Creek</t>
  </si>
  <si>
    <t>Dewatered at time of assessment. Small pool near outlet.  Rainbow confirmed in past upstream. Two 3m falls noted 450m upstream. in FISS. Culvert is very old, corroded and has holes in bottom.  MoTi chris_culvert_id: 2076418. 13:18:49</t>
  </si>
  <si>
    <t>Rail</t>
  </si>
  <si>
    <t>CN Rail</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</si>
  <si>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</si>
  <si>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Decker Creek</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</si>
  <si>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</si>
  <si>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Gauvin Creek</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</si>
  <si>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</si>
  <si>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Guyishton Creek</t>
  </si>
  <si>
    <t>Highway 35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</si>
  <si>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</si>
  <si>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Wardrop Creek</t>
  </si>
  <si>
    <t>Culvert almost fully embedded except for small section at inlet side. Small fish seen in culvert and upstream of crossing. Moderate flow, wide channel. RB confirmed upstream in past.  MoTi chris_hwy_structure_road_id: 3880. 16:36:18</t>
  </si>
  <si>
    <t>Sheraton Creek</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</si>
  <si>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</si>
  <si>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Unnamed</t>
  </si>
  <si>
    <t>Burns Lake</t>
  </si>
  <si>
    <t>Near entrance to lumber yard, Babine Forest Products Ltd. Barrier just upstream. Railway downstream has not been assessed yet. Big outlet drop with very deep pool. Wide stream channel with low water levels. RB upstream.. 11:25:01</t>
  </si>
  <si>
    <t>Four Mile Creek</t>
  </si>
  <si>
    <t>Culverts runs underneath highway and railway. Outlet could not be located Creek found below railway and flows to the Endako confluence. Beaver grate on inlet side.  MoTi chris_culvert_id: 1793819. 13:07:39</t>
  </si>
  <si>
    <t>Robertson Creek</t>
  </si>
  <si>
    <t>Dewatered at time of assessment.  RB, LKC and LSU confirmed upstream in past. Foster Creek joins this stream just upstream of crossing. Old culvert, bent in middle. Unassessed railway crossing downstream. MoTi chris_culvert_id: 1793375. 14:27:03</t>
  </si>
  <si>
    <t>Lily Lake Rd</t>
  </si>
  <si>
    <t>Dewatered at time of assessment. Fenced off private land on both sides. Small outlet drop.  MoTi chris_culvert_id: 3343582. 15:19:42</t>
  </si>
  <si>
    <t>Tributary to Smith Creek</t>
  </si>
  <si>
    <t>Wetland habitat upstream and downstream. Beaver in culvert at time of survey.  Beaver exclusion cage on inlet. Small debris jam at outlet. Fish presence confirmed just downstream of culvert.  Leg Lake just upstream. MoTi chris_culvert_id: 1795039. 15:51:16</t>
  </si>
  <si>
    <t>Smith Creek</t>
  </si>
  <si>
    <t>Lily Lake Road</t>
  </si>
  <si>
    <t>Wide stream channel, dewatered at time of survey.  Small pool near outlet, no flowing water.   Likely important migration corridor as this is a large system. MoTi chris_hwy_structure_road_id: 3743. 16:09:38</t>
  </si>
  <si>
    <t>Neuro Creek</t>
  </si>
  <si>
    <t>Ens Rd</t>
  </si>
  <si>
    <t>Dewatered at time of assessment. Very small and hard to find channel. Overgrown and little stream substrate present. Upstream fenced off on private land. . 09:24:18</t>
  </si>
  <si>
    <t>Tributary to Neuco Creek</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</si>
  <si>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</si>
  <si>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</si>
  <si>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Hulatt Creek</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</si>
  <si>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</si>
  <si>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Tributary to Cluculz Lake</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</si>
  <si>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</si>
  <si>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Norman Creek</t>
  </si>
  <si>
    <t>Lloyd Dr</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</si>
  <si>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</si>
  <si>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Tributary to Bednesti Lake</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</si>
  <si>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</si>
  <si>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Zelkwas Creek</t>
  </si>
  <si>
    <t>Isle Pierre Rd</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</si>
  <si>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</si>
  <si>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Sweden Creek</t>
  </si>
  <si>
    <t>Outlet drop but no pool. Small amount of flow in pipe. Holes in bottom of pipe near outlet where water is flowing through and under. Very murky, turbid water upstream with no flow. Abundant boulders around outlet.  MoTi chris_culvert_id: 3773627. 14:57:37</t>
  </si>
  <si>
    <t>Kellogg Creek</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</si>
  <si>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</si>
  <si>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</si>
  <si>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Little Beaverley Creek</t>
  </si>
  <si>
    <t>Two pipes but only one is functioning and has small amount of flow through it. Very small channel.  Observed chinook in FISS downstream of confluence with Beaverley Creek at ~100m from the crossing and ~30m from the confluence.  MoTi chris_culvert_id: 1975199. 16:46:37</t>
  </si>
  <si>
    <t>Upper Mud River Rd</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</si>
  <si>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</si>
  <si>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</si>
  <si>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Tributary to Beaverley Creek</t>
  </si>
  <si>
    <t>East Beaverley Rd</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</si>
  <si>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</si>
  <si>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Snowshoe Creek</t>
  </si>
  <si>
    <t>Highway 16a</t>
  </si>
  <si>
    <t>High value spawning and rearing habitat upstream.  Massive outlet pool with erosion indicates culvert is extremely under sized.   Candy et al 2002 notes chinoook spawning in this system.   MoTi chris_hwy_structure_road_id: 3751. 17:54:33</t>
  </si>
  <si>
    <t>Tributary to Fraser River</t>
  </si>
  <si>
    <t>Penny Rd</t>
  </si>
  <si>
    <t>Unknown</t>
  </si>
  <si>
    <t>Small stream, overgrown with vegetation in sections. Pipe is made of plastic. Some gravels present,  with moderate flow. Unassessed rail crossing just upstream that appears passable. Downstream crossings on private property.. 11:30:44</t>
  </si>
  <si>
    <t>Railway</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</si>
  <si>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</si>
  <si>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72 Mile Creek</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</si>
  <si>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</si>
  <si>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</si>
  <si>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</si>
  <si>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</si>
  <si>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Carrier R07924</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</si>
  <si>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</si>
  <si>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</si>
  <si>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</si>
  <si>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</si>
  <si>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</si>
  <si>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Tributary to Read Creek</t>
  </si>
  <si>
    <t>Gray Rd</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</si>
  <si>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</si>
  <si>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Robinson Creek</t>
  </si>
  <si>
    <t>Upper Fraser Rd</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</si>
  <si>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</si>
  <si>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</si>
  <si>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Upper Fraser Road</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</si>
  <si>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</si>
  <si>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</si>
  <si>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</si>
  <si>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Tributary to Kenneth Creek</t>
  </si>
  <si>
    <t>Bowron FSR</t>
  </si>
  <si>
    <t>MOF</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</si>
  <si>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</si>
  <si>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Kenneth Creek</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</si>
  <si>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</si>
  <si>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</si>
  <si>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</si>
  <si>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Tributary to Sugarbowl Creek</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</si>
  <si>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</si>
  <si>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</si>
  <si>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</si>
  <si>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Hungary Creek</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</si>
  <si>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</si>
  <si>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Lunate Creek</t>
  </si>
  <si>
    <t>Massive outlet drop and deep pool,  both depths estimated. Signs of beaver activity near inlet. There is an old well-like structure attached to inlet side.Water could be flowing through underneath surface, not visible.   MoTi chris_culvert_id: 1992863. 13:34:08</t>
  </si>
  <si>
    <t>Penny Access Road</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</si>
  <si>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</si>
  <si>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Tributary to Driscoll Creek</t>
  </si>
  <si>
    <t>Big wetland upstream. Inlet could not be found, likely submerged. Small channel downstream, pipe looks old and in bad shape. Overflow pipe near first pipe but not functioning currently.   MoTi chris_culvert_id: 1992855. 14:06:57</t>
  </si>
  <si>
    <t>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</si>
  <si>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Driscoll Creek</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</si>
  <si>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</si>
  <si>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Catfish Creek</t>
  </si>
  <si>
    <t>Shallow Fill</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</si>
  <si>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</si>
  <si>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</si>
  <si>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Clyde Creek</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</si>
  <si>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</si>
  <si>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</si>
  <si>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Cranberry Creek</t>
  </si>
  <si>
    <t>Pine Road</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</si>
  <si>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</si>
  <si>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Hankins Creek</t>
  </si>
  <si>
    <t>Eddy Rd</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</si>
  <si>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</si>
  <si>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Dominion Creek</t>
  </si>
  <si>
    <t>1st Ave</t>
  </si>
  <si>
    <t>McBride</t>
  </si>
  <si>
    <t>Two culverts,  one bigger than the other. Debris jams at inlet creating drop and increasing stream velocity in pipe. Rail crossing upstream is a concrete OBS. Channel wider downstream than upstream.. 11:06:36</t>
  </si>
  <si>
    <t>Tributary to Dominion Creek</t>
  </si>
  <si>
    <t>Horseshoe Lake Rd</t>
  </si>
  <si>
    <t>Dewateredat crossing with large wetland area upstream. Flow goes through mainstem of Dominion Creek just north through town.  MoTi chris_culvert_id: 1462891. 11:52:44</t>
  </si>
  <si>
    <t>Crooked Creek</t>
  </si>
  <si>
    <t>Loseth Road</t>
  </si>
  <si>
    <t>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</si>
  <si>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</si>
  <si>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Teepee Creek</t>
  </si>
  <si>
    <t>Highway 5</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</si>
  <si>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</si>
  <si>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Tributary to Fraser river</t>
  </si>
  <si>
    <t>Hinkelman Rd</t>
  </si>
  <si>
    <t>Very small stream with low flow. Embankment above outlet has been covered to prevent rockslide.  MoTi chris_culvert_id: 1461358. 13:46:10</t>
  </si>
  <si>
    <t>L‚ÄôEsrange Creek</t>
  </si>
  <si>
    <t>L‚Äôheureux Road</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</si>
  <si>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</si>
  <si>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Goslin Creek</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</si>
  <si>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</si>
  <si>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Holliday Creek</t>
  </si>
  <si>
    <t>Culvert is undersized for a stream of this size. High flow,  channel is just over 10m wide upstream. Chinook confirmed downstream in the past.   MoTi chris_hwy_structure_road_id: 29925. 14:39:41</t>
  </si>
  <si>
    <t>River Rd</t>
  </si>
  <si>
    <t>Small stream with low flow. Muddy, fine substrate makes up most of streambed. Very close to Fraser River.  MoTi chris_culvert_id: 3189063. 15:17:53</t>
  </si>
  <si>
    <t>Spittal Creek</t>
  </si>
  <si>
    <t>Care Road</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</si>
  <si>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</si>
  <si>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Read Rd</t>
  </si>
  <si>
    <t>Stream flows through private fenced off land on both sides. Moderate flow and a wide entrenched channel upstream. It appears cobbles are the predominant stream substrate and gravels subdominant.  MoTi chris_culvert_id: 1463590. 15:57:40</t>
  </si>
  <si>
    <t>Concrete Box</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</si>
  <si>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</si>
  <si>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Rentoul Creek</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</si>
  <si>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</si>
  <si>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West Decker Rd</t>
  </si>
  <si>
    <t>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</si>
  <si>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Stearns Creek</t>
  </si>
  <si>
    <t>Tintagel Road</t>
  </si>
  <si>
    <t>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</si>
  <si>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Three 4 m diameter pipes.  All three pipes are 100% backwatered, and passable.  Road prism and pipes appear to be in good condition.  Extensive beaver activity upstream and downstream.            MoTi chris_hwy_structure_road_id: 3812. 11:35:39</t>
  </si>
  <si>
    <t>Tahultzu Creek</t>
  </si>
  <si>
    <t>Zalenski Road</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</si>
  <si>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</si>
  <si>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Ormond Creek</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</si>
  <si>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</si>
  <si>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Northside Rd</t>
  </si>
  <si>
    <t>Agricultural land on both sides and cow pasture downstream. Fully backwatered culvert with no flowing water. Cows seen intruding into the stream channel at time of survey.  MoTi chris_culvert_id: 1799951. 10:55:03</t>
  </si>
  <si>
    <t>Larson Road</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</si>
  <si>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</si>
  <si>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</si>
  <si>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Highway 27S</t>
  </si>
  <si>
    <t>Wetland upstream and downstream. A lot of beaver activity upstream, big pond near inlet. Culvert is very warped on inlet side.  Chinook observations downstream on nearby Clear Creek. MoTi chris_culvert_id: 1806178. 09:56:44</t>
  </si>
  <si>
    <t>Fourteen Mile Rd</t>
  </si>
  <si>
    <t>Two pipes, approx 15m apart but part of same system. No flowing water through either. Signs of beaver activity upstream.  MoTi chris_culvert_id: 3343588. 11:05:23</t>
  </si>
  <si>
    <t>Chilco Ave</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</si>
  <si>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</si>
  <si>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</si>
  <si>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</si>
  <si>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Relief Creek</t>
  </si>
  <si>
    <t>Long pipe, no outlet drop but culvert is partially backwatered at outlet. Small fish spotted in outlet pool. Upstream goes into private land and is fenced off.  MoTi chris_culvert_id: 2076443. 12:13:13</t>
  </si>
  <si>
    <t>Roumieu drive</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</si>
  <si>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</si>
  <si>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Steams Creek</t>
  </si>
  <si>
    <t>Backwatered at outlet but some flow upstream and downstream.  Some gravels upstream.  Private property on both sides.  RB confirmed upstream.  Downstream railway crossing yet to be assessed.  MoTi chris_culvert_id: 3100655. 09:23:27</t>
  </si>
  <si>
    <t>Tchesinkut Creek</t>
  </si>
  <si>
    <t>Wetland downstream and upstream. Stream channel upstream is more defined. Pipe is fully backwatered.  Medium habitat value given due to presence of water at this location when other areas of this same stream were dry. MoTi chris_hwy_structure_road_id: 2141. 12:21:46</t>
  </si>
  <si>
    <t>Tributary to Chilako River</t>
  </si>
  <si>
    <t>Gregg FSR</t>
  </si>
  <si>
    <t>Obvious signs of beaver activity. Big dam near inlet and small dam just downstream of outlet as well. Small channel downstream with no water with wetland upstream. MoTi chris_culvert_id: 1976775. 12:19:45</t>
  </si>
  <si>
    <t>Penny street</t>
  </si>
  <si>
    <t>Northwood R02900</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</si>
  <si>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</si>
  <si>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</si>
  <si>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Wolfe Creek</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</si>
  <si>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</si>
  <si>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</si>
  <si>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Tributary to Aleza Lake</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</si>
  <si>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</si>
  <si>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MOF 7141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</si>
  <si>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</si>
  <si>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</si>
  <si>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</si>
  <si>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</si>
  <si>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</si>
  <si>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Sauls Creek</t>
  </si>
  <si>
    <t>Railway Avenue</t>
  </si>
  <si>
    <t>There are three 1.5m pipes located under Railway Avenue continuing all the way under the railway line.  Pipes are embedded at or more than 50% of their depth.  Stream was dry at the time of assessment and scoured channels indicate a fairly small system.. 15:25:25</t>
  </si>
  <si>
    <t>Sickness Road</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</si>
  <si>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</si>
  <si>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Trankle Creek</t>
  </si>
  <si>
    <t>Dewatered, no well-defined stream channel. Agricultural fields on both sides.  Embeddedness estimated from photos. MoTi chris_culvert_id: 1804664. 14:18:04</t>
  </si>
  <si>
    <t>Tintagel Creek</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</si>
  <si>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</si>
  <si>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</si>
  <si>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Sugarbowl Creek</t>
  </si>
  <si>
    <t>Embedded culvert, high flowing mountain stream. Very clear and wide channel. Gradient increases upstream.  Fully embedded pipe so likley passable for all species and life stages at perhaps all but very high flows. MoTi chris_culvert_id: 1992808. 11:55:36</t>
  </si>
  <si>
    <t>Shelby Creek</t>
  </si>
  <si>
    <t>Airport Rd</t>
  </si>
  <si>
    <t>Chinook and mountain whitefish confirmed just upstream in 2019. Continuously embedded culvert. Grassy habitat upstream with little riparian on streambanks near crossing. Fines were the predominant stream substrate.. 09:09:59</t>
  </si>
  <si>
    <t>Cranberry Lake Road</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</si>
  <si>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</si>
  <si>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2nd Ave</t>
  </si>
  <si>
    <t>Continuously embedded culvert. Wide channel with moderate flow. High value habitat. 10:09:03</t>
  </si>
  <si>
    <t>Teare Creek</t>
  </si>
  <si>
    <t>Jeck Rd</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</si>
  <si>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</si>
  <si>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</si>
  <si>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</si>
  <si>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Gala Lake Road</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</si>
  <si>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</si>
  <si>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</si>
  <si>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Government Rd</t>
  </si>
  <si>
    <t>Open Bottom Structure</t>
  </si>
  <si>
    <t>Bridge</t>
  </si>
  <si>
    <t>Dry channel.  Bridge.. 14:56:53</t>
  </si>
  <si>
    <t>Glans Drive</t>
  </si>
  <si>
    <t>Pipe Arch</t>
  </si>
  <si>
    <t>Pipe arch. Passable.  Modelled crossings 5406290 and 5400675 downstream adjacent to Burn's Lake shoreline have not been assessed.. 17:53:31</t>
  </si>
  <si>
    <t>Williams FSR</t>
  </si>
  <si>
    <t>Bridge with sign from Fraser lake sawmills. Extensive cattle trampling underneath the bridge, but some decent amount of water at this location.. 14:46:03</t>
  </si>
  <si>
    <t>Tatsutnai Creek</t>
  </si>
  <si>
    <t>Barlow FSR</t>
  </si>
  <si>
    <t>Canfor R11286</t>
  </si>
  <si>
    <t>Bridge. Good flow. 15:02:17</t>
  </si>
  <si>
    <t>Spur</t>
  </si>
  <si>
    <t>Restoration work conducted at this crossing. No flowing water at time of survey. Livestock field upstream. Goats seen trampling through stream channel.. 09:59:33</t>
  </si>
  <si>
    <t>Redmountain Creek</t>
  </si>
  <si>
    <t>Penny St</t>
  </si>
  <si>
    <t>Wide stream with high flows and good habitat. Bridge on railway just upstream. Major moti structure was in the wrong spot on the map.  MoTi chris_hwy_structure_road_id: 3626. 11:13:09</t>
  </si>
  <si>
    <t>AI MW</t>
  </si>
  <si>
    <t>Dahl Creek</t>
  </si>
  <si>
    <t>Gregg Creek FSR</t>
  </si>
  <si>
    <t>MOF 5416</t>
  </si>
  <si>
    <t>Other</t>
  </si>
  <si>
    <t>Deactivated road. Ford passable by 4x4 vehicles. 11:50:24</t>
  </si>
  <si>
    <t>Unclassified</t>
  </si>
  <si>
    <t>NA. 14:54:00</t>
  </si>
  <si>
    <t>Canfor R09185</t>
  </si>
  <si>
    <t>Deactivated road. Old culverts seen in pictures, now a ford.. 16:15:48</t>
  </si>
  <si>
    <t>Small trail, wide channel.. 10:00:48</t>
  </si>
  <si>
    <t>Sheet</t>
  </si>
  <si>
    <t>Row</t>
  </si>
  <si>
    <t xml:space="preserve">Error Message </t>
  </si>
  <si>
    <t>Cover Page</t>
  </si>
  <si>
    <t>The supplied value of '' is not valid for Funding Source Code. A Funding Source Code must be supplied from the provided list.</t>
  </si>
  <si>
    <t>Ford</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</si>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</sst>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3">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i/>
      <sz val="11"/>
      <color indexed="8"/>
      <name val="Arial"/>
      <family val="2"/>
    </font>
    <font>
      <b/>
      <sz val="11"/>
      <color indexed="10"/>
      <name val="Calibri"/>
      <family val="2"/>
    </font>
    <font>
      <u/>
      <sz val="10"/>
      <color theme="10"/>
      <name val="Arial"/>
      <family val="2"/>
    </font>
    <font>
      <b/>
      <sz val="9"/>
      <color rgb="FF000000"/>
      <name val="Tahoma"/>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19"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7" fillId="0" borderId="0" xfId="0" applyFont="1" applyAlignment="1">
      <alignment horizontal="center" wrapText="1"/>
    </xf>
    <xf numFmtId="0" fontId="1" fillId="7" borderId="0" xfId="0" applyFont="1" applyFill="1" applyAlignment="1">
      <alignment vertical="top"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19"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1" fillId="0" borderId="0" xfId="0" applyFont="1" applyAlignment="1">
      <alignment wrapText="1"/>
    </xf>
    <xf numFmtId="0" fontId="9" fillId="7" borderId="0" xfId="0" applyFont="1" applyFill="1" applyAlignment="1">
      <alignment wrapText="1"/>
    </xf>
    <xf numFmtId="0" fontId="9" fillId="0" borderId="0" xfId="0" applyFont="1" applyAlignment="1">
      <alignment wrapText="1"/>
    </xf>
    <xf numFmtId="0" fontId="9" fillId="7" borderId="1" xfId="0" applyFont="1" applyFill="1" applyBorder="1" applyAlignment="1">
      <alignment horizontal="center" wrapText="1"/>
    </xf>
    <xf numFmtId="3" fontId="0" fillId="0" borderId="0" xfId="0" applyNumberFormat="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0</v>
      </c>
    </row>
    <row r="2" spans="1:20" ht="18">
      <c r="A2" s="1" t="s">
        <v>1</v>
      </c>
      <c r="Q2" s="2"/>
      <c r="R2" s="2"/>
      <c r="T2" s="2">
        <v>0</v>
      </c>
    </row>
    <row r="4" spans="1:20" ht="16">
      <c r="A4" s="3" t="s">
        <v>2</v>
      </c>
    </row>
    <row r="6" spans="1:20" ht="16">
      <c r="A6" s="23" t="s">
        <v>3</v>
      </c>
      <c r="B6" t="s">
        <v>4</v>
      </c>
    </row>
    <row r="8" spans="1:20" ht="64">
      <c r="A8" s="23" t="s">
        <v>5</v>
      </c>
      <c r="B8" s="71" t="s">
        <v>6</v>
      </c>
    </row>
    <row r="9" spans="1:20">
      <c r="A9" s="35"/>
      <c r="B9" s="34"/>
    </row>
    <row r="10" spans="1:20" ht="48">
      <c r="A10" s="23" t="s">
        <v>7</v>
      </c>
      <c r="B10" s="71" t="s">
        <v>8</v>
      </c>
    </row>
    <row r="11" spans="1:20" ht="96">
      <c r="A11" s="23"/>
      <c r="B11" s="50" t="s">
        <v>9</v>
      </c>
    </row>
    <row r="12" spans="1:20" ht="48">
      <c r="A12" s="35"/>
      <c r="B12" s="48" t="s">
        <v>10</v>
      </c>
    </row>
    <row r="13" spans="1:20" ht="32">
      <c r="A13" s="35"/>
      <c r="B13" s="51" t="s">
        <v>11</v>
      </c>
    </row>
    <row r="14" spans="1:20">
      <c r="A14" s="35"/>
      <c r="B14" s="47"/>
    </row>
    <row r="15" spans="1:20" ht="402.5" customHeight="1">
      <c r="A15" s="23" t="s">
        <v>12</v>
      </c>
      <c r="B15" s="71" t="s">
        <v>13</v>
      </c>
    </row>
    <row r="16" spans="1:20">
      <c r="A16" s="35"/>
      <c r="B16" s="71"/>
    </row>
    <row r="17" spans="1:2" ht="80">
      <c r="A17" s="23" t="s">
        <v>14</v>
      </c>
      <c r="B17" s="71" t="s">
        <v>15</v>
      </c>
    </row>
    <row r="18" spans="1:2">
      <c r="A18" s="35"/>
      <c r="B18" s="35"/>
    </row>
    <row r="19" spans="1:2" ht="48">
      <c r="A19" s="23" t="s">
        <v>16</v>
      </c>
      <c r="B19" s="71" t="s">
        <v>17</v>
      </c>
    </row>
    <row r="20" spans="1:2" ht="32">
      <c r="B20" s="50" t="s">
        <v>18</v>
      </c>
    </row>
    <row r="22" spans="1:2" ht="16">
      <c r="A22" s="23" t="s">
        <v>19</v>
      </c>
      <c r="B22" s="82"/>
    </row>
    <row r="23" spans="1:2" ht="48">
      <c r="A23" s="23"/>
      <c r="B23" s="83" t="s">
        <v>20</v>
      </c>
    </row>
    <row r="24" spans="1:2" ht="16">
      <c r="A24" s="23"/>
      <c r="B24" s="84"/>
    </row>
    <row r="25" spans="1:2" ht="48">
      <c r="A25" s="23"/>
      <c r="B25" s="83" t="s">
        <v>21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25" sqref="B25"/>
    </sheetView>
  </sheetViews>
  <sheetFormatPr baseColWidth="10" defaultColWidth="8.83203125" defaultRowHeight="15"/>
  <cols>
    <col min="1" max="1" width="38.5" customWidth="1"/>
    <col min="2" max="2" width="49.1640625" customWidth="1"/>
  </cols>
  <sheetData>
    <row r="1" spans="1:20" ht="18">
      <c r="A1" s="1" t="s">
        <v>0</v>
      </c>
    </row>
    <row r="2" spans="1:20" ht="18">
      <c r="A2" s="1" t="s">
        <v>1</v>
      </c>
      <c r="Q2" s="2" t="s">
        <v>22</v>
      </c>
      <c r="R2" s="2" t="s">
        <v>23</v>
      </c>
      <c r="T2" s="2">
        <v>0</v>
      </c>
    </row>
    <row r="4" spans="1:20">
      <c r="A4" s="4" t="s">
        <v>24</v>
      </c>
      <c r="B4" t="s">
        <v>25</v>
      </c>
    </row>
    <row r="5" spans="1:20">
      <c r="A5" s="4" t="s">
        <v>26</v>
      </c>
      <c r="B5" t="s">
        <v>27</v>
      </c>
    </row>
    <row r="6" spans="1:20">
      <c r="A6" s="4"/>
      <c r="B6" s="10"/>
    </row>
    <row r="7" spans="1:20">
      <c r="A7" s="4" t="s">
        <v>28</v>
      </c>
      <c r="B7" s="77" t="s">
        <v>29</v>
      </c>
    </row>
    <row r="8" spans="1:20">
      <c r="A8" s="4" t="s">
        <v>30</v>
      </c>
      <c r="B8" t="s">
        <v>31</v>
      </c>
    </row>
    <row r="9" spans="1:20">
      <c r="A9" s="4" t="s">
        <v>32</v>
      </c>
      <c r="B9" t="s">
        <v>33</v>
      </c>
    </row>
    <row r="10" spans="1:20">
      <c r="A10" s="4" t="s">
        <v>34</v>
      </c>
      <c r="B10" s="78" t="s">
        <v>35</v>
      </c>
    </row>
    <row r="11" spans="1:20">
      <c r="A11" s="4"/>
      <c r="B11" s="10"/>
    </row>
    <row r="12" spans="1:20">
      <c r="A12" s="4" t="s">
        <v>36</v>
      </c>
      <c r="B12" s="77" t="s">
        <v>37</v>
      </c>
    </row>
    <row r="13" spans="1:20">
      <c r="A13" s="4" t="s">
        <v>38</v>
      </c>
      <c r="B13" t="s">
        <v>31</v>
      </c>
    </row>
    <row r="14" spans="1:20">
      <c r="A14" s="4" t="s">
        <v>39</v>
      </c>
      <c r="B14" t="s">
        <v>33</v>
      </c>
    </row>
    <row r="15" spans="1:20">
      <c r="A15" s="4" t="s">
        <v>40</v>
      </c>
      <c r="B15" s="78" t="s">
        <v>35</v>
      </c>
    </row>
    <row r="16" spans="1:20">
      <c r="A16" s="4"/>
      <c r="B16" s="10"/>
    </row>
    <row r="17" spans="1:2">
      <c r="A17" s="4" t="s">
        <v>41</v>
      </c>
      <c r="B17" s="86">
        <v>30000</v>
      </c>
    </row>
    <row r="18" spans="1:2">
      <c r="A18" s="4" t="s">
        <v>42</v>
      </c>
      <c r="B18" t="s">
        <v>495</v>
      </c>
    </row>
    <row r="20" spans="1:2" ht="48">
      <c r="A20" s="49"/>
      <c r="B20" s="85" t="s">
        <v>43</v>
      </c>
    </row>
    <row r="250" spans="1:2">
      <c r="A250" t="s">
        <v>44</v>
      </c>
      <c r="B250" t="s">
        <v>45</v>
      </c>
    </row>
    <row r="251" spans="1:2">
      <c r="A251" t="s">
        <v>46</v>
      </c>
      <c r="B251" t="s">
        <v>47</v>
      </c>
    </row>
  </sheetData>
  <conditionalFormatting sqref="B17:B18">
    <cfRule type="containsBlanks" dxfId="8" priority="7" stopIfTrue="1">
      <formula>LEN(TRIM(B17))=0</formula>
    </cfRule>
  </conditionalFormatting>
  <conditionalFormatting sqref="B4:B5">
    <cfRule type="containsBlanks" dxfId="7" priority="6" stopIfTrue="1">
      <formula>LEN(TRIM(B4))=0</formula>
    </cfRule>
  </conditionalFormatting>
  <conditionalFormatting sqref="B8:B10">
    <cfRule type="containsBlanks" dxfId="6" priority="5"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D1" zoomScaleNormal="100" workbookViewId="0">
      <pane ySplit="4" topLeftCell="A165" activePane="bottomLeft" state="frozen"/>
      <selection pane="bottomLeft" activeCell="M181" sqref="M181"/>
    </sheetView>
  </sheetViews>
  <sheetFormatPr baseColWidth="10" defaultColWidth="8.83203125" defaultRowHeight="15"/>
  <cols>
    <col min="1" max="1" width="13.1640625" style="18" customWidth="1"/>
    <col min="2" max="2" width="17.5" style="52" customWidth="1"/>
    <col min="3" max="3" width="17.1640625" style="10" customWidth="1"/>
    <col min="4" max="4" width="22.5" style="10" customWidth="1"/>
    <col min="5" max="5" width="9.1640625" style="11" customWidth="1"/>
    <col min="6" max="6" width="9.5" style="37" bestFit="1" customWidth="1"/>
    <col min="7" max="7" width="12" style="37"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48</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6" t="s">
        <v>49</v>
      </c>
      <c r="B3" s="29"/>
      <c r="C3" s="29"/>
      <c r="D3" s="29"/>
      <c r="E3" s="30"/>
      <c r="F3" s="36"/>
      <c r="G3" s="36"/>
      <c r="H3" s="30"/>
      <c r="I3" s="30"/>
      <c r="J3" s="31"/>
      <c r="K3" s="30"/>
      <c r="L3" s="32" t="s">
        <v>50</v>
      </c>
      <c r="M3" s="25"/>
      <c r="N3" s="24"/>
      <c r="O3" s="24"/>
      <c r="P3" s="25"/>
      <c r="Q3" s="24"/>
      <c r="R3" s="25"/>
      <c r="S3" s="25"/>
      <c r="T3" s="25"/>
      <c r="U3" s="24"/>
      <c r="V3" s="25"/>
      <c r="W3" s="24"/>
      <c r="X3" s="25"/>
      <c r="Y3" s="24"/>
      <c r="Z3" s="38" t="s">
        <v>51</v>
      </c>
      <c r="AA3" s="39"/>
      <c r="AB3" s="39"/>
      <c r="AC3" s="39"/>
      <c r="AD3" s="39"/>
      <c r="AE3" s="39"/>
      <c r="AF3" s="40" t="s">
        <v>52</v>
      </c>
      <c r="AG3" s="41"/>
      <c r="AH3" s="41"/>
      <c r="AI3" s="41"/>
      <c r="AJ3" s="42"/>
      <c r="AK3" s="41"/>
      <c r="AL3" s="41"/>
      <c r="AM3" s="42"/>
      <c r="AN3" s="43" t="s">
        <v>53</v>
      </c>
      <c r="AO3" s="44"/>
      <c r="AP3" s="45"/>
    </row>
    <row r="4" spans="1:42" s="70" customFormat="1" ht="35.25" customHeight="1">
      <c r="A4" s="54" t="s">
        <v>54</v>
      </c>
      <c r="B4" s="55" t="s">
        <v>55</v>
      </c>
      <c r="C4" s="56" t="s">
        <v>56</v>
      </c>
      <c r="D4" s="56" t="s">
        <v>57</v>
      </c>
      <c r="E4" s="56" t="s">
        <v>58</v>
      </c>
      <c r="F4" s="57" t="s">
        <v>59</v>
      </c>
      <c r="G4" s="57" t="s">
        <v>60</v>
      </c>
      <c r="H4" s="56" t="s">
        <v>61</v>
      </c>
      <c r="I4" s="56" t="s">
        <v>62</v>
      </c>
      <c r="J4" s="58" t="s">
        <v>63</v>
      </c>
      <c r="K4" s="56" t="s">
        <v>64</v>
      </c>
      <c r="L4" s="59" t="s">
        <v>65</v>
      </c>
      <c r="M4" s="59" t="s">
        <v>66</v>
      </c>
      <c r="N4" s="60" t="s">
        <v>67</v>
      </c>
      <c r="O4" s="60" t="s">
        <v>68</v>
      </c>
      <c r="P4" s="59" t="s">
        <v>69</v>
      </c>
      <c r="Q4" s="60" t="s">
        <v>70</v>
      </c>
      <c r="R4" s="59" t="s">
        <v>71</v>
      </c>
      <c r="S4" s="59" t="s">
        <v>72</v>
      </c>
      <c r="T4" s="59" t="s">
        <v>73</v>
      </c>
      <c r="U4" s="60" t="s">
        <v>74</v>
      </c>
      <c r="V4" s="59" t="s">
        <v>75</v>
      </c>
      <c r="W4" s="60" t="s">
        <v>76</v>
      </c>
      <c r="X4" s="59" t="s">
        <v>77</v>
      </c>
      <c r="Y4" s="60" t="s">
        <v>78</v>
      </c>
      <c r="Z4" s="61" t="s">
        <v>79</v>
      </c>
      <c r="AA4" s="62" t="s">
        <v>80</v>
      </c>
      <c r="AB4" s="62" t="s">
        <v>81</v>
      </c>
      <c r="AC4" s="62" t="s">
        <v>82</v>
      </c>
      <c r="AD4" s="62" t="s">
        <v>83</v>
      </c>
      <c r="AE4" s="62" t="s">
        <v>84</v>
      </c>
      <c r="AF4" s="63" t="s">
        <v>85</v>
      </c>
      <c r="AG4" s="64" t="s">
        <v>86</v>
      </c>
      <c r="AH4" s="64" t="s">
        <v>87</v>
      </c>
      <c r="AI4" s="64" t="s">
        <v>88</v>
      </c>
      <c r="AJ4" s="64" t="s">
        <v>89</v>
      </c>
      <c r="AK4" s="64" t="s">
        <v>90</v>
      </c>
      <c r="AL4" s="65" t="s">
        <v>91</v>
      </c>
      <c r="AM4" s="66" t="s">
        <v>92</v>
      </c>
      <c r="AN4" s="67" t="s">
        <v>93</v>
      </c>
      <c r="AO4" s="68" t="s">
        <v>94</v>
      </c>
      <c r="AP4" s="69" t="s">
        <v>95</v>
      </c>
    </row>
    <row r="5" spans="1:42" ht="32">
      <c r="A5" s="53">
        <v>45197</v>
      </c>
      <c r="C5" s="10">
        <v>5400442</v>
      </c>
      <c r="D5" s="10" t="s">
        <v>96</v>
      </c>
      <c r="E5" s="11">
        <v>10</v>
      </c>
      <c r="F5" s="37">
        <v>311759</v>
      </c>
      <c r="G5" s="37">
        <v>6025526</v>
      </c>
      <c r="H5" s="11" t="s">
        <v>97</v>
      </c>
      <c r="I5" s="11" t="s">
        <v>98</v>
      </c>
      <c r="J5" s="33"/>
      <c r="K5" s="11" t="s">
        <v>99</v>
      </c>
      <c r="L5" s="10" t="s">
        <v>100</v>
      </c>
      <c r="M5" s="10" t="s">
        <v>101</v>
      </c>
      <c r="N5" s="79">
        <v>7.1</v>
      </c>
      <c r="O5" s="79">
        <v>24</v>
      </c>
      <c r="P5" s="10" t="s">
        <v>102</v>
      </c>
      <c r="Q5" s="80"/>
      <c r="R5" s="10" t="s">
        <v>102</v>
      </c>
      <c r="S5" s="10" t="s">
        <v>102</v>
      </c>
      <c r="T5" s="80"/>
      <c r="U5" s="10">
        <v>1.8</v>
      </c>
      <c r="V5" s="10">
        <v>0.85</v>
      </c>
      <c r="W5" s="10">
        <v>1.3</v>
      </c>
      <c r="X5" s="10" t="s">
        <v>102</v>
      </c>
      <c r="Y5" s="10">
        <v>2.5</v>
      </c>
      <c r="Z5" s="10">
        <v>10</v>
      </c>
      <c r="AA5" s="10">
        <v>1.5</v>
      </c>
      <c r="AB5" s="10" t="s">
        <v>102</v>
      </c>
      <c r="AC5" s="10" t="s">
        <v>102</v>
      </c>
      <c r="AD5" s="10" t="s">
        <v>103</v>
      </c>
      <c r="AE5" s="10" t="s">
        <v>104</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105</v>
      </c>
      <c r="AO5" s="10">
        <v>15</v>
      </c>
      <c r="AP5" s="72" t="s">
        <v>106</v>
      </c>
    </row>
    <row r="6" spans="1:42" ht="16">
      <c r="A6" s="53">
        <v>45197</v>
      </c>
      <c r="C6" s="10">
        <v>24707052</v>
      </c>
      <c r="D6" s="10" t="s">
        <v>96</v>
      </c>
      <c r="E6" s="11">
        <v>10</v>
      </c>
      <c r="F6" s="37">
        <v>311577</v>
      </c>
      <c r="G6" s="37">
        <v>6025364</v>
      </c>
      <c r="H6" s="10" t="s">
        <v>97</v>
      </c>
      <c r="I6" s="11" t="s">
        <v>107</v>
      </c>
      <c r="J6" s="33"/>
      <c r="K6" s="10" t="s">
        <v>99</v>
      </c>
      <c r="L6" s="10" t="s">
        <v>100</v>
      </c>
      <c r="M6" s="10" t="s">
        <v>101</v>
      </c>
      <c r="N6" s="79">
        <v>3.6</v>
      </c>
      <c r="O6" s="79">
        <v>22.5</v>
      </c>
      <c r="P6" s="10" t="s">
        <v>102</v>
      </c>
      <c r="Q6" s="80"/>
      <c r="R6" s="10" t="s">
        <v>102</v>
      </c>
      <c r="S6" s="10" t="s">
        <v>102</v>
      </c>
      <c r="T6" s="80"/>
      <c r="U6" s="10">
        <v>2</v>
      </c>
      <c r="V6" s="10">
        <v>0</v>
      </c>
      <c r="W6" s="10">
        <v>0.6</v>
      </c>
      <c r="X6" s="10" t="s">
        <v>102</v>
      </c>
      <c r="Y6" s="10">
        <v>0</v>
      </c>
      <c r="Z6" s="10">
        <v>4</v>
      </c>
      <c r="AA6" s="10">
        <v>0.5</v>
      </c>
      <c r="AB6" s="10" t="s">
        <v>102</v>
      </c>
      <c r="AC6" s="10" t="s">
        <v>102</v>
      </c>
      <c r="AD6" s="10" t="s">
        <v>103</v>
      </c>
      <c r="AE6" s="10" t="s">
        <v>104</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10" t="s">
        <v>105</v>
      </c>
      <c r="AO6" s="10">
        <v>15</v>
      </c>
      <c r="AP6" s="72" t="s">
        <v>108</v>
      </c>
    </row>
    <row r="7" spans="1:42" ht="16">
      <c r="A7" s="53">
        <v>45198</v>
      </c>
      <c r="C7" s="10">
        <v>5400216</v>
      </c>
      <c r="D7" s="10" t="s">
        <v>96</v>
      </c>
      <c r="E7" s="11">
        <v>10</v>
      </c>
      <c r="F7" s="37">
        <v>341709</v>
      </c>
      <c r="G7" s="37">
        <v>6003118</v>
      </c>
      <c r="H7" s="10" t="s">
        <v>97</v>
      </c>
      <c r="I7" s="11" t="s">
        <v>98</v>
      </c>
      <c r="J7" s="33"/>
      <c r="K7" s="10" t="s">
        <v>99</v>
      </c>
      <c r="L7" s="10" t="s">
        <v>100</v>
      </c>
      <c r="M7" s="10" t="s">
        <v>101</v>
      </c>
      <c r="N7" s="21">
        <v>1.8</v>
      </c>
      <c r="O7" s="21">
        <v>25</v>
      </c>
      <c r="P7" s="10" t="s">
        <v>102</v>
      </c>
      <c r="Q7" s="80"/>
      <c r="R7" s="10" t="s">
        <v>109</v>
      </c>
      <c r="S7" s="10" t="s">
        <v>102</v>
      </c>
      <c r="T7" s="80"/>
      <c r="U7" s="10">
        <v>2</v>
      </c>
      <c r="V7" s="10">
        <v>0</v>
      </c>
      <c r="W7" s="10">
        <v>0.3</v>
      </c>
      <c r="X7" s="10" t="s">
        <v>102</v>
      </c>
      <c r="Y7" s="10">
        <v>2</v>
      </c>
      <c r="Z7" s="10">
        <v>2.6</v>
      </c>
      <c r="AA7" s="10">
        <v>1</v>
      </c>
      <c r="AB7" s="10" t="s">
        <v>102</v>
      </c>
      <c r="AC7" s="10" t="s">
        <v>102</v>
      </c>
      <c r="AD7" s="10" t="s">
        <v>103</v>
      </c>
      <c r="AE7" s="10" t="s">
        <v>104</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10" t="s">
        <v>105</v>
      </c>
      <c r="AO7" s="10">
        <v>15</v>
      </c>
      <c r="AP7" s="10" t="s">
        <v>110</v>
      </c>
    </row>
    <row r="8" spans="1:42" ht="16">
      <c r="A8" s="53">
        <v>45198</v>
      </c>
      <c r="B8" s="76"/>
      <c r="C8" s="10">
        <v>5400121</v>
      </c>
      <c r="D8" s="10" t="s">
        <v>96</v>
      </c>
      <c r="E8" s="11">
        <v>10</v>
      </c>
      <c r="F8" s="37">
        <v>346590</v>
      </c>
      <c r="G8" s="37">
        <v>6001339</v>
      </c>
      <c r="H8" s="10" t="s">
        <v>97</v>
      </c>
      <c r="I8" s="11" t="s">
        <v>111</v>
      </c>
      <c r="J8" s="73"/>
      <c r="K8" s="75" t="s">
        <v>112</v>
      </c>
      <c r="L8" s="10" t="s">
        <v>100</v>
      </c>
      <c r="M8" s="10" t="s">
        <v>101</v>
      </c>
      <c r="N8" s="21">
        <v>0.6</v>
      </c>
      <c r="O8" s="21">
        <v>13.5</v>
      </c>
      <c r="P8" s="10" t="s">
        <v>102</v>
      </c>
      <c r="Q8" s="80"/>
      <c r="R8" s="10" t="s">
        <v>102</v>
      </c>
      <c r="S8" s="10" t="s">
        <v>102</v>
      </c>
      <c r="T8" s="80"/>
      <c r="U8" s="10">
        <v>0.7</v>
      </c>
      <c r="V8" s="10">
        <v>0.1</v>
      </c>
      <c r="W8" s="10">
        <v>0.25</v>
      </c>
      <c r="X8" s="10" t="s">
        <v>102</v>
      </c>
      <c r="Y8" s="10">
        <v>3</v>
      </c>
      <c r="Z8" s="10">
        <v>1.8</v>
      </c>
      <c r="AA8" s="10">
        <v>0.5</v>
      </c>
      <c r="AB8" s="10" t="s">
        <v>109</v>
      </c>
      <c r="AC8" s="10" t="s">
        <v>102</v>
      </c>
      <c r="AD8" s="10" t="s">
        <v>103</v>
      </c>
      <c r="AE8" s="10" t="s">
        <v>104</v>
      </c>
      <c r="AF8" s="20">
        <f t="shared" si="0"/>
        <v>3</v>
      </c>
      <c r="AG8" s="13">
        <f t="shared" si="1"/>
        <v>0</v>
      </c>
      <c r="AH8" s="7">
        <f t="shared" si="2"/>
        <v>10</v>
      </c>
      <c r="AI8" s="7">
        <f t="shared" si="3"/>
        <v>0</v>
      </c>
      <c r="AJ8" s="7">
        <f t="shared" si="4"/>
        <v>10</v>
      </c>
      <c r="AK8" s="7">
        <f t="shared" si="5"/>
        <v>6</v>
      </c>
      <c r="AL8" s="12">
        <f t="shared" si="6"/>
        <v>26</v>
      </c>
      <c r="AM8" s="14" t="str">
        <f t="shared" si="7"/>
        <v>Barrier</v>
      </c>
      <c r="AN8" s="10" t="s">
        <v>113</v>
      </c>
      <c r="AO8" s="10">
        <v>3</v>
      </c>
      <c r="AP8" s="10" t="s">
        <v>114</v>
      </c>
    </row>
    <row r="9" spans="1:42" ht="16">
      <c r="A9" s="53">
        <v>45198</v>
      </c>
      <c r="C9" s="10">
        <v>5400192</v>
      </c>
      <c r="D9" s="10" t="s">
        <v>96</v>
      </c>
      <c r="E9" s="11">
        <v>10</v>
      </c>
      <c r="F9" s="37">
        <v>353705</v>
      </c>
      <c r="G9" s="37">
        <v>5996651</v>
      </c>
      <c r="H9" s="72" t="s">
        <v>115</v>
      </c>
      <c r="I9" s="11" t="s">
        <v>98</v>
      </c>
      <c r="J9" s="33"/>
      <c r="K9" s="75" t="s">
        <v>99</v>
      </c>
      <c r="L9" s="10" t="s">
        <v>100</v>
      </c>
      <c r="M9" s="10" t="s">
        <v>101</v>
      </c>
      <c r="N9" s="21">
        <v>1.55</v>
      </c>
      <c r="O9" s="21">
        <v>23</v>
      </c>
      <c r="P9" s="10" t="s">
        <v>102</v>
      </c>
      <c r="Q9" s="80"/>
      <c r="R9" s="10" t="s">
        <v>102</v>
      </c>
      <c r="S9" s="10" t="s">
        <v>102</v>
      </c>
      <c r="T9" s="80"/>
      <c r="U9" s="10">
        <v>1.8</v>
      </c>
      <c r="V9" s="10">
        <v>0</v>
      </c>
      <c r="W9" s="10">
        <v>0</v>
      </c>
      <c r="X9" s="10" t="s">
        <v>102</v>
      </c>
      <c r="Y9" s="10">
        <v>1</v>
      </c>
      <c r="Z9" s="10">
        <v>1.6</v>
      </c>
      <c r="AA9" s="10">
        <v>2.5</v>
      </c>
      <c r="AB9" s="10" t="s">
        <v>102</v>
      </c>
      <c r="AC9" s="10" t="s">
        <v>102</v>
      </c>
      <c r="AD9" s="10" t="s">
        <v>103</v>
      </c>
      <c r="AE9" s="10" t="s">
        <v>104</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10" t="s">
        <v>113</v>
      </c>
      <c r="AO9" s="10">
        <v>3</v>
      </c>
      <c r="AP9" s="10" t="s">
        <v>116</v>
      </c>
    </row>
    <row r="10" spans="1:42" ht="16">
      <c r="A10" s="53">
        <v>45198</v>
      </c>
      <c r="C10" s="10">
        <v>5400235</v>
      </c>
      <c r="D10" s="10" t="s">
        <v>96</v>
      </c>
      <c r="E10" s="11">
        <v>10</v>
      </c>
      <c r="F10" s="37">
        <v>371691</v>
      </c>
      <c r="G10" s="37">
        <v>5993173</v>
      </c>
      <c r="H10" s="72" t="s">
        <v>117</v>
      </c>
      <c r="I10" s="11" t="s">
        <v>98</v>
      </c>
      <c r="J10" s="33"/>
      <c r="K10" s="10" t="s">
        <v>99</v>
      </c>
      <c r="L10" s="10" t="s">
        <v>100</v>
      </c>
      <c r="M10" s="10" t="s">
        <v>101</v>
      </c>
      <c r="N10" s="21">
        <v>0.9</v>
      </c>
      <c r="O10" s="21">
        <v>20</v>
      </c>
      <c r="P10" s="10" t="s">
        <v>102</v>
      </c>
      <c r="Q10" s="81"/>
      <c r="R10" s="10" t="s">
        <v>102</v>
      </c>
      <c r="S10" s="10" t="s">
        <v>102</v>
      </c>
      <c r="T10" s="81"/>
      <c r="U10" s="21">
        <v>0.7</v>
      </c>
      <c r="V10" s="10">
        <v>1.2</v>
      </c>
      <c r="W10" s="21">
        <v>0.4</v>
      </c>
      <c r="X10" s="10" t="s">
        <v>102</v>
      </c>
      <c r="Y10" s="21">
        <v>2</v>
      </c>
      <c r="Z10" s="21">
        <v>1</v>
      </c>
      <c r="AA10" s="10">
        <v>3</v>
      </c>
      <c r="AB10" s="10" t="s">
        <v>102</v>
      </c>
      <c r="AC10" s="10" t="s">
        <v>102</v>
      </c>
      <c r="AD10" s="10" t="s">
        <v>103</v>
      </c>
      <c r="AE10" s="10" t="s">
        <v>118</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10" t="s">
        <v>113</v>
      </c>
      <c r="AO10" s="21">
        <v>3</v>
      </c>
      <c r="AP10" s="10" t="s">
        <v>119</v>
      </c>
    </row>
    <row r="11" spans="1:42" ht="16">
      <c r="A11" s="53">
        <v>45198</v>
      </c>
      <c r="C11" s="72">
        <v>5400045</v>
      </c>
      <c r="D11" s="10" t="s">
        <v>96</v>
      </c>
      <c r="E11" s="10">
        <v>10</v>
      </c>
      <c r="F11" s="74">
        <v>391513</v>
      </c>
      <c r="G11" s="74">
        <v>5991795</v>
      </c>
      <c r="H11" s="72" t="s">
        <v>120</v>
      </c>
      <c r="I11" s="11" t="s">
        <v>98</v>
      </c>
      <c r="J11" s="33"/>
      <c r="K11" s="10" t="s">
        <v>99</v>
      </c>
      <c r="L11" s="10" t="s">
        <v>100</v>
      </c>
      <c r="M11" s="10" t="s">
        <v>101</v>
      </c>
      <c r="N11" s="21">
        <v>1.5</v>
      </c>
      <c r="O11" s="21">
        <v>50</v>
      </c>
      <c r="P11" s="10" t="s">
        <v>102</v>
      </c>
      <c r="Q11" s="81"/>
      <c r="R11" s="10" t="s">
        <v>102</v>
      </c>
      <c r="S11" s="10" t="s">
        <v>102</v>
      </c>
      <c r="T11" s="81"/>
      <c r="U11" s="21">
        <v>9.9</v>
      </c>
      <c r="V11" s="10">
        <v>0.4</v>
      </c>
      <c r="W11" s="21">
        <v>0.5</v>
      </c>
      <c r="X11" s="10" t="s">
        <v>102</v>
      </c>
      <c r="Y11" s="21">
        <v>0.5</v>
      </c>
      <c r="Z11" s="21">
        <v>4</v>
      </c>
      <c r="AA11" s="10">
        <v>2</v>
      </c>
      <c r="AB11" s="10" t="s">
        <v>102</v>
      </c>
      <c r="AC11" s="10" t="s">
        <v>102</v>
      </c>
      <c r="AD11" s="10" t="s">
        <v>103</v>
      </c>
      <c r="AE11" s="10" t="s">
        <v>104</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105</v>
      </c>
      <c r="AO11" s="10">
        <v>35.5</v>
      </c>
      <c r="AP11" s="10" t="s">
        <v>121</v>
      </c>
    </row>
    <row r="12" spans="1:42" ht="16">
      <c r="A12" s="53">
        <v>45199</v>
      </c>
      <c r="C12" s="10">
        <v>5400003</v>
      </c>
      <c r="D12" s="10" t="s">
        <v>96</v>
      </c>
      <c r="E12" s="11">
        <v>10</v>
      </c>
      <c r="F12" s="37">
        <v>377178</v>
      </c>
      <c r="G12" s="37">
        <v>5993874</v>
      </c>
      <c r="H12" s="11" t="s">
        <v>122</v>
      </c>
      <c r="I12" s="11" t="s">
        <v>123</v>
      </c>
      <c r="J12" s="33"/>
      <c r="K12" s="11" t="s">
        <v>99</v>
      </c>
      <c r="L12" s="10" t="s">
        <v>100</v>
      </c>
      <c r="M12" s="10" t="s">
        <v>101</v>
      </c>
      <c r="N12" s="21">
        <v>0.6</v>
      </c>
      <c r="O12" s="21">
        <v>23</v>
      </c>
      <c r="P12" s="10" t="s">
        <v>102</v>
      </c>
      <c r="Q12" s="80"/>
      <c r="R12" s="10" t="s">
        <v>102</v>
      </c>
      <c r="S12" s="10" t="s">
        <v>102</v>
      </c>
      <c r="T12" s="81"/>
      <c r="U12" s="21">
        <v>4</v>
      </c>
      <c r="V12" s="10">
        <v>0.3</v>
      </c>
      <c r="W12" s="21">
        <v>0</v>
      </c>
      <c r="X12" s="10" t="s">
        <v>102</v>
      </c>
      <c r="Y12" s="21">
        <v>1</v>
      </c>
      <c r="Z12" s="21">
        <v>1</v>
      </c>
      <c r="AA12" s="10">
        <v>2</v>
      </c>
      <c r="AB12" s="10" t="s">
        <v>102</v>
      </c>
      <c r="AC12" s="10" t="s">
        <v>102</v>
      </c>
      <c r="AD12" s="10" t="s">
        <v>103</v>
      </c>
      <c r="AE12" s="10" t="s">
        <v>118</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113</v>
      </c>
      <c r="AO12" s="21">
        <v>3</v>
      </c>
      <c r="AP12" s="10" t="s">
        <v>124</v>
      </c>
    </row>
    <row r="13" spans="1:42" ht="16">
      <c r="A13" s="53">
        <v>45199</v>
      </c>
      <c r="C13" s="10">
        <v>5400202</v>
      </c>
      <c r="D13" s="10" t="s">
        <v>96</v>
      </c>
      <c r="E13" s="11">
        <v>10</v>
      </c>
      <c r="F13" s="37">
        <v>388944</v>
      </c>
      <c r="G13" s="37">
        <v>5997002</v>
      </c>
      <c r="H13" s="11" t="s">
        <v>120</v>
      </c>
      <c r="I13" s="11" t="s">
        <v>125</v>
      </c>
      <c r="K13" s="11" t="s">
        <v>112</v>
      </c>
      <c r="L13" s="10" t="s">
        <v>100</v>
      </c>
      <c r="M13" s="10" t="s">
        <v>101</v>
      </c>
      <c r="N13" s="21">
        <v>1</v>
      </c>
      <c r="O13" s="21">
        <v>13</v>
      </c>
      <c r="P13" s="10" t="s">
        <v>102</v>
      </c>
      <c r="Q13" s="80"/>
      <c r="R13" s="10" t="s">
        <v>102</v>
      </c>
      <c r="S13" s="10" t="s">
        <v>102</v>
      </c>
      <c r="T13" s="80"/>
      <c r="U13" s="21">
        <v>1</v>
      </c>
      <c r="V13" s="10">
        <v>0.8</v>
      </c>
      <c r="W13" s="21">
        <v>0.6</v>
      </c>
      <c r="X13" s="10" t="s">
        <v>102</v>
      </c>
      <c r="Y13" s="21">
        <v>4.5</v>
      </c>
      <c r="Z13" s="21">
        <v>1.7</v>
      </c>
      <c r="AA13" s="10">
        <v>2</v>
      </c>
      <c r="AB13" s="10" t="s">
        <v>102</v>
      </c>
      <c r="AC13" s="10" t="s">
        <v>102</v>
      </c>
      <c r="AD13" s="10" t="s">
        <v>103</v>
      </c>
      <c r="AE13" s="10" t="s">
        <v>126</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10" t="s">
        <v>113</v>
      </c>
      <c r="AO13" s="21">
        <v>3</v>
      </c>
      <c r="AP13" s="10" t="s">
        <v>127</v>
      </c>
    </row>
    <row r="14" spans="1:42" ht="16">
      <c r="A14" s="53">
        <v>45199</v>
      </c>
      <c r="C14" s="10">
        <v>5400203</v>
      </c>
      <c r="D14" s="10" t="s">
        <v>96</v>
      </c>
      <c r="E14" s="11">
        <v>10</v>
      </c>
      <c r="F14" s="37">
        <v>388270</v>
      </c>
      <c r="G14" s="37">
        <v>5996949</v>
      </c>
      <c r="H14" s="11" t="s">
        <v>128</v>
      </c>
      <c r="I14" s="11" t="s">
        <v>123</v>
      </c>
      <c r="K14" s="11" t="s">
        <v>99</v>
      </c>
      <c r="L14" s="10" t="s">
        <v>100</v>
      </c>
      <c r="M14" s="10" t="s">
        <v>101</v>
      </c>
      <c r="N14" s="21">
        <v>1.1000000000000001</v>
      </c>
      <c r="O14" s="21">
        <v>25</v>
      </c>
      <c r="P14" s="10" t="s">
        <v>102</v>
      </c>
      <c r="Q14" s="80"/>
      <c r="R14" s="10" t="s">
        <v>102</v>
      </c>
      <c r="S14" s="10" t="s">
        <v>102</v>
      </c>
      <c r="T14" s="80"/>
      <c r="U14" s="21">
        <v>5</v>
      </c>
      <c r="V14" s="10">
        <v>1.4</v>
      </c>
      <c r="W14" s="21">
        <v>0.2</v>
      </c>
      <c r="X14" s="10" t="s">
        <v>102</v>
      </c>
      <c r="Y14" s="21">
        <v>4.5</v>
      </c>
      <c r="Z14" s="21">
        <v>2.6</v>
      </c>
      <c r="AA14" s="10">
        <v>2</v>
      </c>
      <c r="AB14" s="10" t="s">
        <v>102</v>
      </c>
      <c r="AC14" s="10" t="s">
        <v>102</v>
      </c>
      <c r="AD14" s="10" t="s">
        <v>103</v>
      </c>
      <c r="AE14" s="10" t="s">
        <v>126</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10" t="s">
        <v>105</v>
      </c>
      <c r="AO14" s="21">
        <v>21</v>
      </c>
      <c r="AP14" s="10" t="s">
        <v>129</v>
      </c>
    </row>
    <row r="15" spans="1:42" ht="32">
      <c r="A15" s="53">
        <v>45199</v>
      </c>
      <c r="C15" s="10">
        <v>15600277</v>
      </c>
      <c r="D15" s="10" t="s">
        <v>96</v>
      </c>
      <c r="E15" s="11">
        <v>10</v>
      </c>
      <c r="F15" s="37">
        <v>398933</v>
      </c>
      <c r="G15" s="37">
        <v>5996365</v>
      </c>
      <c r="H15" s="11" t="s">
        <v>130</v>
      </c>
      <c r="I15" s="11" t="s">
        <v>131</v>
      </c>
      <c r="K15" s="11" t="s">
        <v>99</v>
      </c>
      <c r="L15" s="10" t="s">
        <v>100</v>
      </c>
      <c r="M15" s="10" t="s">
        <v>101</v>
      </c>
      <c r="N15" s="21">
        <v>0.95</v>
      </c>
      <c r="O15" s="21">
        <v>11.5</v>
      </c>
      <c r="P15" s="10" t="s">
        <v>102</v>
      </c>
      <c r="Q15" s="80"/>
      <c r="R15" s="10" t="s">
        <v>102</v>
      </c>
      <c r="S15" s="10" t="s">
        <v>102</v>
      </c>
      <c r="T15" s="81"/>
      <c r="U15" s="21">
        <v>1.5</v>
      </c>
      <c r="V15" s="10">
        <v>0.4</v>
      </c>
      <c r="W15" s="21">
        <v>1</v>
      </c>
      <c r="X15" s="10" t="s">
        <v>102</v>
      </c>
      <c r="Y15" s="21">
        <v>3</v>
      </c>
      <c r="Z15" s="21">
        <v>2.7</v>
      </c>
      <c r="AA15" s="10">
        <v>3</v>
      </c>
      <c r="AB15" s="10" t="s">
        <v>109</v>
      </c>
      <c r="AC15" s="10" t="s">
        <v>109</v>
      </c>
      <c r="AD15" s="10" t="s">
        <v>103</v>
      </c>
      <c r="AE15" s="10" t="s">
        <v>126</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10" t="s">
        <v>105</v>
      </c>
      <c r="AO15" s="21">
        <v>15</v>
      </c>
      <c r="AP15" s="10" t="s">
        <v>132</v>
      </c>
    </row>
    <row r="16" spans="1:42" ht="32">
      <c r="A16" s="53">
        <v>45199</v>
      </c>
      <c r="C16" s="10">
        <v>15604478</v>
      </c>
      <c r="D16" s="10" t="s">
        <v>96</v>
      </c>
      <c r="E16" s="11">
        <v>10</v>
      </c>
      <c r="F16" s="37">
        <v>397160</v>
      </c>
      <c r="G16" s="37">
        <v>5996558</v>
      </c>
      <c r="H16" s="11" t="s">
        <v>130</v>
      </c>
      <c r="I16" s="11" t="s">
        <v>133</v>
      </c>
      <c r="J16" s="22">
        <v>1.1000000000000001</v>
      </c>
      <c r="K16" s="11" t="s">
        <v>134</v>
      </c>
      <c r="L16" s="10" t="s">
        <v>100</v>
      </c>
      <c r="M16" s="10" t="s">
        <v>101</v>
      </c>
      <c r="N16" s="21">
        <v>1.45</v>
      </c>
      <c r="O16" s="21">
        <v>16</v>
      </c>
      <c r="P16" s="10" t="s">
        <v>102</v>
      </c>
      <c r="Q16" s="80"/>
      <c r="R16" s="10" t="s">
        <v>102</v>
      </c>
      <c r="S16" s="10" t="s">
        <v>102</v>
      </c>
      <c r="T16" s="81"/>
      <c r="U16" s="21">
        <v>0.5</v>
      </c>
      <c r="V16" s="10">
        <v>0</v>
      </c>
      <c r="W16" s="21">
        <v>0.2</v>
      </c>
      <c r="X16" s="10" t="s">
        <v>109</v>
      </c>
      <c r="Y16" s="21">
        <v>2</v>
      </c>
      <c r="Z16" s="21">
        <v>2.5</v>
      </c>
      <c r="AA16" s="10">
        <v>0.5</v>
      </c>
      <c r="AB16" s="10" t="s">
        <v>102</v>
      </c>
      <c r="AC16" s="10" t="s">
        <v>102</v>
      </c>
      <c r="AD16" s="10" t="s">
        <v>103</v>
      </c>
      <c r="AE16" s="10" t="s">
        <v>104</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10" t="s">
        <v>105</v>
      </c>
      <c r="AO16" s="21">
        <v>15</v>
      </c>
      <c r="AP16" s="10" t="s">
        <v>135</v>
      </c>
    </row>
    <row r="17" spans="1:42" ht="16">
      <c r="A17" s="53">
        <v>45200</v>
      </c>
      <c r="C17" s="10">
        <v>9903437</v>
      </c>
      <c r="D17" s="10" t="s">
        <v>96</v>
      </c>
      <c r="E17" s="11">
        <v>10</v>
      </c>
      <c r="F17" s="37">
        <v>500733</v>
      </c>
      <c r="G17" s="37">
        <v>5959822</v>
      </c>
      <c r="H17" s="11" t="s">
        <v>136</v>
      </c>
      <c r="I17" s="11" t="s">
        <v>137</v>
      </c>
      <c r="K17" s="11" t="s">
        <v>99</v>
      </c>
      <c r="L17" s="10" t="s">
        <v>100</v>
      </c>
      <c r="M17" s="10" t="s">
        <v>101</v>
      </c>
      <c r="N17" s="21">
        <v>1.2</v>
      </c>
      <c r="O17" s="21">
        <v>29</v>
      </c>
      <c r="P17" s="10" t="s">
        <v>102</v>
      </c>
      <c r="Q17" s="81"/>
      <c r="R17" s="10" t="s">
        <v>102</v>
      </c>
      <c r="S17" s="10" t="s">
        <v>102</v>
      </c>
      <c r="T17" s="80"/>
      <c r="U17" s="21">
        <v>2</v>
      </c>
      <c r="V17" s="10">
        <v>1.5</v>
      </c>
      <c r="W17" s="21">
        <v>0</v>
      </c>
      <c r="X17" s="10" t="s">
        <v>102</v>
      </c>
      <c r="Y17" s="21">
        <v>5</v>
      </c>
      <c r="Z17" s="21">
        <v>1.2</v>
      </c>
      <c r="AA17" s="10">
        <v>3</v>
      </c>
      <c r="AB17" s="10" t="s">
        <v>102</v>
      </c>
      <c r="AC17" s="10" t="s">
        <v>102</v>
      </c>
      <c r="AD17" s="10" t="s">
        <v>103</v>
      </c>
      <c r="AE17" s="10" t="s">
        <v>118</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10" t="s">
        <v>113</v>
      </c>
      <c r="AO17" s="21">
        <v>3</v>
      </c>
      <c r="AP17" s="10" t="s">
        <v>138</v>
      </c>
    </row>
    <row r="18" spans="1:42" ht="16">
      <c r="A18" s="53">
        <v>45200</v>
      </c>
      <c r="C18" s="10">
        <v>9901826</v>
      </c>
      <c r="D18" s="10" t="s">
        <v>96</v>
      </c>
      <c r="E18" s="11">
        <v>10</v>
      </c>
      <c r="F18" s="37">
        <v>498057</v>
      </c>
      <c r="G18" s="37">
        <v>5955884</v>
      </c>
      <c r="H18" s="11" t="s">
        <v>139</v>
      </c>
      <c r="I18" s="11" t="s">
        <v>137</v>
      </c>
      <c r="K18" s="11" t="s">
        <v>99</v>
      </c>
      <c r="L18" s="10" t="s">
        <v>100</v>
      </c>
      <c r="M18" s="10" t="s">
        <v>101</v>
      </c>
      <c r="N18" s="21">
        <v>0.9</v>
      </c>
      <c r="O18" s="21">
        <v>10</v>
      </c>
      <c r="P18" s="10" t="s">
        <v>102</v>
      </c>
      <c r="Q18" s="80"/>
      <c r="R18" s="10" t="s">
        <v>102</v>
      </c>
      <c r="S18" s="10" t="s">
        <v>102</v>
      </c>
      <c r="T18" s="81"/>
      <c r="U18" s="21">
        <v>0.8</v>
      </c>
      <c r="V18" s="10">
        <v>0.25</v>
      </c>
      <c r="W18" s="21">
        <v>0.2</v>
      </c>
      <c r="X18" s="10" t="s">
        <v>102</v>
      </c>
      <c r="Y18" s="21">
        <v>3</v>
      </c>
      <c r="Z18" s="21">
        <v>1.7</v>
      </c>
      <c r="AA18" s="10">
        <v>1</v>
      </c>
      <c r="AB18" s="10" t="s">
        <v>102</v>
      </c>
      <c r="AC18" s="10" t="s">
        <v>102</v>
      </c>
      <c r="AD18" s="10" t="s">
        <v>103</v>
      </c>
      <c r="AE18" s="10" t="s">
        <v>118</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10" t="s">
        <v>113</v>
      </c>
      <c r="AO18" s="21">
        <v>3</v>
      </c>
      <c r="AP18" s="10" t="s">
        <v>140</v>
      </c>
    </row>
    <row r="19" spans="1:42" ht="32">
      <c r="A19" s="53">
        <v>45200</v>
      </c>
      <c r="C19" s="10">
        <v>9903963</v>
      </c>
      <c r="D19" s="10" t="s">
        <v>96</v>
      </c>
      <c r="E19" s="11">
        <v>10</v>
      </c>
      <c r="F19" s="37">
        <v>491332</v>
      </c>
      <c r="G19" s="37">
        <v>5956490</v>
      </c>
      <c r="H19" s="11" t="s">
        <v>141</v>
      </c>
      <c r="I19" s="11" t="s">
        <v>142</v>
      </c>
      <c r="J19" s="33"/>
      <c r="K19" s="11" t="s">
        <v>99</v>
      </c>
      <c r="L19" s="10" t="s">
        <v>100</v>
      </c>
      <c r="M19" s="10" t="s">
        <v>101</v>
      </c>
      <c r="N19" s="21">
        <v>1.5</v>
      </c>
      <c r="O19" s="21">
        <v>16</v>
      </c>
      <c r="P19" s="10" t="s">
        <v>102</v>
      </c>
      <c r="Q19" s="80"/>
      <c r="R19" s="10" t="s">
        <v>102</v>
      </c>
      <c r="S19" s="10" t="s">
        <v>102</v>
      </c>
      <c r="T19" s="81"/>
      <c r="U19" s="21">
        <v>1.5</v>
      </c>
      <c r="V19" s="10">
        <v>0.75</v>
      </c>
      <c r="W19" s="21">
        <v>0.5</v>
      </c>
      <c r="X19" s="10" t="s">
        <v>102</v>
      </c>
      <c r="Y19" s="21">
        <v>3</v>
      </c>
      <c r="Z19" s="21">
        <v>1.7</v>
      </c>
      <c r="AA19" s="10">
        <v>1</v>
      </c>
      <c r="AB19" s="10" t="s">
        <v>109</v>
      </c>
      <c r="AC19" s="10" t="s">
        <v>102</v>
      </c>
      <c r="AD19" s="10" t="s">
        <v>103</v>
      </c>
      <c r="AE19" s="10" t="s">
        <v>118</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10" t="s">
        <v>113</v>
      </c>
      <c r="AO19" s="21">
        <v>3</v>
      </c>
      <c r="AP19" s="10" t="s">
        <v>143</v>
      </c>
    </row>
    <row r="20" spans="1:42" ht="16">
      <c r="A20" s="53">
        <v>45200</v>
      </c>
      <c r="C20" s="10">
        <v>9900367</v>
      </c>
      <c r="D20" s="10" t="s">
        <v>96</v>
      </c>
      <c r="E20" s="11">
        <v>10</v>
      </c>
      <c r="F20" s="37">
        <v>509128</v>
      </c>
      <c r="G20" s="37">
        <v>5959562</v>
      </c>
      <c r="H20" s="10" t="s">
        <v>144</v>
      </c>
      <c r="I20" s="11" t="s">
        <v>145</v>
      </c>
      <c r="J20" s="33"/>
      <c r="K20" s="11" t="s">
        <v>99</v>
      </c>
      <c r="L20" s="10" t="s">
        <v>100</v>
      </c>
      <c r="M20" s="10" t="s">
        <v>101</v>
      </c>
      <c r="N20" s="21">
        <v>4.5</v>
      </c>
      <c r="O20" s="21">
        <v>33</v>
      </c>
      <c r="P20" s="10" t="s">
        <v>102</v>
      </c>
      <c r="Q20" s="80"/>
      <c r="R20" s="10" t="s">
        <v>102</v>
      </c>
      <c r="S20" s="10" t="s">
        <v>102</v>
      </c>
      <c r="T20" s="80"/>
      <c r="U20" s="10">
        <v>2</v>
      </c>
      <c r="V20" s="10">
        <v>0</v>
      </c>
      <c r="W20" s="10">
        <v>1</v>
      </c>
      <c r="X20" s="10" t="s">
        <v>102</v>
      </c>
      <c r="Y20" s="10">
        <v>0</v>
      </c>
      <c r="Z20" s="10">
        <v>5</v>
      </c>
      <c r="AA20" s="10">
        <v>0</v>
      </c>
      <c r="AB20" s="10" t="s">
        <v>109</v>
      </c>
      <c r="AC20" s="10" t="s">
        <v>102</v>
      </c>
      <c r="AD20" s="10" t="s">
        <v>103</v>
      </c>
      <c r="AE20" s="10" t="s">
        <v>126</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10" t="s">
        <v>105</v>
      </c>
      <c r="AO20" s="10">
        <v>15</v>
      </c>
      <c r="AP20" s="10" t="s">
        <v>146</v>
      </c>
    </row>
    <row r="21" spans="1:42">
      <c r="A21" s="53">
        <v>45178</v>
      </c>
      <c r="C21" s="10">
        <v>24716727</v>
      </c>
      <c r="D21" s="10" t="s">
        <v>147</v>
      </c>
      <c r="E21" s="10">
        <v>10</v>
      </c>
      <c r="F21" s="21">
        <v>433506</v>
      </c>
      <c r="G21" s="21">
        <v>5987089</v>
      </c>
      <c r="H21" s="10" t="s">
        <v>148</v>
      </c>
      <c r="I21" s="10" t="s">
        <v>149</v>
      </c>
      <c r="J21" s="33"/>
      <c r="K21" s="10" t="s">
        <v>150</v>
      </c>
      <c r="L21" s="10" t="s">
        <v>100</v>
      </c>
      <c r="M21" s="10" t="s">
        <v>101</v>
      </c>
      <c r="N21" s="21">
        <v>5</v>
      </c>
      <c r="O21" s="21">
        <v>25</v>
      </c>
      <c r="P21" s="10" t="s">
        <v>102</v>
      </c>
      <c r="Q21" s="81"/>
      <c r="R21" s="10" t="s">
        <v>102</v>
      </c>
      <c r="S21" s="10" t="s">
        <v>102</v>
      </c>
      <c r="T21" s="81"/>
      <c r="U21" s="21">
        <v>1.5</v>
      </c>
      <c r="V21" s="10">
        <v>0</v>
      </c>
      <c r="W21" s="21">
        <v>1.5</v>
      </c>
      <c r="X21" s="10" t="s">
        <v>102</v>
      </c>
      <c r="Y21" s="21">
        <v>1.5</v>
      </c>
      <c r="Z21" s="21">
        <v>6.2</v>
      </c>
      <c r="AA21" s="10">
        <v>1</v>
      </c>
      <c r="AB21" s="10" t="s">
        <v>102</v>
      </c>
      <c r="AC21" s="10" t="s">
        <v>109</v>
      </c>
      <c r="AD21" s="10" t="s">
        <v>103</v>
      </c>
      <c r="AE21" s="10" t="s">
        <v>126</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10" t="s">
        <v>105</v>
      </c>
      <c r="AO21" s="21">
        <v>15</v>
      </c>
      <c r="AP21" s="10" t="s">
        <v>151</v>
      </c>
    </row>
    <row r="22" spans="1:42" ht="16">
      <c r="A22" s="53">
        <v>45178</v>
      </c>
      <c r="C22" s="10">
        <v>15600108</v>
      </c>
      <c r="D22" s="10" t="s">
        <v>147</v>
      </c>
      <c r="E22" s="11">
        <v>10</v>
      </c>
      <c r="F22" s="37">
        <v>429831</v>
      </c>
      <c r="G22" s="37">
        <v>5990320</v>
      </c>
      <c r="H22" s="11" t="s">
        <v>148</v>
      </c>
      <c r="I22" s="11" t="s">
        <v>152</v>
      </c>
      <c r="K22" s="11" t="s">
        <v>99</v>
      </c>
      <c r="L22" s="10" t="s">
        <v>100</v>
      </c>
      <c r="M22" s="10" t="s">
        <v>101</v>
      </c>
      <c r="N22" s="21">
        <v>2.2000000000000002</v>
      </c>
      <c r="O22" s="21">
        <v>15</v>
      </c>
      <c r="P22" s="10" t="s">
        <v>102</v>
      </c>
      <c r="Q22" s="81"/>
      <c r="R22" s="10" t="s">
        <v>102</v>
      </c>
      <c r="S22" s="10" t="s">
        <v>102</v>
      </c>
      <c r="T22" s="81"/>
      <c r="U22" s="21">
        <v>2</v>
      </c>
      <c r="V22" s="10">
        <v>0</v>
      </c>
      <c r="W22" s="21">
        <v>0.4</v>
      </c>
      <c r="X22" s="10" t="s">
        <v>102</v>
      </c>
      <c r="Y22" s="21">
        <v>0.5</v>
      </c>
      <c r="Z22" s="21">
        <v>2.1</v>
      </c>
      <c r="AA22" s="10">
        <v>1</v>
      </c>
      <c r="AB22" s="10" t="s">
        <v>102</v>
      </c>
      <c r="AC22" s="10" t="s">
        <v>102</v>
      </c>
      <c r="AD22" s="10" t="s">
        <v>103</v>
      </c>
      <c r="AE22" s="10" t="s">
        <v>104</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P22" s="10" t="s">
        <v>153</v>
      </c>
    </row>
    <row r="23" spans="1:42" ht="16">
      <c r="A23" s="53">
        <v>45178</v>
      </c>
      <c r="C23" s="10">
        <v>15600467</v>
      </c>
      <c r="D23" s="10" t="s">
        <v>147</v>
      </c>
      <c r="E23" s="11">
        <v>10</v>
      </c>
      <c r="F23" s="37">
        <v>429905</v>
      </c>
      <c r="G23" s="37">
        <v>5990198</v>
      </c>
      <c r="H23" s="11" t="s">
        <v>148</v>
      </c>
      <c r="I23" s="11" t="s">
        <v>154</v>
      </c>
      <c r="K23" s="11" t="s">
        <v>112</v>
      </c>
      <c r="L23" s="10" t="s">
        <v>100</v>
      </c>
      <c r="M23" s="10" t="s">
        <v>101</v>
      </c>
      <c r="N23" s="21">
        <v>3.2</v>
      </c>
      <c r="O23" s="21">
        <v>16</v>
      </c>
      <c r="P23" s="10" t="s">
        <v>102</v>
      </c>
      <c r="Q23" s="81"/>
      <c r="R23" s="10" t="s">
        <v>102</v>
      </c>
      <c r="S23" s="10" t="s">
        <v>102</v>
      </c>
      <c r="T23" s="81"/>
      <c r="U23" s="21">
        <v>4</v>
      </c>
      <c r="V23" s="10">
        <v>0.3</v>
      </c>
      <c r="W23" s="21">
        <v>1</v>
      </c>
      <c r="X23" s="10" t="s">
        <v>102</v>
      </c>
      <c r="Y23" s="21">
        <v>2</v>
      </c>
      <c r="Z23" s="21">
        <v>2.2000000000000002</v>
      </c>
      <c r="AA23" s="10">
        <v>1</v>
      </c>
      <c r="AB23" s="10" t="s">
        <v>102</v>
      </c>
      <c r="AC23" s="10" t="s">
        <v>102</v>
      </c>
      <c r="AD23" s="10" t="s">
        <v>103</v>
      </c>
      <c r="AE23" s="10" t="s">
        <v>104</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10" t="s">
        <v>105</v>
      </c>
      <c r="AO23" s="21">
        <v>18</v>
      </c>
      <c r="AP23" s="10" t="s">
        <v>155</v>
      </c>
    </row>
    <row r="24" spans="1:42" ht="16">
      <c r="A24" s="53">
        <v>45178</v>
      </c>
      <c r="C24" s="10">
        <v>15600107</v>
      </c>
      <c r="D24" s="10" t="s">
        <v>147</v>
      </c>
      <c r="E24" s="11">
        <v>10</v>
      </c>
      <c r="F24" s="37">
        <v>430580</v>
      </c>
      <c r="G24" s="37">
        <v>5990313</v>
      </c>
      <c r="H24" s="11" t="s">
        <v>156</v>
      </c>
      <c r="I24" s="11" t="s">
        <v>152</v>
      </c>
      <c r="K24" s="11" t="s">
        <v>112</v>
      </c>
      <c r="L24" s="10" t="s">
        <v>100</v>
      </c>
      <c r="M24" s="10" t="s">
        <v>101</v>
      </c>
      <c r="N24" s="21">
        <v>2.5</v>
      </c>
      <c r="O24" s="21">
        <v>22</v>
      </c>
      <c r="P24" s="10" t="s">
        <v>102</v>
      </c>
      <c r="Q24" s="81"/>
      <c r="R24" s="10" t="s">
        <v>102</v>
      </c>
      <c r="S24" s="10" t="s">
        <v>102</v>
      </c>
      <c r="T24" s="81"/>
      <c r="U24" s="21">
        <v>0.5</v>
      </c>
      <c r="V24" s="10">
        <v>0</v>
      </c>
      <c r="W24" s="21">
        <v>0.5</v>
      </c>
      <c r="X24" s="10" t="s">
        <v>102</v>
      </c>
      <c r="Y24" s="21">
        <v>1</v>
      </c>
      <c r="Z24" s="21">
        <v>1.7</v>
      </c>
      <c r="AA24" s="10">
        <v>1</v>
      </c>
      <c r="AB24" s="10" t="s">
        <v>102</v>
      </c>
      <c r="AC24" s="10" t="s">
        <v>102</v>
      </c>
      <c r="AD24" s="10" t="s">
        <v>103</v>
      </c>
      <c r="AE24" s="10" t="s">
        <v>118</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10" t="s">
        <v>113</v>
      </c>
      <c r="AO24" s="21">
        <v>3</v>
      </c>
      <c r="AP24" s="10" t="s">
        <v>157</v>
      </c>
    </row>
    <row r="25" spans="1:42" ht="16">
      <c r="A25" s="53">
        <v>45178</v>
      </c>
      <c r="C25" s="10">
        <v>15600190</v>
      </c>
      <c r="D25" s="10" t="s">
        <v>147</v>
      </c>
      <c r="E25" s="11">
        <v>10</v>
      </c>
      <c r="F25" s="37">
        <v>431924</v>
      </c>
      <c r="G25" s="37">
        <v>5991893</v>
      </c>
      <c r="H25" s="11" t="s">
        <v>158</v>
      </c>
      <c r="I25" s="11" t="s">
        <v>159</v>
      </c>
      <c r="K25" s="11" t="s">
        <v>112</v>
      </c>
      <c r="L25" s="10" t="s">
        <v>100</v>
      </c>
      <c r="M25" s="10" t="s">
        <v>101</v>
      </c>
      <c r="N25" s="21">
        <v>1.8</v>
      </c>
      <c r="O25" s="21">
        <v>12</v>
      </c>
      <c r="P25" s="10" t="s">
        <v>102</v>
      </c>
      <c r="Q25" s="81"/>
      <c r="R25" s="10" t="s">
        <v>102</v>
      </c>
      <c r="S25" s="10" t="s">
        <v>102</v>
      </c>
      <c r="T25" s="81"/>
      <c r="U25" s="21">
        <v>0.5</v>
      </c>
      <c r="V25" s="10">
        <v>0</v>
      </c>
      <c r="W25" s="21">
        <v>0.3</v>
      </c>
      <c r="X25" s="10" t="s">
        <v>102</v>
      </c>
      <c r="Y25" s="21">
        <v>1</v>
      </c>
      <c r="Z25" s="21">
        <v>1.6</v>
      </c>
      <c r="AA25" s="10">
        <v>1</v>
      </c>
      <c r="AB25" s="10" t="s">
        <v>102</v>
      </c>
      <c r="AC25" s="10" t="s">
        <v>102</v>
      </c>
      <c r="AD25" s="10" t="s">
        <v>103</v>
      </c>
      <c r="AE25" s="10" t="s">
        <v>118</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10" t="s">
        <v>113</v>
      </c>
      <c r="AO25" s="21">
        <v>3</v>
      </c>
      <c r="AP25" s="10" t="s">
        <v>160</v>
      </c>
    </row>
    <row r="26" spans="1:42" ht="16">
      <c r="A26" s="53">
        <v>45178</v>
      </c>
      <c r="C26" s="10">
        <v>15603995</v>
      </c>
      <c r="D26" s="10" t="s">
        <v>147</v>
      </c>
      <c r="E26" s="11">
        <v>10</v>
      </c>
      <c r="F26" s="37">
        <v>431910</v>
      </c>
      <c r="G26" s="37">
        <v>5995592</v>
      </c>
      <c r="H26" s="11" t="s">
        <v>158</v>
      </c>
      <c r="I26" s="11" t="s">
        <v>161</v>
      </c>
      <c r="K26" s="11" t="s">
        <v>112</v>
      </c>
      <c r="L26" s="10" t="s">
        <v>100</v>
      </c>
      <c r="M26" s="10" t="s">
        <v>101</v>
      </c>
      <c r="N26" s="21">
        <v>0.5</v>
      </c>
      <c r="O26" s="21">
        <v>10</v>
      </c>
      <c r="P26" s="10" t="s">
        <v>102</v>
      </c>
      <c r="Q26" s="81"/>
      <c r="R26" s="10" t="s">
        <v>102</v>
      </c>
      <c r="S26" s="10" t="s">
        <v>102</v>
      </c>
      <c r="T26" s="81"/>
      <c r="U26" s="21">
        <v>1</v>
      </c>
      <c r="V26" s="10">
        <v>0</v>
      </c>
      <c r="W26" s="21">
        <v>0</v>
      </c>
      <c r="X26" s="10" t="s">
        <v>102</v>
      </c>
      <c r="Y26" s="21">
        <v>1</v>
      </c>
      <c r="Z26" s="21">
        <v>0.7</v>
      </c>
      <c r="AA26" s="10">
        <v>1.5</v>
      </c>
      <c r="AB26" s="10" t="s">
        <v>102</v>
      </c>
      <c r="AC26" s="10" t="s">
        <v>102</v>
      </c>
      <c r="AD26" s="10" t="s">
        <v>103</v>
      </c>
      <c r="AE26" s="10" t="s">
        <v>118</v>
      </c>
      <c r="AF26" s="20">
        <f t="shared" si="8"/>
        <v>1.4</v>
      </c>
      <c r="AG26" s="13">
        <f t="shared" si="1"/>
        <v>0</v>
      </c>
      <c r="AH26" s="7">
        <f t="shared" si="2"/>
        <v>10</v>
      </c>
      <c r="AI26" s="7">
        <f t="shared" si="3"/>
        <v>0</v>
      </c>
      <c r="AJ26" s="7">
        <f t="shared" si="4"/>
        <v>5</v>
      </c>
      <c r="AK26" s="7">
        <f t="shared" si="5"/>
        <v>6</v>
      </c>
      <c r="AL26" s="12">
        <f t="shared" si="9"/>
        <v>21</v>
      </c>
      <c r="AM26" s="14" t="str">
        <f t="shared" si="7"/>
        <v>Barrier</v>
      </c>
      <c r="AN26" s="10" t="s">
        <v>113</v>
      </c>
      <c r="AO26" s="21">
        <v>3</v>
      </c>
      <c r="AP26" s="10" t="s">
        <v>162</v>
      </c>
    </row>
    <row r="27" spans="1:42" ht="16">
      <c r="A27" s="53">
        <v>45178</v>
      </c>
      <c r="C27" s="10">
        <v>15600011</v>
      </c>
      <c r="D27" s="10" t="s">
        <v>147</v>
      </c>
      <c r="E27" s="11">
        <v>10</v>
      </c>
      <c r="F27" s="37">
        <v>439543</v>
      </c>
      <c r="G27" s="37">
        <v>5988470</v>
      </c>
      <c r="H27" s="11" t="s">
        <v>163</v>
      </c>
      <c r="I27" s="11" t="s">
        <v>164</v>
      </c>
      <c r="K27" s="11" t="s">
        <v>112</v>
      </c>
      <c r="L27" s="10" t="s">
        <v>100</v>
      </c>
      <c r="M27" s="10" t="s">
        <v>101</v>
      </c>
      <c r="N27" s="21">
        <v>1.7</v>
      </c>
      <c r="O27" s="21">
        <v>14</v>
      </c>
      <c r="P27" s="10" t="s">
        <v>102</v>
      </c>
      <c r="Q27" s="81"/>
      <c r="R27" s="10" t="s">
        <v>102</v>
      </c>
      <c r="S27" s="10" t="s">
        <v>102</v>
      </c>
      <c r="T27" s="81"/>
      <c r="U27" s="21">
        <v>1.5</v>
      </c>
      <c r="V27" s="10">
        <v>0</v>
      </c>
      <c r="W27" s="21">
        <v>2</v>
      </c>
      <c r="X27" s="10" t="s">
        <v>102</v>
      </c>
      <c r="Y27" s="21">
        <v>1</v>
      </c>
      <c r="Z27" s="21">
        <v>1.7</v>
      </c>
      <c r="AA27" s="10">
        <v>1.5</v>
      </c>
      <c r="AB27" s="10" t="s">
        <v>102</v>
      </c>
      <c r="AC27" s="10" t="s">
        <v>102</v>
      </c>
      <c r="AD27" s="10" t="s">
        <v>103</v>
      </c>
      <c r="AE27" s="10" t="s">
        <v>104</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10" t="s">
        <v>113</v>
      </c>
      <c r="AO27" s="21">
        <v>3</v>
      </c>
      <c r="AP27" s="10" t="s">
        <v>165</v>
      </c>
    </row>
    <row r="28" spans="1:42" ht="16">
      <c r="A28" s="53">
        <v>45178</v>
      </c>
      <c r="C28" s="10">
        <v>15600572</v>
      </c>
      <c r="D28" s="10" t="s">
        <v>147</v>
      </c>
      <c r="E28" s="11">
        <v>10</v>
      </c>
      <c r="F28" s="37">
        <v>449681</v>
      </c>
      <c r="G28" s="37">
        <v>5990078</v>
      </c>
      <c r="H28" s="11" t="s">
        <v>166</v>
      </c>
      <c r="I28" s="11" t="s">
        <v>167</v>
      </c>
      <c r="K28" s="11" t="s">
        <v>99</v>
      </c>
      <c r="L28" s="10" t="s">
        <v>100</v>
      </c>
      <c r="M28" s="10" t="s">
        <v>101</v>
      </c>
      <c r="N28" s="21">
        <v>3</v>
      </c>
      <c r="O28" s="21">
        <v>16</v>
      </c>
      <c r="P28" s="10" t="s">
        <v>102</v>
      </c>
      <c r="Q28" s="81"/>
      <c r="R28" s="10" t="s">
        <v>102</v>
      </c>
      <c r="S28" s="10" t="s">
        <v>102</v>
      </c>
      <c r="T28" s="81"/>
      <c r="U28" s="21">
        <v>1</v>
      </c>
      <c r="V28" s="10">
        <v>0</v>
      </c>
      <c r="W28" s="21">
        <v>0</v>
      </c>
      <c r="X28" s="10" t="s">
        <v>102</v>
      </c>
      <c r="Y28" s="21">
        <v>1.5</v>
      </c>
      <c r="Z28" s="21">
        <v>3</v>
      </c>
      <c r="AA28" s="10">
        <v>1</v>
      </c>
      <c r="AB28" s="10" t="s">
        <v>102</v>
      </c>
      <c r="AC28" s="10" t="s">
        <v>102</v>
      </c>
      <c r="AD28" s="10" t="s">
        <v>103</v>
      </c>
      <c r="AE28" s="10" t="s">
        <v>118</v>
      </c>
      <c r="AF28" s="20">
        <f t="shared" si="8"/>
        <v>1</v>
      </c>
      <c r="AG28" s="13">
        <f t="shared" si="1"/>
        <v>3</v>
      </c>
      <c r="AH28" s="7">
        <f t="shared" si="2"/>
        <v>10</v>
      </c>
      <c r="AI28" s="7">
        <f t="shared" si="3"/>
        <v>0</v>
      </c>
      <c r="AJ28" s="7">
        <f t="shared" si="4"/>
        <v>5</v>
      </c>
      <c r="AK28" s="7">
        <f t="shared" si="5"/>
        <v>3</v>
      </c>
      <c r="AL28" s="12">
        <f t="shared" si="9"/>
        <v>21</v>
      </c>
      <c r="AM28" s="14" t="str">
        <f t="shared" si="7"/>
        <v>Barrier</v>
      </c>
      <c r="AN28" s="10" t="s">
        <v>105</v>
      </c>
      <c r="AO28" s="21">
        <v>15</v>
      </c>
      <c r="AP28" s="10" t="s">
        <v>168</v>
      </c>
    </row>
    <row r="29" spans="1:42" ht="16">
      <c r="A29" s="53">
        <v>45179</v>
      </c>
      <c r="C29" s="10">
        <v>15600483</v>
      </c>
      <c r="D29" s="10" t="s">
        <v>147</v>
      </c>
      <c r="E29" s="11">
        <v>10</v>
      </c>
      <c r="F29" s="37">
        <v>425343</v>
      </c>
      <c r="G29" s="37">
        <v>5991993</v>
      </c>
      <c r="H29" s="11" t="s">
        <v>169</v>
      </c>
      <c r="I29" s="11" t="s">
        <v>170</v>
      </c>
      <c r="K29" s="11" t="s">
        <v>99</v>
      </c>
      <c r="L29" s="10" t="s">
        <v>100</v>
      </c>
      <c r="M29" s="10" t="s">
        <v>171</v>
      </c>
      <c r="N29" s="21">
        <v>3.9</v>
      </c>
      <c r="O29" s="21">
        <v>17</v>
      </c>
      <c r="P29" s="10" t="s">
        <v>102</v>
      </c>
      <c r="Q29" s="81"/>
      <c r="R29" s="10" t="s">
        <v>102</v>
      </c>
      <c r="S29" s="10" t="s">
        <v>102</v>
      </c>
      <c r="T29" s="81"/>
      <c r="U29" s="21">
        <v>2</v>
      </c>
      <c r="V29" s="10">
        <v>0</v>
      </c>
      <c r="W29" s="21">
        <v>0.6</v>
      </c>
      <c r="X29" s="10" t="s">
        <v>102</v>
      </c>
      <c r="Y29" s="21">
        <v>1.5</v>
      </c>
      <c r="Z29" s="21">
        <v>4.7</v>
      </c>
      <c r="AA29" s="10">
        <v>0.5</v>
      </c>
      <c r="AB29" s="10" t="s">
        <v>102</v>
      </c>
      <c r="AC29" s="10" t="s">
        <v>102</v>
      </c>
      <c r="AD29" s="10" t="s">
        <v>103</v>
      </c>
      <c r="AE29" s="10" t="s">
        <v>126</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10" t="s">
        <v>105</v>
      </c>
      <c r="AO29" s="21">
        <v>15</v>
      </c>
      <c r="AP29" s="10" t="s">
        <v>172</v>
      </c>
    </row>
    <row r="30" spans="1:42" ht="32">
      <c r="A30" s="53">
        <v>45179</v>
      </c>
      <c r="C30" s="10">
        <v>15600493</v>
      </c>
      <c r="D30" s="10" t="s">
        <v>147</v>
      </c>
      <c r="E30" s="11">
        <v>10</v>
      </c>
      <c r="F30" s="37">
        <v>425987</v>
      </c>
      <c r="G30" s="37">
        <v>5997655</v>
      </c>
      <c r="H30" s="11" t="s">
        <v>173</v>
      </c>
      <c r="I30" s="11" t="s">
        <v>174</v>
      </c>
      <c r="K30" s="11" t="s">
        <v>112</v>
      </c>
      <c r="L30" s="10" t="s">
        <v>100</v>
      </c>
      <c r="M30" s="10" t="s">
        <v>101</v>
      </c>
      <c r="N30" s="21">
        <v>0.95</v>
      </c>
      <c r="O30" s="21">
        <v>10</v>
      </c>
      <c r="P30" s="10" t="s">
        <v>102</v>
      </c>
      <c r="Q30" s="81"/>
      <c r="R30" s="10" t="s">
        <v>102</v>
      </c>
      <c r="S30" s="10" t="s">
        <v>102</v>
      </c>
      <c r="T30" s="81"/>
      <c r="U30" s="21">
        <v>1</v>
      </c>
      <c r="V30" s="10">
        <v>0.7</v>
      </c>
      <c r="W30" s="21">
        <v>0.7</v>
      </c>
      <c r="X30" s="10" t="s">
        <v>102</v>
      </c>
      <c r="Y30" s="21">
        <v>1</v>
      </c>
      <c r="Z30" s="21">
        <v>1.1000000000000001</v>
      </c>
      <c r="AA30" s="10">
        <v>4</v>
      </c>
      <c r="AB30" s="10" t="s">
        <v>102</v>
      </c>
      <c r="AC30" s="10" t="s">
        <v>102</v>
      </c>
      <c r="AD30" s="10" t="s">
        <v>103</v>
      </c>
      <c r="AE30" s="10" t="s">
        <v>104</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10" t="s">
        <v>113</v>
      </c>
      <c r="AO30" s="21">
        <v>3</v>
      </c>
      <c r="AP30" s="10" t="s">
        <v>175</v>
      </c>
    </row>
    <row r="31" spans="1:42" ht="16">
      <c r="A31" s="53">
        <v>45179</v>
      </c>
      <c r="C31" s="10">
        <v>15600520</v>
      </c>
      <c r="D31" s="10" t="s">
        <v>147</v>
      </c>
      <c r="E31" s="11">
        <v>10</v>
      </c>
      <c r="F31" s="37">
        <v>424104</v>
      </c>
      <c r="G31" s="37">
        <v>6000564</v>
      </c>
      <c r="H31" s="11" t="s">
        <v>169</v>
      </c>
      <c r="I31" s="11" t="s">
        <v>176</v>
      </c>
      <c r="K31" s="11" t="s">
        <v>99</v>
      </c>
      <c r="L31" s="10" t="s">
        <v>100</v>
      </c>
      <c r="M31" s="10" t="s">
        <v>101</v>
      </c>
      <c r="N31" s="21">
        <v>1.6</v>
      </c>
      <c r="O31" s="21">
        <v>20</v>
      </c>
      <c r="P31" s="10" t="s">
        <v>102</v>
      </c>
      <c r="Q31" s="81"/>
      <c r="R31" s="10" t="s">
        <v>102</v>
      </c>
      <c r="S31" s="10" t="s">
        <v>102</v>
      </c>
      <c r="T31" s="81"/>
      <c r="U31" s="21">
        <v>2</v>
      </c>
      <c r="V31" s="10">
        <v>0.1</v>
      </c>
      <c r="W31" s="21">
        <v>0.6</v>
      </c>
      <c r="X31" s="10" t="s">
        <v>102</v>
      </c>
      <c r="Y31" s="21">
        <v>0</v>
      </c>
      <c r="Z31" s="21">
        <v>2.2000000000000002</v>
      </c>
      <c r="AA31" s="10">
        <v>0</v>
      </c>
      <c r="AB31" s="10" t="s">
        <v>102</v>
      </c>
      <c r="AC31" s="10" t="s">
        <v>102</v>
      </c>
      <c r="AD31" s="10" t="s">
        <v>103</v>
      </c>
      <c r="AE31" s="10" t="s">
        <v>104</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10" t="s">
        <v>105</v>
      </c>
      <c r="AO31" s="21">
        <v>15</v>
      </c>
      <c r="AP31" s="10" t="s">
        <v>177</v>
      </c>
    </row>
    <row r="32" spans="1:42" ht="16">
      <c r="A32" s="53">
        <v>45179</v>
      </c>
      <c r="C32" s="10">
        <v>15600119</v>
      </c>
      <c r="D32" s="10" t="s">
        <v>147</v>
      </c>
      <c r="E32" s="11">
        <v>10</v>
      </c>
      <c r="F32" s="37">
        <v>425557</v>
      </c>
      <c r="G32" s="37">
        <v>5996141</v>
      </c>
      <c r="H32" s="11" t="s">
        <v>169</v>
      </c>
      <c r="I32" s="11" t="s">
        <v>176</v>
      </c>
      <c r="K32" s="11" t="s">
        <v>99</v>
      </c>
      <c r="L32" s="10" t="s">
        <v>100</v>
      </c>
      <c r="M32" s="10" t="s">
        <v>101</v>
      </c>
      <c r="N32" s="21">
        <v>1.7</v>
      </c>
      <c r="O32" s="21">
        <v>22</v>
      </c>
      <c r="P32" s="10" t="s">
        <v>102</v>
      </c>
      <c r="Q32" s="81"/>
      <c r="R32" s="10" t="s">
        <v>102</v>
      </c>
      <c r="S32" s="10" t="s">
        <v>102</v>
      </c>
      <c r="T32" s="81"/>
      <c r="U32" s="21">
        <v>2.5</v>
      </c>
      <c r="V32" s="10">
        <v>0.3</v>
      </c>
      <c r="W32" s="21">
        <v>0.4</v>
      </c>
      <c r="X32" s="10" t="s">
        <v>102</v>
      </c>
      <c r="Y32" s="21">
        <v>7</v>
      </c>
      <c r="Z32" s="21">
        <v>2.5</v>
      </c>
      <c r="AA32" s="10">
        <v>5</v>
      </c>
      <c r="AB32" s="10" t="s">
        <v>102</v>
      </c>
      <c r="AC32" s="10" t="s">
        <v>102</v>
      </c>
      <c r="AD32" s="10" t="s">
        <v>103</v>
      </c>
      <c r="AE32" s="10" t="s">
        <v>126</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10" t="s">
        <v>105</v>
      </c>
      <c r="AO32" s="21">
        <v>15</v>
      </c>
      <c r="AP32" s="10" t="s">
        <v>178</v>
      </c>
    </row>
    <row r="33" spans="1:42" ht="16">
      <c r="A33" s="53">
        <v>45179</v>
      </c>
      <c r="C33" s="10">
        <v>24716705</v>
      </c>
      <c r="D33" s="10" t="s">
        <v>147</v>
      </c>
      <c r="E33" s="11">
        <v>10</v>
      </c>
      <c r="F33" s="37">
        <v>422841</v>
      </c>
      <c r="G33" s="37">
        <v>5993387</v>
      </c>
      <c r="H33" s="11" t="s">
        <v>179</v>
      </c>
      <c r="I33" s="11" t="s">
        <v>170</v>
      </c>
      <c r="K33" s="11" t="s">
        <v>99</v>
      </c>
      <c r="L33" s="10" t="s">
        <v>100</v>
      </c>
      <c r="M33" s="10" t="s">
        <v>101</v>
      </c>
      <c r="N33" s="21">
        <v>1.6</v>
      </c>
      <c r="O33" s="21">
        <v>18</v>
      </c>
      <c r="P33" s="10" t="s">
        <v>102</v>
      </c>
      <c r="Q33" s="81"/>
      <c r="R33" s="10" t="s">
        <v>102</v>
      </c>
      <c r="S33" s="10" t="s">
        <v>102</v>
      </c>
      <c r="T33" s="81"/>
      <c r="U33" s="21">
        <v>2.5</v>
      </c>
      <c r="V33" s="10">
        <v>0</v>
      </c>
      <c r="W33" s="21">
        <v>0.2</v>
      </c>
      <c r="X33" s="10" t="s">
        <v>102</v>
      </c>
      <c r="Y33" s="21">
        <v>1</v>
      </c>
      <c r="Z33" s="21">
        <v>2.2000000000000002</v>
      </c>
      <c r="AA33" s="10">
        <v>1</v>
      </c>
      <c r="AB33" s="10" t="s">
        <v>109</v>
      </c>
      <c r="AC33" s="10" t="s">
        <v>102</v>
      </c>
      <c r="AD33" s="10" t="s">
        <v>103</v>
      </c>
      <c r="AE33" s="10" t="s">
        <v>104</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10" t="s">
        <v>105</v>
      </c>
      <c r="AO33" s="21">
        <v>15</v>
      </c>
      <c r="AP33" s="10" t="s">
        <v>180</v>
      </c>
    </row>
    <row r="34" spans="1:42" ht="16">
      <c r="A34" s="53">
        <v>45179</v>
      </c>
      <c r="C34" s="10">
        <v>15600122</v>
      </c>
      <c r="D34" s="10" t="s">
        <v>147</v>
      </c>
      <c r="E34" s="11">
        <v>10</v>
      </c>
      <c r="F34" s="37">
        <v>420920</v>
      </c>
      <c r="G34" s="37">
        <v>5993688</v>
      </c>
      <c r="H34" s="11" t="s">
        <v>181</v>
      </c>
      <c r="I34" s="11" t="s">
        <v>170</v>
      </c>
      <c r="K34" s="11" t="s">
        <v>99</v>
      </c>
      <c r="L34" s="10" t="s">
        <v>100</v>
      </c>
      <c r="M34" s="10" t="s">
        <v>101</v>
      </c>
      <c r="N34" s="21">
        <v>1.5</v>
      </c>
      <c r="O34" s="21">
        <v>30</v>
      </c>
      <c r="P34" s="10" t="s">
        <v>102</v>
      </c>
      <c r="Q34" s="81"/>
      <c r="R34" s="10" t="s">
        <v>102</v>
      </c>
      <c r="S34" s="10" t="s">
        <v>102</v>
      </c>
      <c r="T34" s="81"/>
      <c r="U34" s="21">
        <v>6</v>
      </c>
      <c r="V34" s="10">
        <v>0.5</v>
      </c>
      <c r="W34" s="21">
        <v>1</v>
      </c>
      <c r="X34" s="10" t="s">
        <v>102</v>
      </c>
      <c r="Y34" s="21">
        <v>2.5</v>
      </c>
      <c r="Z34" s="21">
        <v>1.9</v>
      </c>
      <c r="AA34" s="10">
        <v>3</v>
      </c>
      <c r="AB34" s="10" t="s">
        <v>102</v>
      </c>
      <c r="AC34" s="10" t="s">
        <v>102</v>
      </c>
      <c r="AD34" s="10" t="s">
        <v>103</v>
      </c>
      <c r="AE34" s="10" t="s">
        <v>126</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10" t="s">
        <v>113</v>
      </c>
      <c r="AO34" s="21">
        <v>3</v>
      </c>
      <c r="AP34" s="10" t="s">
        <v>182</v>
      </c>
    </row>
    <row r="35" spans="1:42" ht="16">
      <c r="A35" s="53">
        <v>45179</v>
      </c>
      <c r="C35" s="10">
        <v>15600124</v>
      </c>
      <c r="D35" s="10" t="s">
        <v>147</v>
      </c>
      <c r="E35" s="11">
        <v>10</v>
      </c>
      <c r="F35" s="37">
        <v>419953</v>
      </c>
      <c r="G35" s="37">
        <v>5995257</v>
      </c>
      <c r="H35" s="11" t="s">
        <v>181</v>
      </c>
      <c r="I35" s="11" t="s">
        <v>183</v>
      </c>
      <c r="K35" s="11" t="s">
        <v>112</v>
      </c>
      <c r="L35" s="10" t="s">
        <v>100</v>
      </c>
      <c r="M35" s="10" t="s">
        <v>101</v>
      </c>
      <c r="N35" s="21">
        <v>0.6</v>
      </c>
      <c r="O35" s="21">
        <v>10</v>
      </c>
      <c r="P35" s="10" t="s">
        <v>102</v>
      </c>
      <c r="Q35" s="81"/>
      <c r="R35" s="10" t="s">
        <v>102</v>
      </c>
      <c r="S35" s="10" t="s">
        <v>102</v>
      </c>
      <c r="T35" s="81"/>
      <c r="U35" s="21">
        <v>1</v>
      </c>
      <c r="V35" s="10">
        <v>0.5</v>
      </c>
      <c r="W35" s="21">
        <v>0.3</v>
      </c>
      <c r="X35" s="10" t="s">
        <v>102</v>
      </c>
      <c r="Y35" s="21">
        <v>0</v>
      </c>
      <c r="Z35" s="21">
        <v>0.9</v>
      </c>
      <c r="AA35" s="10">
        <v>1</v>
      </c>
      <c r="AB35" s="10" t="s">
        <v>102</v>
      </c>
      <c r="AC35" s="10" t="s">
        <v>102</v>
      </c>
      <c r="AD35" s="10" t="s">
        <v>103</v>
      </c>
      <c r="AE35" s="10" t="s">
        <v>104</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10" t="s">
        <v>113</v>
      </c>
      <c r="AO35" s="21">
        <v>3</v>
      </c>
      <c r="AP35" s="10" t="s">
        <v>184</v>
      </c>
    </row>
    <row r="36" spans="1:42" ht="32">
      <c r="A36" s="53">
        <v>45179</v>
      </c>
      <c r="C36" s="10">
        <v>15600362</v>
      </c>
      <c r="D36" s="10" t="s">
        <v>147</v>
      </c>
      <c r="E36" s="11">
        <v>10</v>
      </c>
      <c r="F36" s="37">
        <v>449050</v>
      </c>
      <c r="G36" s="37">
        <v>5977312</v>
      </c>
      <c r="H36" s="11" t="s">
        <v>185</v>
      </c>
      <c r="I36" s="11" t="s">
        <v>186</v>
      </c>
      <c r="K36" s="11" t="s">
        <v>112</v>
      </c>
      <c r="L36" s="10" t="s">
        <v>100</v>
      </c>
      <c r="M36" s="10" t="s">
        <v>101</v>
      </c>
      <c r="N36" s="21">
        <v>0.8</v>
      </c>
      <c r="O36" s="21">
        <v>9</v>
      </c>
      <c r="P36" s="10" t="s">
        <v>102</v>
      </c>
      <c r="Q36" s="81"/>
      <c r="R36" s="10" t="s">
        <v>102</v>
      </c>
      <c r="S36" s="10" t="s">
        <v>102</v>
      </c>
      <c r="T36" s="81"/>
      <c r="U36" s="21">
        <v>0.5</v>
      </c>
      <c r="V36" s="10">
        <v>0</v>
      </c>
      <c r="W36" s="21">
        <v>0</v>
      </c>
      <c r="X36" s="10" t="s">
        <v>102</v>
      </c>
      <c r="Y36" s="21">
        <v>1</v>
      </c>
      <c r="Z36" s="21">
        <v>0.8</v>
      </c>
      <c r="AA36" s="10">
        <v>1</v>
      </c>
      <c r="AB36" s="10" t="s">
        <v>102</v>
      </c>
      <c r="AC36" s="10" t="s">
        <v>102</v>
      </c>
      <c r="AD36" s="10" t="s">
        <v>103</v>
      </c>
      <c r="AE36" s="10" t="s">
        <v>118</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10" t="s">
        <v>113</v>
      </c>
      <c r="AO36" s="21">
        <v>3</v>
      </c>
      <c r="AP36" s="10" t="s">
        <v>187</v>
      </c>
    </row>
    <row r="37" spans="1:42" ht="16">
      <c r="A37" s="53">
        <v>45180</v>
      </c>
      <c r="C37" s="10">
        <v>15600434</v>
      </c>
      <c r="D37" s="10" t="s">
        <v>147</v>
      </c>
      <c r="E37" s="11">
        <v>10</v>
      </c>
      <c r="F37" s="37">
        <v>442800</v>
      </c>
      <c r="G37" s="37">
        <v>5991029</v>
      </c>
      <c r="H37" s="11" t="s">
        <v>188</v>
      </c>
      <c r="I37" s="11" t="s">
        <v>189</v>
      </c>
      <c r="K37" s="11" t="s">
        <v>112</v>
      </c>
      <c r="L37" s="10" t="s">
        <v>100</v>
      </c>
      <c r="M37" s="10" t="s">
        <v>101</v>
      </c>
      <c r="N37" s="21">
        <v>0.9</v>
      </c>
      <c r="O37" s="21">
        <v>10</v>
      </c>
      <c r="P37" s="10" t="s">
        <v>102</v>
      </c>
      <c r="Q37" s="81"/>
      <c r="R37" s="10" t="s">
        <v>102</v>
      </c>
      <c r="S37" s="10" t="s">
        <v>102</v>
      </c>
      <c r="T37" s="81"/>
      <c r="U37" s="21">
        <v>2</v>
      </c>
      <c r="V37" s="10">
        <v>0</v>
      </c>
      <c r="W37" s="21">
        <v>0</v>
      </c>
      <c r="X37" s="10" t="s">
        <v>102</v>
      </c>
      <c r="Y37" s="21">
        <v>1.5</v>
      </c>
      <c r="Z37" s="21">
        <v>1.9</v>
      </c>
      <c r="AA37" s="10">
        <v>2.5</v>
      </c>
      <c r="AB37" s="10" t="s">
        <v>102</v>
      </c>
      <c r="AC37" s="10" t="s">
        <v>102</v>
      </c>
      <c r="AD37" s="10" t="s">
        <v>103</v>
      </c>
      <c r="AE37" s="10" t="s">
        <v>118</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10" t="s">
        <v>113</v>
      </c>
      <c r="AO37" s="21">
        <v>3</v>
      </c>
      <c r="AP37" s="10" t="s">
        <v>190</v>
      </c>
    </row>
    <row r="38" spans="1:42" ht="16">
      <c r="A38" s="53">
        <v>45180</v>
      </c>
      <c r="C38" s="10">
        <v>15600431</v>
      </c>
      <c r="D38" s="10" t="s">
        <v>147</v>
      </c>
      <c r="E38" s="11">
        <v>10</v>
      </c>
      <c r="F38" s="37">
        <v>441794</v>
      </c>
      <c r="G38" s="37">
        <v>5990161</v>
      </c>
      <c r="H38" s="11" t="s">
        <v>188</v>
      </c>
      <c r="I38" s="11" t="s">
        <v>191</v>
      </c>
      <c r="K38" s="11" t="s">
        <v>99</v>
      </c>
      <c r="L38" s="10" t="s">
        <v>100</v>
      </c>
      <c r="M38" s="10" t="s">
        <v>101</v>
      </c>
      <c r="N38" s="21">
        <v>0.9</v>
      </c>
      <c r="O38" s="21">
        <v>15</v>
      </c>
      <c r="P38" s="10" t="s">
        <v>102</v>
      </c>
      <c r="Q38" s="81"/>
      <c r="R38" s="10" t="s">
        <v>102</v>
      </c>
      <c r="S38" s="10" t="s">
        <v>102</v>
      </c>
      <c r="T38" s="81"/>
      <c r="U38" s="21">
        <v>1</v>
      </c>
      <c r="V38" s="10">
        <v>0.6</v>
      </c>
      <c r="W38" s="21">
        <v>0.2</v>
      </c>
      <c r="X38" s="10" t="s">
        <v>102</v>
      </c>
      <c r="Y38" s="21">
        <v>1</v>
      </c>
      <c r="Z38" s="21">
        <v>1.2</v>
      </c>
      <c r="AA38" s="10">
        <v>1</v>
      </c>
      <c r="AB38" s="10" t="s">
        <v>102</v>
      </c>
      <c r="AC38" s="10" t="s">
        <v>102</v>
      </c>
      <c r="AD38" s="10" t="s">
        <v>103</v>
      </c>
      <c r="AE38" s="10" t="s">
        <v>104</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10" t="s">
        <v>113</v>
      </c>
      <c r="AO38" s="21">
        <v>3</v>
      </c>
      <c r="AP38" s="10" t="s">
        <v>192</v>
      </c>
    </row>
    <row r="39" spans="1:42" ht="16">
      <c r="A39" s="53">
        <v>45180</v>
      </c>
      <c r="C39" s="10">
        <v>15600311</v>
      </c>
      <c r="D39" s="10" t="s">
        <v>147</v>
      </c>
      <c r="E39" s="11">
        <v>10</v>
      </c>
      <c r="F39" s="37">
        <v>444371</v>
      </c>
      <c r="G39" s="37">
        <v>5989869</v>
      </c>
      <c r="H39" s="11" t="s">
        <v>163</v>
      </c>
      <c r="I39" s="11" t="s">
        <v>193</v>
      </c>
      <c r="K39" s="11" t="s">
        <v>112</v>
      </c>
      <c r="L39" s="10" t="s">
        <v>100</v>
      </c>
      <c r="M39" s="10" t="s">
        <v>101</v>
      </c>
      <c r="N39" s="21">
        <v>3</v>
      </c>
      <c r="O39" s="21">
        <v>14</v>
      </c>
      <c r="P39" s="10" t="s">
        <v>102</v>
      </c>
      <c r="Q39" s="81"/>
      <c r="R39" s="10" t="s">
        <v>102</v>
      </c>
      <c r="S39" s="10" t="s">
        <v>102</v>
      </c>
      <c r="T39" s="81"/>
      <c r="U39" s="21">
        <v>1.5</v>
      </c>
      <c r="V39" s="10">
        <v>0.6</v>
      </c>
      <c r="W39" s="21">
        <v>0</v>
      </c>
      <c r="X39" s="10" t="s">
        <v>102</v>
      </c>
      <c r="Y39" s="21">
        <v>1.5</v>
      </c>
      <c r="Z39" s="21">
        <v>1.3</v>
      </c>
      <c r="AA39" s="10">
        <v>1</v>
      </c>
      <c r="AB39" s="10" t="s">
        <v>102</v>
      </c>
      <c r="AC39" s="10" t="s">
        <v>102</v>
      </c>
      <c r="AD39" s="10" t="s">
        <v>103</v>
      </c>
      <c r="AE39" s="10" t="s">
        <v>104</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10" t="s">
        <v>113</v>
      </c>
      <c r="AO39" s="21">
        <v>3</v>
      </c>
      <c r="AP39" s="10" t="s">
        <v>194</v>
      </c>
    </row>
    <row r="40" spans="1:42" ht="16">
      <c r="A40" s="53">
        <v>45180</v>
      </c>
      <c r="C40" s="10">
        <v>15600314</v>
      </c>
      <c r="D40" s="10" t="s">
        <v>147</v>
      </c>
      <c r="E40" s="11">
        <v>10</v>
      </c>
      <c r="F40" s="37">
        <v>446488</v>
      </c>
      <c r="G40" s="37">
        <v>5982434</v>
      </c>
      <c r="H40" s="11" t="s">
        <v>195</v>
      </c>
      <c r="I40" s="11" t="s">
        <v>196</v>
      </c>
      <c r="K40" s="11" t="s">
        <v>112</v>
      </c>
      <c r="L40" s="10" t="s">
        <v>100</v>
      </c>
      <c r="M40" s="10" t="s">
        <v>101</v>
      </c>
      <c r="N40" s="21">
        <v>1.45</v>
      </c>
      <c r="O40" s="21">
        <v>18</v>
      </c>
      <c r="P40" s="10" t="s">
        <v>102</v>
      </c>
      <c r="Q40" s="81"/>
      <c r="R40" s="10" t="s">
        <v>102</v>
      </c>
      <c r="S40" s="10" t="s">
        <v>102</v>
      </c>
      <c r="T40" s="81"/>
      <c r="U40" s="21">
        <v>5</v>
      </c>
      <c r="V40" s="10">
        <v>0</v>
      </c>
      <c r="W40" s="21">
        <v>0</v>
      </c>
      <c r="X40" s="10" t="s">
        <v>102</v>
      </c>
      <c r="Y40" s="21">
        <v>0</v>
      </c>
      <c r="Z40" s="21">
        <v>0.7</v>
      </c>
      <c r="AA40" s="10">
        <v>2</v>
      </c>
      <c r="AB40" s="10" t="s">
        <v>102</v>
      </c>
      <c r="AC40" s="10" t="s">
        <v>102</v>
      </c>
      <c r="AD40" s="10" t="s">
        <v>103</v>
      </c>
      <c r="AE40" s="10" t="s">
        <v>118</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P40" s="10" t="s">
        <v>197</v>
      </c>
    </row>
    <row r="41" spans="1:42" ht="16">
      <c r="A41" s="53">
        <v>45180</v>
      </c>
      <c r="C41" s="10">
        <v>15600305</v>
      </c>
      <c r="D41" s="10" t="s">
        <v>147</v>
      </c>
      <c r="E41" s="11">
        <v>10</v>
      </c>
      <c r="F41" s="37">
        <v>442969</v>
      </c>
      <c r="G41" s="37">
        <v>5985328</v>
      </c>
      <c r="H41" s="11" t="s">
        <v>198</v>
      </c>
      <c r="I41" s="11" t="s">
        <v>196</v>
      </c>
      <c r="K41" s="11" t="s">
        <v>112</v>
      </c>
      <c r="L41" s="10" t="s">
        <v>100</v>
      </c>
      <c r="M41" s="10" t="s">
        <v>101</v>
      </c>
      <c r="N41" s="21">
        <v>1.4</v>
      </c>
      <c r="O41" s="21">
        <v>30</v>
      </c>
      <c r="P41" s="10" t="s">
        <v>102</v>
      </c>
      <c r="Q41" s="81"/>
      <c r="R41" s="10" t="s">
        <v>102</v>
      </c>
      <c r="S41" s="10" t="s">
        <v>102</v>
      </c>
      <c r="T41" s="81"/>
      <c r="U41" s="21">
        <v>4</v>
      </c>
      <c r="V41" s="10">
        <v>0</v>
      </c>
      <c r="W41" s="21">
        <v>0</v>
      </c>
      <c r="X41" s="10" t="s">
        <v>102</v>
      </c>
      <c r="Y41" s="21">
        <v>0.5</v>
      </c>
      <c r="Z41" s="21">
        <v>1</v>
      </c>
      <c r="AA41" s="10">
        <v>1</v>
      </c>
      <c r="AB41" s="10" t="s">
        <v>102</v>
      </c>
      <c r="AC41" s="10" t="s">
        <v>102</v>
      </c>
      <c r="AD41" s="10" t="s">
        <v>103</v>
      </c>
      <c r="AE41" s="10" t="s">
        <v>118</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10" t="s">
        <v>113</v>
      </c>
      <c r="AO41" s="21">
        <v>3</v>
      </c>
      <c r="AP41" s="10" t="s">
        <v>199</v>
      </c>
    </row>
    <row r="42" spans="1:42" ht="16">
      <c r="A42" s="53">
        <v>45180</v>
      </c>
      <c r="C42" s="10">
        <v>15600459</v>
      </c>
      <c r="D42" s="10" t="s">
        <v>147</v>
      </c>
      <c r="E42" s="11">
        <v>10</v>
      </c>
      <c r="F42" s="37">
        <v>433132</v>
      </c>
      <c r="G42" s="37">
        <v>5991214</v>
      </c>
      <c r="H42" s="11" t="s">
        <v>156</v>
      </c>
      <c r="I42" s="11" t="s">
        <v>200</v>
      </c>
      <c r="K42" s="11" t="s">
        <v>112</v>
      </c>
      <c r="L42" s="10" t="s">
        <v>100</v>
      </c>
      <c r="M42" s="10" t="s">
        <v>101</v>
      </c>
      <c r="N42" s="21">
        <v>3.6</v>
      </c>
      <c r="O42" s="21">
        <v>16</v>
      </c>
      <c r="P42" s="10" t="s">
        <v>102</v>
      </c>
      <c r="Q42" s="81"/>
      <c r="R42" s="10" t="s">
        <v>102</v>
      </c>
      <c r="S42" s="10" t="s">
        <v>102</v>
      </c>
      <c r="T42" s="81"/>
      <c r="U42" s="21">
        <v>0.5</v>
      </c>
      <c r="V42" s="10">
        <v>0</v>
      </c>
      <c r="W42" s="21">
        <v>0</v>
      </c>
      <c r="X42" s="10" t="s">
        <v>102</v>
      </c>
      <c r="Y42" s="21">
        <v>1</v>
      </c>
      <c r="Z42" s="21">
        <v>2.6</v>
      </c>
      <c r="AA42" s="10">
        <v>0</v>
      </c>
      <c r="AB42" s="10" t="s">
        <v>102</v>
      </c>
      <c r="AC42" s="10" t="s">
        <v>102</v>
      </c>
      <c r="AD42" s="10" t="s">
        <v>103</v>
      </c>
      <c r="AE42" s="10" t="s">
        <v>118</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10" t="s">
        <v>105</v>
      </c>
      <c r="AO42" s="21">
        <v>15</v>
      </c>
      <c r="AP42" s="10" t="s">
        <v>201</v>
      </c>
    </row>
    <row r="43" spans="1:42" ht="32">
      <c r="A43" s="53">
        <v>45180</v>
      </c>
      <c r="C43" s="10">
        <v>15600182</v>
      </c>
      <c r="D43" s="10" t="s">
        <v>147</v>
      </c>
      <c r="E43" s="11">
        <v>10</v>
      </c>
      <c r="F43" s="37">
        <v>435117</v>
      </c>
      <c r="G43" s="37">
        <v>5987010</v>
      </c>
      <c r="H43" s="11" t="s">
        <v>130</v>
      </c>
      <c r="I43" s="11" t="s">
        <v>196</v>
      </c>
      <c r="K43" s="11" t="s">
        <v>112</v>
      </c>
      <c r="L43" s="10" t="s">
        <v>100</v>
      </c>
      <c r="M43" s="10" t="s">
        <v>101</v>
      </c>
      <c r="N43" s="21">
        <v>1.2</v>
      </c>
      <c r="O43" s="21">
        <v>30</v>
      </c>
      <c r="P43" s="10" t="s">
        <v>102</v>
      </c>
      <c r="Q43" s="81"/>
      <c r="R43" s="10" t="s">
        <v>102</v>
      </c>
      <c r="S43" s="10" t="s">
        <v>102</v>
      </c>
      <c r="T43" s="81"/>
      <c r="U43" s="21">
        <v>9.9</v>
      </c>
      <c r="V43" s="10">
        <v>1.2</v>
      </c>
      <c r="W43" s="21">
        <v>1.6</v>
      </c>
      <c r="X43" s="10" t="s">
        <v>102</v>
      </c>
      <c r="Y43" s="21">
        <v>1</v>
      </c>
      <c r="Z43" s="21">
        <v>1.3</v>
      </c>
      <c r="AA43" s="10">
        <v>3</v>
      </c>
      <c r="AB43" s="10" t="s">
        <v>102</v>
      </c>
      <c r="AC43" s="10" t="s">
        <v>102</v>
      </c>
      <c r="AD43" s="10" t="s">
        <v>103</v>
      </c>
      <c r="AE43" s="10" t="s">
        <v>104</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10" t="s">
        <v>113</v>
      </c>
      <c r="AO43" s="21">
        <v>3</v>
      </c>
      <c r="AP43" s="10" t="s">
        <v>202</v>
      </c>
    </row>
    <row r="44" spans="1:42" ht="32">
      <c r="A44" s="53">
        <v>45180</v>
      </c>
      <c r="C44" s="10">
        <v>15600490</v>
      </c>
      <c r="D44" s="10" t="s">
        <v>147</v>
      </c>
      <c r="E44" s="11">
        <v>10</v>
      </c>
      <c r="F44" s="37">
        <v>426233</v>
      </c>
      <c r="G44" s="37">
        <v>5995486</v>
      </c>
      <c r="H44" s="11" t="s">
        <v>173</v>
      </c>
      <c r="I44" s="11" t="s">
        <v>176</v>
      </c>
      <c r="K44" s="11" t="s">
        <v>99</v>
      </c>
      <c r="L44" s="10" t="s">
        <v>100</v>
      </c>
      <c r="M44" s="10" t="s">
        <v>101</v>
      </c>
      <c r="N44" s="21">
        <v>0.9</v>
      </c>
      <c r="O44" s="21">
        <v>20</v>
      </c>
      <c r="P44" s="10" t="s">
        <v>102</v>
      </c>
      <c r="Q44" s="81"/>
      <c r="R44" s="10" t="s">
        <v>102</v>
      </c>
      <c r="S44" s="10" t="s">
        <v>102</v>
      </c>
      <c r="T44" s="81"/>
      <c r="U44" s="21">
        <v>3</v>
      </c>
      <c r="V44" s="10">
        <v>0.9</v>
      </c>
      <c r="W44" s="21">
        <v>0.5</v>
      </c>
      <c r="X44" s="10" t="s">
        <v>102</v>
      </c>
      <c r="Y44" s="21">
        <v>4</v>
      </c>
      <c r="Z44" s="21">
        <v>1.1000000000000001</v>
      </c>
      <c r="AA44" s="10">
        <v>3</v>
      </c>
      <c r="AB44" s="10" t="s">
        <v>102</v>
      </c>
      <c r="AC44" s="10" t="s">
        <v>102</v>
      </c>
      <c r="AD44" s="10" t="s">
        <v>103</v>
      </c>
      <c r="AE44" s="10" t="s">
        <v>104</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10" t="s">
        <v>113</v>
      </c>
      <c r="AO44" s="21">
        <v>3</v>
      </c>
      <c r="AP44" s="10" t="s">
        <v>203</v>
      </c>
    </row>
    <row r="45" spans="1:42" ht="32">
      <c r="A45" s="53">
        <v>45180</v>
      </c>
      <c r="C45" s="10">
        <v>15603729</v>
      </c>
      <c r="D45" s="10" t="s">
        <v>147</v>
      </c>
      <c r="E45" s="11">
        <v>10</v>
      </c>
      <c r="F45" s="37">
        <v>403775</v>
      </c>
      <c r="G45" s="37">
        <v>6000768</v>
      </c>
      <c r="H45" s="11" t="s">
        <v>204</v>
      </c>
      <c r="I45" s="11" t="s">
        <v>205</v>
      </c>
      <c r="J45" s="22">
        <v>3.5</v>
      </c>
      <c r="K45" s="11" t="s">
        <v>206</v>
      </c>
      <c r="L45" s="10" t="s">
        <v>100</v>
      </c>
      <c r="M45" s="10" t="s">
        <v>101</v>
      </c>
      <c r="N45" s="21">
        <v>2.6</v>
      </c>
      <c r="O45" s="21">
        <v>12</v>
      </c>
      <c r="P45" s="10" t="s">
        <v>102</v>
      </c>
      <c r="Q45" s="81"/>
      <c r="R45" s="10" t="s">
        <v>102</v>
      </c>
      <c r="S45" s="10" t="s">
        <v>102</v>
      </c>
      <c r="T45" s="81"/>
      <c r="U45" s="21">
        <v>0.5</v>
      </c>
      <c r="V45" s="10">
        <v>0</v>
      </c>
      <c r="W45" s="21">
        <v>0.5</v>
      </c>
      <c r="X45" s="10" t="s">
        <v>102</v>
      </c>
      <c r="Y45" s="21">
        <v>1</v>
      </c>
      <c r="Z45" s="21">
        <v>2.4</v>
      </c>
      <c r="AA45" s="10">
        <v>1</v>
      </c>
      <c r="AB45" s="10" t="s">
        <v>102</v>
      </c>
      <c r="AC45" s="10" t="s">
        <v>102</v>
      </c>
      <c r="AD45" s="10" t="s">
        <v>103</v>
      </c>
      <c r="AE45" s="10" t="s">
        <v>126</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10" t="s">
        <v>105</v>
      </c>
      <c r="AO45" s="21">
        <v>15</v>
      </c>
      <c r="AP45" s="10" t="s">
        <v>207</v>
      </c>
    </row>
    <row r="46" spans="1:42" ht="16">
      <c r="A46" s="53">
        <v>45180</v>
      </c>
      <c r="C46" s="10">
        <v>15600285</v>
      </c>
      <c r="D46" s="10" t="s">
        <v>147</v>
      </c>
      <c r="E46" s="11">
        <v>10</v>
      </c>
      <c r="F46" s="37">
        <v>403897</v>
      </c>
      <c r="G46" s="37">
        <v>5998780</v>
      </c>
      <c r="H46" s="11" t="s">
        <v>204</v>
      </c>
      <c r="I46" s="11" t="s">
        <v>208</v>
      </c>
      <c r="K46" s="11" t="s">
        <v>112</v>
      </c>
      <c r="L46" s="10" t="s">
        <v>100</v>
      </c>
      <c r="M46" s="10" t="s">
        <v>101</v>
      </c>
      <c r="N46" s="21">
        <v>3</v>
      </c>
      <c r="O46" s="21">
        <v>9</v>
      </c>
      <c r="P46" s="10" t="s">
        <v>102</v>
      </c>
      <c r="Q46" s="81"/>
      <c r="R46" s="10" t="s">
        <v>102</v>
      </c>
      <c r="S46" s="10" t="s">
        <v>102</v>
      </c>
      <c r="T46" s="81"/>
      <c r="U46" s="21">
        <v>0.5</v>
      </c>
      <c r="V46" s="10">
        <v>0.5</v>
      </c>
      <c r="W46" s="21">
        <v>2</v>
      </c>
      <c r="X46" s="10" t="s">
        <v>102</v>
      </c>
      <c r="Y46" s="21">
        <v>1</v>
      </c>
      <c r="Z46" s="21">
        <v>3</v>
      </c>
      <c r="AA46" s="10">
        <v>2</v>
      </c>
      <c r="AB46" s="10" t="s">
        <v>109</v>
      </c>
      <c r="AC46" s="10" t="s">
        <v>102</v>
      </c>
      <c r="AD46" s="10" t="s">
        <v>103</v>
      </c>
      <c r="AE46" s="10" t="s">
        <v>104</v>
      </c>
      <c r="AF46" s="20">
        <f t="shared" si="8"/>
        <v>1</v>
      </c>
      <c r="AG46" s="13">
        <f t="shared" si="1"/>
        <v>0</v>
      </c>
      <c r="AH46" s="7">
        <f t="shared" si="2"/>
        <v>10</v>
      </c>
      <c r="AI46" s="7">
        <f t="shared" si="3"/>
        <v>10</v>
      </c>
      <c r="AJ46" s="7">
        <f t="shared" si="4"/>
        <v>5</v>
      </c>
      <c r="AK46" s="7">
        <f t="shared" si="5"/>
        <v>3</v>
      </c>
      <c r="AL46" s="12">
        <f t="shared" si="9"/>
        <v>28</v>
      </c>
      <c r="AM46" s="14" t="str">
        <f t="shared" si="7"/>
        <v>Barrier</v>
      </c>
      <c r="AN46" s="10" t="s">
        <v>105</v>
      </c>
      <c r="AO46" s="21">
        <v>15</v>
      </c>
      <c r="AP46" s="10" t="s">
        <v>209</v>
      </c>
    </row>
    <row r="47" spans="1:42" ht="16">
      <c r="A47" s="53">
        <v>45181</v>
      </c>
      <c r="C47" s="10">
        <v>15600427</v>
      </c>
      <c r="D47" s="10" t="s">
        <v>147</v>
      </c>
      <c r="E47" s="11">
        <v>10</v>
      </c>
      <c r="F47" s="37">
        <v>424186</v>
      </c>
      <c r="G47" s="37">
        <v>5985604</v>
      </c>
      <c r="H47" s="11" t="s">
        <v>210</v>
      </c>
      <c r="I47" s="11" t="s">
        <v>211</v>
      </c>
      <c r="K47" s="11" t="s">
        <v>99</v>
      </c>
      <c r="L47" s="10" t="s">
        <v>100</v>
      </c>
      <c r="M47" s="10" t="s">
        <v>101</v>
      </c>
      <c r="N47" s="21">
        <v>2</v>
      </c>
      <c r="O47" s="21">
        <v>26</v>
      </c>
      <c r="P47" s="10" t="s">
        <v>102</v>
      </c>
      <c r="Q47" s="81"/>
      <c r="R47" s="10" t="s">
        <v>102</v>
      </c>
      <c r="S47" s="10" t="s">
        <v>102</v>
      </c>
      <c r="T47" s="81"/>
      <c r="U47" s="21">
        <v>1</v>
      </c>
      <c r="V47" s="10">
        <v>0</v>
      </c>
      <c r="W47" s="21">
        <v>0.4</v>
      </c>
      <c r="X47" s="10" t="s">
        <v>102</v>
      </c>
      <c r="Y47" s="21">
        <v>2</v>
      </c>
      <c r="Z47" s="21">
        <v>3.1</v>
      </c>
      <c r="AA47" s="10">
        <v>0.5</v>
      </c>
      <c r="AB47" s="10" t="s">
        <v>102</v>
      </c>
      <c r="AC47" s="10" t="s">
        <v>102</v>
      </c>
      <c r="AD47" s="10" t="s">
        <v>103</v>
      </c>
      <c r="AE47" s="10" t="s">
        <v>104</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10" t="s">
        <v>105</v>
      </c>
      <c r="AO47" s="21">
        <v>15</v>
      </c>
      <c r="AP47" s="10" t="s">
        <v>212</v>
      </c>
    </row>
    <row r="48" spans="1:42" ht="16">
      <c r="A48" s="53">
        <v>45181</v>
      </c>
      <c r="C48" s="10">
        <v>15600478</v>
      </c>
      <c r="D48" s="10" t="s">
        <v>147</v>
      </c>
      <c r="E48" s="11">
        <v>10</v>
      </c>
      <c r="F48" s="37">
        <v>418610</v>
      </c>
      <c r="G48" s="37">
        <v>5987801</v>
      </c>
      <c r="H48" s="11" t="s">
        <v>213</v>
      </c>
      <c r="I48" s="11" t="s">
        <v>214</v>
      </c>
      <c r="K48" s="11" t="s">
        <v>112</v>
      </c>
      <c r="L48" s="10" t="s">
        <v>100</v>
      </c>
      <c r="M48" s="10" t="s">
        <v>101</v>
      </c>
      <c r="N48" s="21">
        <v>0.9</v>
      </c>
      <c r="O48" s="21">
        <v>10</v>
      </c>
      <c r="P48" s="10" t="s">
        <v>102</v>
      </c>
      <c r="Q48" s="81"/>
      <c r="R48" s="10" t="s">
        <v>102</v>
      </c>
      <c r="S48" s="10" t="s">
        <v>102</v>
      </c>
      <c r="T48" s="81"/>
      <c r="U48" s="21">
        <v>0.5</v>
      </c>
      <c r="V48" s="10">
        <v>0</v>
      </c>
      <c r="W48" s="21">
        <v>0</v>
      </c>
      <c r="X48" s="10" t="s">
        <v>102</v>
      </c>
      <c r="Y48" s="21">
        <v>1</v>
      </c>
      <c r="Z48" s="21">
        <v>0.9</v>
      </c>
      <c r="AA48" s="10">
        <v>0</v>
      </c>
      <c r="AB48" s="10" t="s">
        <v>102</v>
      </c>
      <c r="AC48" s="10" t="s">
        <v>102</v>
      </c>
      <c r="AD48" s="10" t="s">
        <v>103</v>
      </c>
      <c r="AE48" s="10" t="s">
        <v>104</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10" t="s">
        <v>113</v>
      </c>
      <c r="AO48" s="21">
        <v>3</v>
      </c>
      <c r="AP48" s="10" t="s">
        <v>215</v>
      </c>
    </row>
    <row r="49" spans="1:42" ht="16">
      <c r="A49" s="53">
        <v>45197</v>
      </c>
      <c r="C49" s="10">
        <v>5400450</v>
      </c>
      <c r="D49" s="10" t="s">
        <v>147</v>
      </c>
      <c r="E49" s="11">
        <v>9</v>
      </c>
      <c r="F49" s="37">
        <v>693922</v>
      </c>
      <c r="G49" s="37">
        <v>6032097</v>
      </c>
      <c r="H49" s="11" t="s">
        <v>216</v>
      </c>
      <c r="I49" s="11" t="s">
        <v>211</v>
      </c>
      <c r="K49" s="11" t="s">
        <v>99</v>
      </c>
      <c r="L49" s="10" t="s">
        <v>100</v>
      </c>
      <c r="M49" s="10" t="s">
        <v>101</v>
      </c>
      <c r="N49" s="21">
        <v>2.5</v>
      </c>
      <c r="O49" s="21">
        <v>32</v>
      </c>
      <c r="P49" s="10" t="s">
        <v>102</v>
      </c>
      <c r="Q49" s="81"/>
      <c r="R49" s="10" t="s">
        <v>102</v>
      </c>
      <c r="S49" s="10" t="s">
        <v>102</v>
      </c>
      <c r="T49" s="81"/>
      <c r="U49" s="21">
        <v>2</v>
      </c>
      <c r="V49" s="10">
        <v>1</v>
      </c>
      <c r="W49" s="21">
        <v>0.9</v>
      </c>
      <c r="X49" s="10" t="s">
        <v>102</v>
      </c>
      <c r="Y49" s="21">
        <v>0</v>
      </c>
      <c r="Z49" s="21">
        <v>3.1</v>
      </c>
      <c r="AA49" s="10">
        <v>2</v>
      </c>
      <c r="AB49" s="10" t="s">
        <v>102</v>
      </c>
      <c r="AC49" s="10" t="s">
        <v>102</v>
      </c>
      <c r="AD49" s="10" t="s">
        <v>103</v>
      </c>
      <c r="AE49" s="10" t="s">
        <v>126</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10" t="s">
        <v>105</v>
      </c>
      <c r="AO49" s="21">
        <v>15</v>
      </c>
      <c r="AP49" s="10" t="s">
        <v>217</v>
      </c>
    </row>
    <row r="50" spans="1:42" ht="16">
      <c r="A50" s="53">
        <v>45197</v>
      </c>
      <c r="C50" s="10">
        <v>5400445</v>
      </c>
      <c r="D50" s="10" t="s">
        <v>147</v>
      </c>
      <c r="E50" s="11">
        <v>10</v>
      </c>
      <c r="F50" s="37">
        <v>309133</v>
      </c>
      <c r="G50" s="37">
        <v>6028926</v>
      </c>
      <c r="H50" s="11" t="s">
        <v>218</v>
      </c>
      <c r="I50" s="11" t="s">
        <v>211</v>
      </c>
      <c r="K50" s="11" t="s">
        <v>99</v>
      </c>
      <c r="L50" s="10" t="s">
        <v>100</v>
      </c>
      <c r="M50" s="10" t="s">
        <v>171</v>
      </c>
      <c r="N50" s="21">
        <v>2.6</v>
      </c>
      <c r="O50" s="21">
        <v>16</v>
      </c>
      <c r="P50" s="10" t="s">
        <v>102</v>
      </c>
      <c r="Q50" s="81"/>
      <c r="R50" s="10" t="s">
        <v>102</v>
      </c>
      <c r="S50" s="10" t="s">
        <v>102</v>
      </c>
      <c r="T50" s="81"/>
      <c r="U50" s="21">
        <v>0.4</v>
      </c>
      <c r="V50" s="10">
        <v>0</v>
      </c>
      <c r="W50" s="21">
        <v>0</v>
      </c>
      <c r="X50" s="10" t="s">
        <v>102</v>
      </c>
      <c r="Y50" s="21">
        <v>3</v>
      </c>
      <c r="Z50" s="21">
        <v>3.4</v>
      </c>
      <c r="AA50" s="10">
        <v>1</v>
      </c>
      <c r="AB50" s="10" t="s">
        <v>102</v>
      </c>
      <c r="AC50" s="10" t="s">
        <v>102</v>
      </c>
      <c r="AD50" s="10" t="s">
        <v>103</v>
      </c>
      <c r="AE50" s="10" t="s">
        <v>104</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10" t="s">
        <v>105</v>
      </c>
      <c r="AO50" s="21">
        <v>15</v>
      </c>
      <c r="AP50" s="10" t="s">
        <v>219</v>
      </c>
    </row>
    <row r="51" spans="1:42" ht="16">
      <c r="A51" s="53">
        <v>45197</v>
      </c>
      <c r="C51" s="10">
        <v>5400440</v>
      </c>
      <c r="D51" s="10" t="s">
        <v>147</v>
      </c>
      <c r="E51" s="11">
        <v>10</v>
      </c>
      <c r="F51" s="37">
        <v>313583</v>
      </c>
      <c r="G51" s="37">
        <v>6022421</v>
      </c>
      <c r="H51" s="11" t="s">
        <v>220</v>
      </c>
      <c r="I51" s="11" t="s">
        <v>211</v>
      </c>
      <c r="K51" s="11" t="s">
        <v>99</v>
      </c>
      <c r="L51" s="10" t="s">
        <v>100</v>
      </c>
      <c r="M51" s="10" t="s">
        <v>171</v>
      </c>
      <c r="N51" s="21">
        <v>2.2999999999999998</v>
      </c>
      <c r="O51" s="21">
        <v>20</v>
      </c>
      <c r="P51" s="10" t="s">
        <v>102</v>
      </c>
      <c r="Q51" s="81"/>
      <c r="R51" s="10" t="s">
        <v>102</v>
      </c>
      <c r="S51" s="10" t="s">
        <v>102</v>
      </c>
      <c r="T51" s="81"/>
      <c r="U51" s="21">
        <v>1</v>
      </c>
      <c r="V51" s="10">
        <v>0.2</v>
      </c>
      <c r="W51" s="21">
        <v>0</v>
      </c>
      <c r="X51" s="10" t="s">
        <v>109</v>
      </c>
      <c r="Y51" s="21">
        <v>5</v>
      </c>
      <c r="Z51" s="21">
        <v>3.5</v>
      </c>
      <c r="AA51" s="10">
        <v>4</v>
      </c>
      <c r="AB51" s="10" t="s">
        <v>102</v>
      </c>
      <c r="AC51" s="10" t="s">
        <v>102</v>
      </c>
      <c r="AD51" s="10" t="s">
        <v>103</v>
      </c>
      <c r="AE51" s="10" t="s">
        <v>104</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10" t="s">
        <v>105</v>
      </c>
      <c r="AO51" s="21">
        <v>15</v>
      </c>
      <c r="AP51" s="10" t="s">
        <v>221</v>
      </c>
    </row>
    <row r="52" spans="1:42" ht="16">
      <c r="A52" s="53">
        <v>45197</v>
      </c>
      <c r="C52" s="10">
        <v>5406295</v>
      </c>
      <c r="D52" s="10" t="s">
        <v>147</v>
      </c>
      <c r="E52" s="11">
        <v>10</v>
      </c>
      <c r="F52" s="37">
        <v>313514</v>
      </c>
      <c r="G52" s="37">
        <v>6022401</v>
      </c>
      <c r="H52" s="11" t="s">
        <v>220</v>
      </c>
      <c r="I52" s="11" t="s">
        <v>222</v>
      </c>
      <c r="K52" s="11" t="s">
        <v>223</v>
      </c>
      <c r="L52" s="10" t="s">
        <v>100</v>
      </c>
      <c r="M52" s="10" t="s">
        <v>101</v>
      </c>
      <c r="N52" s="21">
        <v>2.2000000000000002</v>
      </c>
      <c r="O52" s="21">
        <v>12</v>
      </c>
      <c r="P52" s="10" t="s">
        <v>102</v>
      </c>
      <c r="Q52" s="81"/>
      <c r="R52" s="10" t="s">
        <v>102</v>
      </c>
      <c r="S52" s="10" t="s">
        <v>102</v>
      </c>
      <c r="T52" s="81"/>
      <c r="U52" s="21">
        <v>1.2</v>
      </c>
      <c r="V52" s="10">
        <v>0.5</v>
      </c>
      <c r="W52" s="21">
        <v>0</v>
      </c>
      <c r="X52" s="10" t="s">
        <v>102</v>
      </c>
      <c r="Y52" s="21">
        <v>5</v>
      </c>
      <c r="Z52" s="21">
        <v>4.0999999999999996</v>
      </c>
      <c r="AA52" s="10">
        <v>2</v>
      </c>
      <c r="AB52" s="10" t="s">
        <v>102</v>
      </c>
      <c r="AC52" s="10" t="s">
        <v>102</v>
      </c>
      <c r="AD52" s="10" t="s">
        <v>103</v>
      </c>
      <c r="AE52" s="10" t="s">
        <v>104</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10" t="s">
        <v>105</v>
      </c>
      <c r="AO52" s="21">
        <v>15</v>
      </c>
      <c r="AP52" s="10" t="s">
        <v>224</v>
      </c>
    </row>
    <row r="53" spans="1:42" ht="16">
      <c r="A53" s="53">
        <v>45197</v>
      </c>
      <c r="C53" s="10">
        <v>5400044</v>
      </c>
      <c r="D53" s="10" t="s">
        <v>147</v>
      </c>
      <c r="E53" s="11">
        <v>10</v>
      </c>
      <c r="F53" s="37">
        <v>316235</v>
      </c>
      <c r="G53" s="37">
        <v>6018694</v>
      </c>
      <c r="H53" s="11" t="s">
        <v>225</v>
      </c>
      <c r="I53" s="11" t="s">
        <v>211</v>
      </c>
      <c r="K53" s="11" t="s">
        <v>99</v>
      </c>
      <c r="L53" s="10" t="s">
        <v>100</v>
      </c>
      <c r="M53" s="10" t="s">
        <v>101</v>
      </c>
      <c r="N53" s="21">
        <v>2.6</v>
      </c>
      <c r="O53" s="21">
        <v>32</v>
      </c>
      <c r="P53" s="10" t="s">
        <v>102</v>
      </c>
      <c r="Q53" s="81"/>
      <c r="R53" s="10" t="s">
        <v>102</v>
      </c>
      <c r="S53" s="10" t="s">
        <v>102</v>
      </c>
      <c r="T53" s="81"/>
      <c r="U53" s="21">
        <v>1.3</v>
      </c>
      <c r="V53" s="10">
        <v>0.6</v>
      </c>
      <c r="W53" s="21">
        <v>0</v>
      </c>
      <c r="X53" s="10" t="s">
        <v>102</v>
      </c>
      <c r="Y53" s="21">
        <v>2</v>
      </c>
      <c r="Z53" s="21">
        <v>4.3</v>
      </c>
      <c r="AA53" s="10">
        <v>4</v>
      </c>
      <c r="AB53" s="10" t="s">
        <v>102</v>
      </c>
      <c r="AC53" s="10" t="s">
        <v>102</v>
      </c>
      <c r="AD53" s="10" t="s">
        <v>103</v>
      </c>
      <c r="AE53" s="10" t="s">
        <v>104</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10" t="s">
        <v>105</v>
      </c>
      <c r="AO53" s="21">
        <v>15</v>
      </c>
      <c r="AP53" s="10" t="s">
        <v>226</v>
      </c>
    </row>
    <row r="54" spans="1:42" ht="16">
      <c r="A54" s="53">
        <v>45197</v>
      </c>
      <c r="C54" s="10">
        <v>5400227</v>
      </c>
      <c r="D54" s="10" t="s">
        <v>147</v>
      </c>
      <c r="E54" s="11">
        <v>10</v>
      </c>
      <c r="F54" s="37">
        <v>317315</v>
      </c>
      <c r="G54" s="37">
        <v>6016973</v>
      </c>
      <c r="H54" s="11" t="s">
        <v>227</v>
      </c>
      <c r="I54" s="11" t="s">
        <v>211</v>
      </c>
      <c r="K54" s="11" t="s">
        <v>99</v>
      </c>
      <c r="L54" s="10" t="s">
        <v>100</v>
      </c>
      <c r="M54" s="10" t="s">
        <v>101</v>
      </c>
      <c r="N54" s="21">
        <v>1.2</v>
      </c>
      <c r="O54" s="21">
        <v>48</v>
      </c>
      <c r="P54" s="10" t="s">
        <v>102</v>
      </c>
      <c r="Q54" s="81"/>
      <c r="R54" s="10" t="s">
        <v>102</v>
      </c>
      <c r="S54" s="10" t="s">
        <v>102</v>
      </c>
      <c r="T54" s="81"/>
      <c r="U54" s="21">
        <v>4</v>
      </c>
      <c r="V54" s="10">
        <v>0.2</v>
      </c>
      <c r="W54" s="21">
        <v>0</v>
      </c>
      <c r="X54" s="10" t="s">
        <v>102</v>
      </c>
      <c r="Y54" s="21">
        <v>2</v>
      </c>
      <c r="Z54" s="21">
        <v>1.1000000000000001</v>
      </c>
      <c r="AA54" s="10">
        <v>2</v>
      </c>
      <c r="AB54" s="10" t="s">
        <v>102</v>
      </c>
      <c r="AC54" s="10" t="s">
        <v>102</v>
      </c>
      <c r="AD54" s="10" t="s">
        <v>103</v>
      </c>
      <c r="AE54" s="10" t="s">
        <v>118</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10" t="s">
        <v>113</v>
      </c>
      <c r="AO54" s="21">
        <v>3</v>
      </c>
      <c r="AP54" s="10" t="s">
        <v>228</v>
      </c>
    </row>
    <row r="55" spans="1:42" ht="16">
      <c r="A55" s="53">
        <v>45197</v>
      </c>
      <c r="C55" s="10">
        <v>5400286</v>
      </c>
      <c r="D55" s="10" t="s">
        <v>147</v>
      </c>
      <c r="E55" s="11">
        <v>10</v>
      </c>
      <c r="F55" s="37">
        <v>320733</v>
      </c>
      <c r="G55" s="37">
        <v>6009596</v>
      </c>
      <c r="H55" s="11" t="s">
        <v>229</v>
      </c>
      <c r="I55" s="11" t="s">
        <v>230</v>
      </c>
      <c r="K55" s="11" t="s">
        <v>99</v>
      </c>
      <c r="L55" s="10" t="s">
        <v>100</v>
      </c>
      <c r="M55" s="10" t="s">
        <v>171</v>
      </c>
      <c r="N55" s="21">
        <v>4</v>
      </c>
      <c r="O55" s="21">
        <v>22</v>
      </c>
      <c r="P55" s="10" t="s">
        <v>102</v>
      </c>
      <c r="Q55" s="81"/>
      <c r="R55" s="10" t="s">
        <v>102</v>
      </c>
      <c r="S55" s="10" t="s">
        <v>102</v>
      </c>
      <c r="T55" s="81"/>
      <c r="U55" s="21">
        <v>0.1</v>
      </c>
      <c r="V55" s="10">
        <v>0.6</v>
      </c>
      <c r="W55" s="21">
        <v>0.5</v>
      </c>
      <c r="X55" s="10" t="s">
        <v>102</v>
      </c>
      <c r="Y55" s="21">
        <v>2</v>
      </c>
      <c r="Z55" s="21">
        <v>2.8</v>
      </c>
      <c r="AA55" s="10">
        <v>3</v>
      </c>
      <c r="AB55" s="10" t="s">
        <v>102</v>
      </c>
      <c r="AC55" s="10" t="s">
        <v>109</v>
      </c>
      <c r="AD55" s="10" t="s">
        <v>103</v>
      </c>
      <c r="AE55" s="10" t="s">
        <v>126</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10" t="s">
        <v>105</v>
      </c>
      <c r="AO55" s="21">
        <v>15</v>
      </c>
      <c r="AP55" s="10" t="s">
        <v>231</v>
      </c>
    </row>
    <row r="56" spans="1:42" ht="16">
      <c r="A56" s="53">
        <v>45197</v>
      </c>
      <c r="C56" s="10">
        <v>5400042</v>
      </c>
      <c r="D56" s="10" t="s">
        <v>147</v>
      </c>
      <c r="E56" s="11">
        <v>10</v>
      </c>
      <c r="F56" s="37">
        <v>322424</v>
      </c>
      <c r="G56" s="37">
        <v>6011731</v>
      </c>
      <c r="H56" s="11" t="s">
        <v>232</v>
      </c>
      <c r="I56" s="11" t="s">
        <v>98</v>
      </c>
      <c r="K56" s="11" t="s">
        <v>99</v>
      </c>
      <c r="L56" s="10" t="s">
        <v>100</v>
      </c>
      <c r="M56" s="10" t="s">
        <v>101</v>
      </c>
      <c r="N56" s="21">
        <v>3.5</v>
      </c>
      <c r="O56" s="21">
        <v>30</v>
      </c>
      <c r="P56" s="10" t="s">
        <v>102</v>
      </c>
      <c r="Q56" s="81"/>
      <c r="R56" s="10" t="s">
        <v>102</v>
      </c>
      <c r="S56" s="10" t="s">
        <v>102</v>
      </c>
      <c r="T56" s="81"/>
      <c r="U56" s="21">
        <v>4</v>
      </c>
      <c r="V56" s="10">
        <v>0</v>
      </c>
      <c r="W56" s="21">
        <v>0</v>
      </c>
      <c r="X56" s="10" t="s">
        <v>102</v>
      </c>
      <c r="Y56" s="21">
        <v>4</v>
      </c>
      <c r="Z56" s="21">
        <v>2.4</v>
      </c>
      <c r="AA56" s="10">
        <v>3</v>
      </c>
      <c r="AB56" s="10" t="s">
        <v>102</v>
      </c>
      <c r="AC56" s="10" t="s">
        <v>109</v>
      </c>
      <c r="AD56" s="10" t="s">
        <v>103</v>
      </c>
      <c r="AE56" s="10" t="s">
        <v>126</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10" t="s">
        <v>105</v>
      </c>
      <c r="AO56" s="21">
        <v>18</v>
      </c>
      <c r="AP56" s="10" t="s">
        <v>233</v>
      </c>
    </row>
    <row r="57" spans="1:42" ht="16">
      <c r="A57" s="53">
        <v>45198</v>
      </c>
      <c r="C57" s="10">
        <v>5400157</v>
      </c>
      <c r="D57" s="10" t="s">
        <v>147</v>
      </c>
      <c r="E57" s="11">
        <v>10</v>
      </c>
      <c r="F57" s="37">
        <v>337777</v>
      </c>
      <c r="G57" s="37">
        <v>6007094</v>
      </c>
      <c r="H57" s="11" t="s">
        <v>234</v>
      </c>
      <c r="I57" s="11" t="s">
        <v>98</v>
      </c>
      <c r="K57" s="11" t="s">
        <v>99</v>
      </c>
      <c r="L57" s="10" t="s">
        <v>100</v>
      </c>
      <c r="M57" s="10" t="s">
        <v>101</v>
      </c>
      <c r="N57" s="21">
        <v>2.6</v>
      </c>
      <c r="O57" s="21">
        <v>52</v>
      </c>
      <c r="P57" s="10" t="s">
        <v>102</v>
      </c>
      <c r="Q57" s="81"/>
      <c r="R57" s="10" t="s">
        <v>102</v>
      </c>
      <c r="S57" s="10" t="s">
        <v>102</v>
      </c>
      <c r="T57" s="81"/>
      <c r="U57" s="21">
        <v>4</v>
      </c>
      <c r="V57" s="10">
        <v>1.8</v>
      </c>
      <c r="W57" s="21">
        <v>1.5</v>
      </c>
      <c r="X57" s="10" t="s">
        <v>102</v>
      </c>
      <c r="Y57" s="21">
        <v>3</v>
      </c>
      <c r="Z57" s="21">
        <v>6.5</v>
      </c>
      <c r="AA57" s="10">
        <v>4</v>
      </c>
      <c r="AB57" s="10" t="s">
        <v>102</v>
      </c>
      <c r="AC57" s="10" t="s">
        <v>109</v>
      </c>
      <c r="AD57" s="10" t="s">
        <v>103</v>
      </c>
      <c r="AE57" s="10" t="s">
        <v>126</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10" t="s">
        <v>105</v>
      </c>
      <c r="AO57" s="21">
        <v>18</v>
      </c>
      <c r="AP57" s="10" t="s">
        <v>235</v>
      </c>
    </row>
    <row r="58" spans="1:42" ht="16">
      <c r="A58" s="53">
        <v>45198</v>
      </c>
      <c r="C58" s="10">
        <v>5401774</v>
      </c>
      <c r="D58" s="10" t="s">
        <v>147</v>
      </c>
      <c r="E58" s="11">
        <v>10</v>
      </c>
      <c r="F58" s="37">
        <v>337850</v>
      </c>
      <c r="G58" s="37">
        <v>6006827</v>
      </c>
      <c r="H58" s="11" t="s">
        <v>234</v>
      </c>
      <c r="I58" s="11" t="s">
        <v>236</v>
      </c>
      <c r="K58" s="11" t="s">
        <v>237</v>
      </c>
      <c r="L58" s="10" t="s">
        <v>100</v>
      </c>
      <c r="M58" s="10" t="s">
        <v>101</v>
      </c>
      <c r="N58" s="21">
        <v>2.5</v>
      </c>
      <c r="O58" s="21">
        <v>14</v>
      </c>
      <c r="P58" s="10" t="s">
        <v>102</v>
      </c>
      <c r="Q58" s="81"/>
      <c r="R58" s="10" t="s">
        <v>102</v>
      </c>
      <c r="S58" s="10" t="s">
        <v>102</v>
      </c>
      <c r="T58" s="81"/>
      <c r="U58" s="21">
        <v>1</v>
      </c>
      <c r="V58" s="10">
        <v>1.4</v>
      </c>
      <c r="W58" s="21">
        <v>2</v>
      </c>
      <c r="X58" s="10" t="s">
        <v>102</v>
      </c>
      <c r="Y58" s="21">
        <v>3</v>
      </c>
      <c r="Z58" s="21">
        <v>5.6</v>
      </c>
      <c r="AA58" s="10">
        <v>3</v>
      </c>
      <c r="AB58" s="10" t="s">
        <v>102</v>
      </c>
      <c r="AC58" s="10" t="s">
        <v>102</v>
      </c>
      <c r="AD58" s="10" t="s">
        <v>103</v>
      </c>
      <c r="AE58" s="10" t="s">
        <v>126</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10" t="s">
        <v>105</v>
      </c>
      <c r="AO58" s="21">
        <v>15</v>
      </c>
      <c r="AP58" s="10" t="s">
        <v>238</v>
      </c>
    </row>
    <row r="59" spans="1:42" ht="16">
      <c r="A59" s="53">
        <v>45198</v>
      </c>
      <c r="C59" s="10">
        <v>5400019</v>
      </c>
      <c r="D59" s="10" t="s">
        <v>147</v>
      </c>
      <c r="E59" s="11">
        <v>10</v>
      </c>
      <c r="F59" s="37">
        <v>366638</v>
      </c>
      <c r="G59" s="37">
        <v>5995282</v>
      </c>
      <c r="H59" s="11" t="s">
        <v>239</v>
      </c>
      <c r="I59" s="11" t="s">
        <v>98</v>
      </c>
      <c r="K59" s="11" t="s">
        <v>99</v>
      </c>
      <c r="L59" s="10" t="s">
        <v>100</v>
      </c>
      <c r="M59" s="10" t="s">
        <v>101</v>
      </c>
      <c r="N59" s="21">
        <v>1.2</v>
      </c>
      <c r="O59" s="21">
        <v>99.9</v>
      </c>
      <c r="P59" s="10" t="s">
        <v>102</v>
      </c>
      <c r="Q59" s="81"/>
      <c r="R59" s="10" t="s">
        <v>102</v>
      </c>
      <c r="S59" s="10" t="s">
        <v>102</v>
      </c>
      <c r="T59" s="81"/>
      <c r="U59" s="21">
        <v>6</v>
      </c>
      <c r="V59" s="10">
        <v>0</v>
      </c>
      <c r="W59" s="21">
        <v>0</v>
      </c>
      <c r="X59" s="10" t="s">
        <v>102</v>
      </c>
      <c r="Y59" s="21">
        <v>1</v>
      </c>
      <c r="Z59" s="21">
        <v>1.1000000000000001</v>
      </c>
      <c r="AA59" s="10">
        <v>3</v>
      </c>
      <c r="AB59" s="10" t="s">
        <v>102</v>
      </c>
      <c r="AC59" s="10" t="s">
        <v>102</v>
      </c>
      <c r="AD59" s="10" t="s">
        <v>103</v>
      </c>
      <c r="AE59" s="10" t="s">
        <v>118</v>
      </c>
      <c r="AF59" s="20">
        <f t="shared" si="8"/>
        <v>0.91666666666666674</v>
      </c>
      <c r="AG59" s="13">
        <f t="shared" si="1"/>
        <v>6</v>
      </c>
      <c r="AH59" s="7">
        <f t="shared" si="2"/>
        <v>10</v>
      </c>
      <c r="AI59" s="7">
        <f t="shared" si="3"/>
        <v>0</v>
      </c>
      <c r="AJ59" s="7">
        <f t="shared" si="4"/>
        <v>5</v>
      </c>
      <c r="AK59" s="7">
        <f t="shared" si="5"/>
        <v>0</v>
      </c>
      <c r="AL59" s="12">
        <f t="shared" si="9"/>
        <v>21</v>
      </c>
      <c r="AM59" s="14" t="str">
        <f t="shared" si="7"/>
        <v>Barrier</v>
      </c>
      <c r="AN59" s="10" t="s">
        <v>113</v>
      </c>
      <c r="AO59" s="21">
        <v>3</v>
      </c>
      <c r="AP59" s="10" t="s">
        <v>240</v>
      </c>
    </row>
    <row r="60" spans="1:42" ht="16">
      <c r="A60" s="53">
        <v>45198</v>
      </c>
      <c r="C60" s="10">
        <v>5400239</v>
      </c>
      <c r="D60" s="10" t="s">
        <v>147</v>
      </c>
      <c r="E60" s="11">
        <v>10</v>
      </c>
      <c r="F60" s="37">
        <v>381850</v>
      </c>
      <c r="G60" s="37">
        <v>5991183</v>
      </c>
      <c r="H60" s="11" t="s">
        <v>241</v>
      </c>
      <c r="I60" s="11" t="s">
        <v>98</v>
      </c>
      <c r="K60" s="11" t="s">
        <v>99</v>
      </c>
      <c r="L60" s="10" t="s">
        <v>100</v>
      </c>
      <c r="M60" s="10" t="s">
        <v>101</v>
      </c>
      <c r="N60" s="21">
        <v>1.5</v>
      </c>
      <c r="O60" s="21">
        <v>45</v>
      </c>
      <c r="P60" s="10" t="s">
        <v>102</v>
      </c>
      <c r="Q60" s="81"/>
      <c r="R60" s="10" t="s">
        <v>102</v>
      </c>
      <c r="S60" s="10" t="s">
        <v>102</v>
      </c>
      <c r="T60" s="81"/>
      <c r="U60" s="21">
        <v>5</v>
      </c>
      <c r="V60" s="10">
        <v>0.2</v>
      </c>
      <c r="W60" s="21">
        <v>0</v>
      </c>
      <c r="X60" s="10" t="s">
        <v>102</v>
      </c>
      <c r="Y60" s="21">
        <v>5</v>
      </c>
      <c r="Z60" s="21">
        <v>2.2999999999999998</v>
      </c>
      <c r="AA60" s="10">
        <v>2</v>
      </c>
      <c r="AB60" s="10" t="s">
        <v>102</v>
      </c>
      <c r="AC60" s="10" t="s">
        <v>102</v>
      </c>
      <c r="AD60" s="10" t="s">
        <v>103</v>
      </c>
      <c r="AE60" s="10" t="s">
        <v>118</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10" t="s">
        <v>105</v>
      </c>
      <c r="AO60" s="21">
        <v>21</v>
      </c>
      <c r="AP60" s="10" t="s">
        <v>242</v>
      </c>
    </row>
    <row r="61" spans="1:42" ht="32">
      <c r="A61" s="53">
        <v>45198</v>
      </c>
      <c r="C61" s="10">
        <v>15600265</v>
      </c>
      <c r="D61" s="10" t="s">
        <v>147</v>
      </c>
      <c r="E61" s="11">
        <v>10</v>
      </c>
      <c r="F61" s="37">
        <v>399029</v>
      </c>
      <c r="G61" s="37">
        <v>5988757</v>
      </c>
      <c r="H61" s="11" t="s">
        <v>130</v>
      </c>
      <c r="I61" s="11" t="s">
        <v>243</v>
      </c>
      <c r="K61" s="11" t="s">
        <v>112</v>
      </c>
      <c r="L61" s="10" t="s">
        <v>100</v>
      </c>
      <c r="M61" s="10" t="s">
        <v>101</v>
      </c>
      <c r="N61" s="21">
        <v>1.4</v>
      </c>
      <c r="O61" s="21">
        <v>18</v>
      </c>
      <c r="P61" s="10" t="s">
        <v>102</v>
      </c>
      <c r="Q61" s="81"/>
      <c r="R61" s="10" t="s">
        <v>102</v>
      </c>
      <c r="S61" s="10" t="s">
        <v>102</v>
      </c>
      <c r="T61" s="81"/>
      <c r="U61" s="21">
        <v>1.5</v>
      </c>
      <c r="V61" s="10">
        <v>0.4</v>
      </c>
      <c r="W61" s="21">
        <v>0</v>
      </c>
      <c r="X61" s="10" t="s">
        <v>102</v>
      </c>
      <c r="Y61" s="21">
        <v>3</v>
      </c>
      <c r="Z61" s="21">
        <v>1.9</v>
      </c>
      <c r="AA61" s="10">
        <v>3</v>
      </c>
      <c r="AB61" s="10" t="s">
        <v>102</v>
      </c>
      <c r="AC61" s="10" t="s">
        <v>102</v>
      </c>
      <c r="AD61" s="10" t="s">
        <v>103</v>
      </c>
      <c r="AE61" s="10" t="s">
        <v>118</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10" t="s">
        <v>113</v>
      </c>
      <c r="AO61" s="21">
        <v>3</v>
      </c>
      <c r="AP61" s="10" t="s">
        <v>244</v>
      </c>
    </row>
    <row r="62" spans="1:42" ht="32">
      <c r="A62" s="53">
        <v>45198</v>
      </c>
      <c r="C62" s="10">
        <v>15600301</v>
      </c>
      <c r="D62" s="10" t="s">
        <v>147</v>
      </c>
      <c r="E62" s="11">
        <v>10</v>
      </c>
      <c r="F62" s="37">
        <v>401104</v>
      </c>
      <c r="G62" s="37">
        <v>5983401</v>
      </c>
      <c r="H62" s="11" t="s">
        <v>245</v>
      </c>
      <c r="I62" s="11" t="s">
        <v>243</v>
      </c>
      <c r="K62" s="11" t="s">
        <v>112</v>
      </c>
      <c r="L62" s="10" t="s">
        <v>100</v>
      </c>
      <c r="M62" s="10" t="s">
        <v>101</v>
      </c>
      <c r="N62" s="21">
        <v>1.2</v>
      </c>
      <c r="O62" s="21">
        <v>24</v>
      </c>
      <c r="P62" s="10" t="s">
        <v>102</v>
      </c>
      <c r="Q62" s="81"/>
      <c r="R62" s="10" t="s">
        <v>102</v>
      </c>
      <c r="S62" s="10" t="s">
        <v>102</v>
      </c>
      <c r="T62" s="81"/>
      <c r="U62" s="21">
        <v>3</v>
      </c>
      <c r="V62" s="10">
        <v>0</v>
      </c>
      <c r="W62" s="21">
        <v>0</v>
      </c>
      <c r="X62" s="10" t="s">
        <v>102</v>
      </c>
      <c r="Y62" s="21">
        <v>2</v>
      </c>
      <c r="Z62" s="21">
        <v>1.2</v>
      </c>
      <c r="AA62" s="10">
        <v>1</v>
      </c>
      <c r="AB62" s="10" t="s">
        <v>109</v>
      </c>
      <c r="AC62" s="10" t="s">
        <v>102</v>
      </c>
      <c r="AD62" s="10" t="s">
        <v>103</v>
      </c>
      <c r="AE62" s="10" t="s">
        <v>104</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113</v>
      </c>
      <c r="AO62" s="21">
        <v>3</v>
      </c>
      <c r="AP62" s="10" t="s">
        <v>246</v>
      </c>
    </row>
    <row r="63" spans="1:42" ht="16">
      <c r="A63" s="53">
        <v>45198</v>
      </c>
      <c r="C63" s="10">
        <v>15600302</v>
      </c>
      <c r="D63" s="10" t="s">
        <v>147</v>
      </c>
      <c r="E63" s="11">
        <v>10</v>
      </c>
      <c r="F63" s="37">
        <v>400866</v>
      </c>
      <c r="G63" s="37">
        <v>5982476</v>
      </c>
      <c r="H63" s="11" t="s">
        <v>247</v>
      </c>
      <c r="I63" s="11" t="s">
        <v>248</v>
      </c>
      <c r="K63" s="11" t="s">
        <v>112</v>
      </c>
      <c r="L63" s="10" t="s">
        <v>100</v>
      </c>
      <c r="M63" s="10" t="s">
        <v>171</v>
      </c>
      <c r="N63" s="21">
        <v>4</v>
      </c>
      <c r="O63" s="21">
        <v>30</v>
      </c>
      <c r="P63" s="10" t="s">
        <v>102</v>
      </c>
      <c r="Q63" s="81"/>
      <c r="R63" s="10" t="s">
        <v>102</v>
      </c>
      <c r="S63" s="10" t="s">
        <v>102</v>
      </c>
      <c r="T63" s="81"/>
      <c r="U63" s="21">
        <v>0.8</v>
      </c>
      <c r="V63" s="10">
        <v>0</v>
      </c>
      <c r="W63" s="21">
        <v>0</v>
      </c>
      <c r="X63" s="10" t="s">
        <v>102</v>
      </c>
      <c r="Y63" s="21">
        <v>2</v>
      </c>
      <c r="Z63" s="21">
        <v>6.1</v>
      </c>
      <c r="AA63" s="10">
        <v>2</v>
      </c>
      <c r="AB63" s="10" t="s">
        <v>102</v>
      </c>
      <c r="AC63" s="10" t="s">
        <v>102</v>
      </c>
      <c r="AD63" s="10" t="s">
        <v>103</v>
      </c>
      <c r="AE63" s="10" t="s">
        <v>104</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10" t="s">
        <v>105</v>
      </c>
      <c r="AO63" s="21">
        <v>15</v>
      </c>
      <c r="AP63" s="10" t="s">
        <v>249</v>
      </c>
    </row>
    <row r="64" spans="1:42" ht="16">
      <c r="A64" s="53">
        <v>45199</v>
      </c>
      <c r="C64" s="10">
        <v>15600624</v>
      </c>
      <c r="D64" s="10" t="s">
        <v>147</v>
      </c>
      <c r="E64" s="11">
        <v>10</v>
      </c>
      <c r="F64" s="37">
        <v>438428</v>
      </c>
      <c r="G64" s="37">
        <v>5982155</v>
      </c>
      <c r="H64" s="11" t="s">
        <v>250</v>
      </c>
      <c r="I64" s="11" t="s">
        <v>251</v>
      </c>
      <c r="K64" s="11" t="s">
        <v>150</v>
      </c>
      <c r="L64" s="10" t="s">
        <v>100</v>
      </c>
      <c r="M64" s="10" t="s">
        <v>101</v>
      </c>
      <c r="N64" s="21">
        <v>0.9</v>
      </c>
      <c r="O64" s="21">
        <v>18</v>
      </c>
      <c r="P64" s="10" t="s">
        <v>102</v>
      </c>
      <c r="Q64" s="81"/>
      <c r="R64" s="10" t="s">
        <v>102</v>
      </c>
      <c r="S64" s="10" t="s">
        <v>102</v>
      </c>
      <c r="T64" s="81"/>
      <c r="U64" s="21">
        <v>2.2000000000000002</v>
      </c>
      <c r="V64" s="10">
        <v>0</v>
      </c>
      <c r="W64" s="21">
        <v>0</v>
      </c>
      <c r="X64" s="10" t="s">
        <v>102</v>
      </c>
      <c r="Y64" s="21">
        <v>2.5</v>
      </c>
      <c r="Z64" s="21">
        <v>0.9</v>
      </c>
      <c r="AA64" s="10">
        <v>1</v>
      </c>
      <c r="AB64" s="10" t="s">
        <v>102</v>
      </c>
      <c r="AC64" s="10" t="s">
        <v>102</v>
      </c>
      <c r="AD64" s="10" t="s">
        <v>103</v>
      </c>
      <c r="AE64" s="10" t="s">
        <v>118</v>
      </c>
      <c r="AF64" s="20">
        <f t="shared" si="8"/>
        <v>1</v>
      </c>
      <c r="AG64" s="13">
        <f t="shared" si="1"/>
        <v>3</v>
      </c>
      <c r="AH64" s="7">
        <f t="shared" si="2"/>
        <v>10</v>
      </c>
      <c r="AI64" s="7">
        <f t="shared" si="3"/>
        <v>0</v>
      </c>
      <c r="AJ64" s="7">
        <f t="shared" si="4"/>
        <v>5</v>
      </c>
      <c r="AK64" s="7">
        <f t="shared" si="5"/>
        <v>3</v>
      </c>
      <c r="AL64" s="12">
        <f t="shared" si="9"/>
        <v>21</v>
      </c>
      <c r="AM64" s="14" t="str">
        <f t="shared" si="7"/>
        <v>Barrier</v>
      </c>
      <c r="AN64" s="10" t="s">
        <v>113</v>
      </c>
      <c r="AO64" s="21">
        <v>3</v>
      </c>
      <c r="AP64" s="10" t="s">
        <v>252</v>
      </c>
    </row>
    <row r="65" spans="1:42" ht="32">
      <c r="A65" s="53">
        <v>45199</v>
      </c>
      <c r="C65" s="10">
        <v>15600626</v>
      </c>
      <c r="D65" s="10" t="s">
        <v>147</v>
      </c>
      <c r="E65" s="11">
        <v>10</v>
      </c>
      <c r="F65" s="37">
        <v>438529</v>
      </c>
      <c r="G65" s="37">
        <v>5982155</v>
      </c>
      <c r="H65" s="11" t="s">
        <v>253</v>
      </c>
      <c r="I65" s="11" t="s">
        <v>251</v>
      </c>
      <c r="K65" s="11" t="s">
        <v>150</v>
      </c>
      <c r="L65" s="10" t="s">
        <v>100</v>
      </c>
      <c r="M65" s="10" t="s">
        <v>101</v>
      </c>
      <c r="N65" s="21">
        <v>1.5</v>
      </c>
      <c r="O65" s="21">
        <v>20</v>
      </c>
      <c r="P65" s="10" t="s">
        <v>102</v>
      </c>
      <c r="Q65" s="81"/>
      <c r="R65" s="10" t="s">
        <v>102</v>
      </c>
      <c r="S65" s="10" t="s">
        <v>102</v>
      </c>
      <c r="T65" s="81"/>
      <c r="U65" s="21">
        <v>2</v>
      </c>
      <c r="V65" s="10">
        <v>0.6</v>
      </c>
      <c r="W65" s="21">
        <v>0</v>
      </c>
      <c r="X65" s="10" t="s">
        <v>102</v>
      </c>
      <c r="Y65" s="21">
        <v>1</v>
      </c>
      <c r="Z65" s="21">
        <v>1.6</v>
      </c>
      <c r="AA65" s="10">
        <v>0.5</v>
      </c>
      <c r="AB65" s="10" t="s">
        <v>102</v>
      </c>
      <c r="AC65" s="10" t="s">
        <v>102</v>
      </c>
      <c r="AD65" s="10" t="s">
        <v>103</v>
      </c>
      <c r="AE65" s="10" t="s">
        <v>118</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10" t="s">
        <v>113</v>
      </c>
      <c r="AO65" s="21">
        <v>3</v>
      </c>
      <c r="AP65" s="10" t="s">
        <v>254</v>
      </c>
    </row>
    <row r="66" spans="1:42" ht="32">
      <c r="A66" s="53">
        <v>45199</v>
      </c>
      <c r="C66" s="10">
        <v>15600076</v>
      </c>
      <c r="D66" s="10" t="s">
        <v>147</v>
      </c>
      <c r="E66" s="11">
        <v>10</v>
      </c>
      <c r="F66" s="37">
        <v>449834</v>
      </c>
      <c r="G66" s="37">
        <v>5977830</v>
      </c>
      <c r="H66" s="11" t="s">
        <v>185</v>
      </c>
      <c r="I66" s="11" t="s">
        <v>98</v>
      </c>
      <c r="K66" s="11" t="s">
        <v>99</v>
      </c>
      <c r="L66" s="10" t="s">
        <v>100</v>
      </c>
      <c r="M66" s="10" t="s">
        <v>101</v>
      </c>
      <c r="N66" s="21">
        <v>1.8</v>
      </c>
      <c r="O66" s="21">
        <v>48</v>
      </c>
      <c r="P66" s="10" t="s">
        <v>102</v>
      </c>
      <c r="Q66" s="81"/>
      <c r="R66" s="10" t="s">
        <v>102</v>
      </c>
      <c r="S66" s="10" t="s">
        <v>102</v>
      </c>
      <c r="T66" s="81"/>
      <c r="U66" s="21">
        <v>5</v>
      </c>
      <c r="V66" s="10">
        <v>0</v>
      </c>
      <c r="W66" s="21">
        <v>0</v>
      </c>
      <c r="X66" s="10" t="s">
        <v>102</v>
      </c>
      <c r="Y66" s="21">
        <v>1</v>
      </c>
      <c r="Z66" s="21">
        <v>1.2</v>
      </c>
      <c r="AA66" s="10">
        <v>1</v>
      </c>
      <c r="AB66" s="10" t="s">
        <v>102</v>
      </c>
      <c r="AC66" s="10" t="s">
        <v>102</v>
      </c>
      <c r="AD66" s="10" t="s">
        <v>103</v>
      </c>
      <c r="AE66" s="10" t="s">
        <v>118</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10" t="s">
        <v>113</v>
      </c>
      <c r="AO66" s="21">
        <v>3</v>
      </c>
      <c r="AP66" s="10" t="s">
        <v>255</v>
      </c>
    </row>
    <row r="67" spans="1:42" ht="16">
      <c r="A67" s="53">
        <v>45199</v>
      </c>
      <c r="C67" s="10">
        <v>15600629</v>
      </c>
      <c r="D67" s="10" t="s">
        <v>147</v>
      </c>
      <c r="E67" s="11">
        <v>10</v>
      </c>
      <c r="F67" s="37">
        <v>451599</v>
      </c>
      <c r="G67" s="37">
        <v>5975913</v>
      </c>
      <c r="H67" s="11" t="s">
        <v>256</v>
      </c>
      <c r="I67" s="11" t="s">
        <v>98</v>
      </c>
      <c r="K67" s="11" t="s">
        <v>99</v>
      </c>
      <c r="L67" s="10" t="s">
        <v>100</v>
      </c>
      <c r="M67" s="10" t="s">
        <v>101</v>
      </c>
      <c r="N67" s="21">
        <v>1.5</v>
      </c>
      <c r="O67" s="21">
        <v>90</v>
      </c>
      <c r="P67" s="10" t="s">
        <v>102</v>
      </c>
      <c r="Q67" s="81"/>
      <c r="R67" s="10" t="s">
        <v>102</v>
      </c>
      <c r="S67" s="10" t="s">
        <v>102</v>
      </c>
      <c r="T67" s="81"/>
      <c r="U67" s="21">
        <v>8</v>
      </c>
      <c r="V67" s="10">
        <v>0</v>
      </c>
      <c r="W67" s="21">
        <v>0</v>
      </c>
      <c r="X67" s="10" t="s">
        <v>102</v>
      </c>
      <c r="Y67" s="21">
        <v>3</v>
      </c>
      <c r="Z67" s="21">
        <v>3.3</v>
      </c>
      <c r="AA67" s="10">
        <v>2</v>
      </c>
      <c r="AB67" s="10" t="s">
        <v>102</v>
      </c>
      <c r="AC67" s="10" t="s">
        <v>102</v>
      </c>
      <c r="AD67" s="10" t="s">
        <v>103</v>
      </c>
      <c r="AE67" s="10" t="s">
        <v>118</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10" t="s">
        <v>113</v>
      </c>
      <c r="AO67" s="21">
        <v>4.5</v>
      </c>
      <c r="AP67" s="10" t="s">
        <v>257</v>
      </c>
    </row>
    <row r="68" spans="1:42" ht="32">
      <c r="A68" s="53">
        <v>45199</v>
      </c>
      <c r="C68" s="10">
        <v>15600057</v>
      </c>
      <c r="D68" s="10" t="s">
        <v>147</v>
      </c>
      <c r="E68" s="11">
        <v>10</v>
      </c>
      <c r="F68" s="37">
        <v>464822</v>
      </c>
      <c r="G68" s="37">
        <v>5971609</v>
      </c>
      <c r="H68" s="11" t="s">
        <v>258</v>
      </c>
      <c r="I68" s="11" t="s">
        <v>98</v>
      </c>
      <c r="K68" s="11" t="s">
        <v>99</v>
      </c>
      <c r="L68" s="10" t="s">
        <v>100</v>
      </c>
      <c r="M68" s="10" t="s">
        <v>101</v>
      </c>
      <c r="N68" s="21">
        <v>2.4</v>
      </c>
      <c r="O68" s="21">
        <v>66</v>
      </c>
      <c r="P68" s="10" t="s">
        <v>102</v>
      </c>
      <c r="Q68" s="81"/>
      <c r="R68" s="10" t="s">
        <v>102</v>
      </c>
      <c r="S68" s="10" t="s">
        <v>102</v>
      </c>
      <c r="T68" s="81"/>
      <c r="U68" s="21">
        <v>5</v>
      </c>
      <c r="V68" s="10">
        <v>0</v>
      </c>
      <c r="W68" s="21">
        <v>0</v>
      </c>
      <c r="X68" s="10" t="s">
        <v>102</v>
      </c>
      <c r="Y68" s="21">
        <v>1</v>
      </c>
      <c r="Z68" s="21">
        <v>2.6</v>
      </c>
      <c r="AA68" s="10">
        <v>0</v>
      </c>
      <c r="AB68" s="10" t="s">
        <v>102</v>
      </c>
      <c r="AC68" s="10" t="s">
        <v>102</v>
      </c>
      <c r="AD68" s="10" t="s">
        <v>103</v>
      </c>
      <c r="AE68" s="10" t="s">
        <v>104</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10" t="s">
        <v>105</v>
      </c>
      <c r="AO68" s="21">
        <v>21</v>
      </c>
      <c r="AP68" s="10" t="s">
        <v>259</v>
      </c>
    </row>
    <row r="69" spans="1:42" ht="16">
      <c r="A69" s="53">
        <v>45199</v>
      </c>
      <c r="C69" s="10">
        <v>15603872</v>
      </c>
      <c r="D69" s="10" t="s">
        <v>147</v>
      </c>
      <c r="E69" s="11">
        <v>10</v>
      </c>
      <c r="F69" s="37">
        <v>462928</v>
      </c>
      <c r="G69" s="37">
        <v>5969213</v>
      </c>
      <c r="H69" s="11" t="s">
        <v>260</v>
      </c>
      <c r="I69" s="11" t="s">
        <v>261</v>
      </c>
      <c r="K69" s="11" t="s">
        <v>112</v>
      </c>
      <c r="L69" s="10" t="s">
        <v>100</v>
      </c>
      <c r="M69" s="10" t="s">
        <v>101</v>
      </c>
      <c r="N69" s="21">
        <v>2.5</v>
      </c>
      <c r="O69" s="21">
        <v>78</v>
      </c>
      <c r="P69" s="10" t="s">
        <v>102</v>
      </c>
      <c r="Q69" s="81"/>
      <c r="R69" s="10" t="s">
        <v>102</v>
      </c>
      <c r="S69" s="10" t="s">
        <v>102</v>
      </c>
      <c r="T69" s="81"/>
      <c r="U69" s="21">
        <v>5</v>
      </c>
      <c r="V69" s="10">
        <v>0</v>
      </c>
      <c r="W69" s="21">
        <v>0.3</v>
      </c>
      <c r="X69" s="10" t="s">
        <v>102</v>
      </c>
      <c r="Y69" s="21">
        <v>0</v>
      </c>
      <c r="Z69" s="21">
        <v>3.1</v>
      </c>
      <c r="AA69" s="10">
        <v>3</v>
      </c>
      <c r="AB69" s="10" t="s">
        <v>102</v>
      </c>
      <c r="AC69" s="10" t="s">
        <v>102</v>
      </c>
      <c r="AD69" s="10" t="s">
        <v>103</v>
      </c>
      <c r="AE69" s="10" t="s">
        <v>104</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10" t="s">
        <v>105</v>
      </c>
      <c r="AO69" s="21">
        <v>21</v>
      </c>
      <c r="AP69" s="10" t="s">
        <v>262</v>
      </c>
    </row>
    <row r="70" spans="1:42" ht="32">
      <c r="A70" s="53">
        <v>45199</v>
      </c>
      <c r="C70" s="10">
        <v>9902601</v>
      </c>
      <c r="D70" s="10" t="s">
        <v>147</v>
      </c>
      <c r="E70" s="11">
        <v>10</v>
      </c>
      <c r="F70" s="37">
        <v>474705</v>
      </c>
      <c r="G70" s="37">
        <v>5969325</v>
      </c>
      <c r="H70" s="11" t="s">
        <v>263</v>
      </c>
      <c r="I70" s="11" t="s">
        <v>98</v>
      </c>
      <c r="K70" s="11" t="s">
        <v>99</v>
      </c>
      <c r="L70" s="10" t="s">
        <v>100</v>
      </c>
      <c r="M70" s="10" t="s">
        <v>101</v>
      </c>
      <c r="N70" s="21">
        <v>2</v>
      </c>
      <c r="O70" s="21">
        <v>60</v>
      </c>
      <c r="P70" s="10" t="s">
        <v>102</v>
      </c>
      <c r="Q70" s="81"/>
      <c r="R70" s="10" t="s">
        <v>102</v>
      </c>
      <c r="S70" s="10" t="s">
        <v>102</v>
      </c>
      <c r="T70" s="81"/>
      <c r="U70" s="21">
        <v>8</v>
      </c>
      <c r="V70" s="10">
        <v>0</v>
      </c>
      <c r="W70" s="21">
        <v>0</v>
      </c>
      <c r="X70" s="10" t="s">
        <v>102</v>
      </c>
      <c r="Y70" s="21">
        <v>3.5</v>
      </c>
      <c r="Z70" s="21">
        <v>1.7</v>
      </c>
      <c r="AA70" s="10">
        <v>6</v>
      </c>
      <c r="AB70" s="10" t="s">
        <v>102</v>
      </c>
      <c r="AC70" s="10" t="s">
        <v>102</v>
      </c>
      <c r="AD70" s="10" t="s">
        <v>103</v>
      </c>
      <c r="AE70" s="10" t="s">
        <v>104</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10" t="s">
        <v>113</v>
      </c>
      <c r="AO70" s="21">
        <v>3</v>
      </c>
      <c r="AP70" s="10" t="s">
        <v>264</v>
      </c>
    </row>
    <row r="71" spans="1:42" ht="16">
      <c r="A71" s="53">
        <v>45199</v>
      </c>
      <c r="C71" s="10">
        <v>9903105</v>
      </c>
      <c r="D71" s="10" t="s">
        <v>147</v>
      </c>
      <c r="E71" s="11">
        <v>10</v>
      </c>
      <c r="F71" s="37">
        <v>482695</v>
      </c>
      <c r="G71" s="37">
        <v>5969819</v>
      </c>
      <c r="H71" s="11" t="s">
        <v>265</v>
      </c>
      <c r="I71" s="11" t="s">
        <v>266</v>
      </c>
      <c r="K71" s="11" t="s">
        <v>112</v>
      </c>
      <c r="L71" s="10" t="s">
        <v>100</v>
      </c>
      <c r="M71" s="10" t="s">
        <v>101</v>
      </c>
      <c r="N71" s="21">
        <v>2.2000000000000002</v>
      </c>
      <c r="O71" s="21">
        <v>16</v>
      </c>
      <c r="P71" s="10" t="s">
        <v>102</v>
      </c>
      <c r="Q71" s="81"/>
      <c r="R71" s="10" t="s">
        <v>102</v>
      </c>
      <c r="S71" s="10" t="s">
        <v>102</v>
      </c>
      <c r="T71" s="81"/>
      <c r="U71" s="21">
        <v>0.7</v>
      </c>
      <c r="V71" s="10">
        <v>0.1</v>
      </c>
      <c r="W71" s="21">
        <v>0.3</v>
      </c>
      <c r="X71" s="10" t="s">
        <v>102</v>
      </c>
      <c r="Y71" s="21">
        <v>1</v>
      </c>
      <c r="Z71" s="21">
        <v>2.2000000000000002</v>
      </c>
      <c r="AA71" s="10">
        <v>2</v>
      </c>
      <c r="AB71" s="10" t="s">
        <v>102</v>
      </c>
      <c r="AC71" s="10" t="s">
        <v>102</v>
      </c>
      <c r="AD71" s="10" t="s">
        <v>103</v>
      </c>
      <c r="AE71" s="10" t="s">
        <v>104</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10" t="s">
        <v>105</v>
      </c>
      <c r="AO71" s="21">
        <v>15</v>
      </c>
      <c r="AP71" s="10" t="s">
        <v>267</v>
      </c>
    </row>
    <row r="72" spans="1:42" ht="16">
      <c r="A72" s="53">
        <v>45199</v>
      </c>
      <c r="C72" s="10">
        <v>9900404</v>
      </c>
      <c r="D72" s="10" t="s">
        <v>147</v>
      </c>
      <c r="E72" s="11">
        <v>10</v>
      </c>
      <c r="F72" s="37">
        <v>494827</v>
      </c>
      <c r="G72" s="37">
        <v>5963256</v>
      </c>
      <c r="H72" s="11" t="s">
        <v>268</v>
      </c>
      <c r="I72" s="11" t="s">
        <v>98</v>
      </c>
      <c r="K72" s="11" t="s">
        <v>99</v>
      </c>
      <c r="L72" s="10" t="s">
        <v>100</v>
      </c>
      <c r="M72" s="10" t="s">
        <v>101</v>
      </c>
      <c r="N72" s="21">
        <v>1.7</v>
      </c>
      <c r="O72" s="21">
        <v>56</v>
      </c>
      <c r="P72" s="10" t="s">
        <v>102</v>
      </c>
      <c r="Q72" s="81"/>
      <c r="R72" s="10" t="s">
        <v>102</v>
      </c>
      <c r="S72" s="10" t="s">
        <v>102</v>
      </c>
      <c r="T72" s="81"/>
      <c r="U72" s="21">
        <v>6</v>
      </c>
      <c r="V72" s="10">
        <v>0.4</v>
      </c>
      <c r="W72" s="21">
        <v>0</v>
      </c>
      <c r="X72" s="10" t="s">
        <v>102</v>
      </c>
      <c r="Y72" s="21">
        <v>2</v>
      </c>
      <c r="Z72" s="21">
        <v>2.2000000000000002</v>
      </c>
      <c r="AA72" s="10">
        <v>1</v>
      </c>
      <c r="AB72" s="10" t="s">
        <v>102</v>
      </c>
      <c r="AC72" s="10" t="s">
        <v>102</v>
      </c>
      <c r="AD72" s="10" t="s">
        <v>103</v>
      </c>
      <c r="AE72" s="10" t="s">
        <v>104</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10" t="s">
        <v>113</v>
      </c>
      <c r="AO72" s="21">
        <v>4.5</v>
      </c>
      <c r="AP72" s="10" t="s">
        <v>269</v>
      </c>
    </row>
    <row r="73" spans="1:42" ht="16">
      <c r="A73" s="53">
        <v>45199</v>
      </c>
      <c r="C73" s="10">
        <v>9900446</v>
      </c>
      <c r="D73" s="10" t="s">
        <v>147</v>
      </c>
      <c r="E73" s="11">
        <v>10</v>
      </c>
      <c r="F73" s="37">
        <v>488990</v>
      </c>
      <c r="G73" s="37">
        <v>5965724</v>
      </c>
      <c r="H73" s="11" t="s">
        <v>270</v>
      </c>
      <c r="I73" s="11" t="s">
        <v>98</v>
      </c>
      <c r="K73" s="11" t="s">
        <v>99</v>
      </c>
      <c r="L73" s="10" t="s">
        <v>100</v>
      </c>
      <c r="M73" s="10" t="s">
        <v>101</v>
      </c>
      <c r="N73" s="21">
        <v>2.8</v>
      </c>
      <c r="O73" s="21">
        <v>45</v>
      </c>
      <c r="P73" s="10" t="s">
        <v>102</v>
      </c>
      <c r="Q73" s="81"/>
      <c r="R73" s="10" t="s">
        <v>102</v>
      </c>
      <c r="S73" s="10" t="s">
        <v>102</v>
      </c>
      <c r="T73" s="81"/>
      <c r="U73" s="21">
        <v>5</v>
      </c>
      <c r="V73" s="10">
        <v>0.4</v>
      </c>
      <c r="W73" s="21">
        <v>2</v>
      </c>
      <c r="X73" s="10" t="s">
        <v>102</v>
      </c>
      <c r="Y73" s="21">
        <v>2</v>
      </c>
      <c r="Z73" s="21">
        <v>4.0999999999999996</v>
      </c>
      <c r="AA73" s="10">
        <v>1.5</v>
      </c>
      <c r="AB73" s="10" t="s">
        <v>109</v>
      </c>
      <c r="AC73" s="10" t="s">
        <v>109</v>
      </c>
      <c r="AD73" s="10" t="s">
        <v>103</v>
      </c>
      <c r="AE73" s="10" t="s">
        <v>104</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10" t="s">
        <v>105</v>
      </c>
      <c r="AO73" s="21">
        <v>21</v>
      </c>
      <c r="AP73" s="10" t="s">
        <v>271</v>
      </c>
    </row>
    <row r="74" spans="1:42" ht="16">
      <c r="A74" s="53">
        <v>45199</v>
      </c>
      <c r="C74" s="10">
        <v>9902577</v>
      </c>
      <c r="D74" s="10" t="s">
        <v>147</v>
      </c>
      <c r="E74" s="11">
        <v>10</v>
      </c>
      <c r="F74" s="37">
        <v>502368</v>
      </c>
      <c r="G74" s="37">
        <v>5962510</v>
      </c>
      <c r="H74" s="11" t="s">
        <v>144</v>
      </c>
      <c r="I74" s="11" t="s">
        <v>98</v>
      </c>
      <c r="K74" s="11" t="s">
        <v>99</v>
      </c>
      <c r="L74" s="10" t="s">
        <v>100</v>
      </c>
      <c r="M74" s="10" t="s">
        <v>171</v>
      </c>
      <c r="N74" s="21">
        <v>6.5</v>
      </c>
      <c r="O74" s="21">
        <v>26</v>
      </c>
      <c r="P74" s="10" t="s">
        <v>102</v>
      </c>
      <c r="Q74" s="81"/>
      <c r="R74" s="10" t="s">
        <v>102</v>
      </c>
      <c r="S74" s="10" t="s">
        <v>102</v>
      </c>
      <c r="T74" s="81"/>
      <c r="U74" s="21">
        <v>0.9</v>
      </c>
      <c r="V74" s="10">
        <v>0.6</v>
      </c>
      <c r="W74" s="21">
        <v>0.6</v>
      </c>
      <c r="X74" s="10" t="s">
        <v>102</v>
      </c>
      <c r="Y74" s="21">
        <v>3.5</v>
      </c>
      <c r="Z74" s="21">
        <v>7.6</v>
      </c>
      <c r="AA74" s="10">
        <v>2.5</v>
      </c>
      <c r="AB74" s="10" t="s">
        <v>102</v>
      </c>
      <c r="AC74" s="10" t="s">
        <v>102</v>
      </c>
      <c r="AD74" s="10" t="s">
        <v>103</v>
      </c>
      <c r="AE74" s="10" t="s">
        <v>126</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10" t="s">
        <v>105</v>
      </c>
      <c r="AO74" s="21">
        <v>15</v>
      </c>
      <c r="AP74" s="10" t="s">
        <v>272</v>
      </c>
    </row>
    <row r="75" spans="1:42" ht="16">
      <c r="A75" s="53">
        <v>45199</v>
      </c>
      <c r="C75" s="10">
        <v>9900262</v>
      </c>
      <c r="D75" s="10" t="s">
        <v>147</v>
      </c>
      <c r="E75" s="11">
        <v>10</v>
      </c>
      <c r="F75" s="37">
        <v>502603</v>
      </c>
      <c r="G75" s="37">
        <v>5962435</v>
      </c>
      <c r="H75" s="11" t="s">
        <v>273</v>
      </c>
      <c r="I75" s="11" t="s">
        <v>98</v>
      </c>
      <c r="K75" s="11" t="s">
        <v>99</v>
      </c>
      <c r="L75" s="10" t="s">
        <v>100</v>
      </c>
      <c r="M75" s="10" t="s">
        <v>101</v>
      </c>
      <c r="N75" s="21">
        <v>0.9</v>
      </c>
      <c r="O75" s="21">
        <v>32</v>
      </c>
      <c r="P75" s="10" t="s">
        <v>102</v>
      </c>
      <c r="Q75" s="81"/>
      <c r="R75" s="10" t="s">
        <v>102</v>
      </c>
      <c r="S75" s="10" t="s">
        <v>102</v>
      </c>
      <c r="T75" s="81"/>
      <c r="U75" s="21">
        <v>2.5</v>
      </c>
      <c r="V75" s="10">
        <v>0</v>
      </c>
      <c r="W75" s="21">
        <v>0</v>
      </c>
      <c r="X75" s="10" t="s">
        <v>102</v>
      </c>
      <c r="Y75" s="21">
        <v>2</v>
      </c>
      <c r="Z75" s="21">
        <v>0.8</v>
      </c>
      <c r="AA75" s="10">
        <v>2</v>
      </c>
      <c r="AB75" s="10" t="s">
        <v>102</v>
      </c>
      <c r="AC75" s="10" t="s">
        <v>102</v>
      </c>
      <c r="AD75" s="10" t="s">
        <v>103</v>
      </c>
      <c r="AE75" s="10" t="s">
        <v>104</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10" t="s">
        <v>113</v>
      </c>
      <c r="AO75" s="21">
        <v>3</v>
      </c>
      <c r="AP75" s="10" t="s">
        <v>274</v>
      </c>
    </row>
    <row r="76" spans="1:42" ht="32">
      <c r="A76" s="53">
        <v>45200</v>
      </c>
      <c r="C76" s="10">
        <v>9900380</v>
      </c>
      <c r="D76" s="10" t="s">
        <v>147</v>
      </c>
      <c r="E76" s="11">
        <v>10</v>
      </c>
      <c r="F76" s="37">
        <v>500461</v>
      </c>
      <c r="G76" s="37">
        <v>5958635</v>
      </c>
      <c r="H76" s="11" t="s">
        <v>141</v>
      </c>
      <c r="I76" s="11" t="s">
        <v>275</v>
      </c>
      <c r="K76" s="11" t="s">
        <v>112</v>
      </c>
      <c r="L76" s="10" t="s">
        <v>100</v>
      </c>
      <c r="M76" s="10" t="s">
        <v>101</v>
      </c>
      <c r="N76" s="21">
        <v>0.6</v>
      </c>
      <c r="O76" s="21">
        <v>22</v>
      </c>
      <c r="P76" s="10" t="s">
        <v>102</v>
      </c>
      <c r="Q76" s="81"/>
      <c r="R76" s="10" t="s">
        <v>102</v>
      </c>
      <c r="S76" s="10" t="s">
        <v>102</v>
      </c>
      <c r="T76" s="81"/>
      <c r="U76" s="21">
        <v>1</v>
      </c>
      <c r="V76" s="10">
        <v>1.5</v>
      </c>
      <c r="W76" s="21">
        <v>0.1</v>
      </c>
      <c r="X76" s="10" t="s">
        <v>102</v>
      </c>
      <c r="Y76" s="21">
        <v>4</v>
      </c>
      <c r="Z76" s="21">
        <v>1.6</v>
      </c>
      <c r="AA76" s="10">
        <v>6</v>
      </c>
      <c r="AB76" s="10" t="s">
        <v>102</v>
      </c>
      <c r="AC76" s="10" t="s">
        <v>102</v>
      </c>
      <c r="AD76" s="10" t="s">
        <v>103</v>
      </c>
      <c r="AE76" s="10" t="s">
        <v>104</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10" t="s">
        <v>113</v>
      </c>
      <c r="AO76" s="21">
        <v>3</v>
      </c>
      <c r="AP76" s="10" t="s">
        <v>276</v>
      </c>
    </row>
    <row r="77" spans="1:42" ht="32">
      <c r="A77" s="53">
        <v>45200</v>
      </c>
      <c r="C77" s="10">
        <v>9900385</v>
      </c>
      <c r="D77" s="10" t="s">
        <v>147</v>
      </c>
      <c r="E77" s="11">
        <v>10</v>
      </c>
      <c r="F77" s="37">
        <v>496344</v>
      </c>
      <c r="G77" s="37">
        <v>5954586</v>
      </c>
      <c r="H77" s="11" t="s">
        <v>141</v>
      </c>
      <c r="I77" s="11" t="s">
        <v>275</v>
      </c>
      <c r="K77" s="11" t="s">
        <v>112</v>
      </c>
      <c r="L77" s="10" t="s">
        <v>100</v>
      </c>
      <c r="M77" s="10" t="s">
        <v>101</v>
      </c>
      <c r="N77" s="21">
        <v>0.6</v>
      </c>
      <c r="O77" s="21">
        <v>15</v>
      </c>
      <c r="P77" s="10" t="s">
        <v>102</v>
      </c>
      <c r="Q77" s="81"/>
      <c r="R77" s="10" t="s">
        <v>102</v>
      </c>
      <c r="S77" s="10" t="s">
        <v>102</v>
      </c>
      <c r="T77" s="81"/>
      <c r="U77" s="21">
        <v>1.2</v>
      </c>
      <c r="V77" s="10">
        <v>0</v>
      </c>
      <c r="W77" s="21">
        <v>0</v>
      </c>
      <c r="X77" s="10" t="s">
        <v>102</v>
      </c>
      <c r="Y77" s="21">
        <v>3</v>
      </c>
      <c r="Z77" s="21">
        <v>1.4</v>
      </c>
      <c r="AA77" s="10">
        <v>4.5</v>
      </c>
      <c r="AB77" s="10" t="s">
        <v>102</v>
      </c>
      <c r="AC77" s="10" t="s">
        <v>102</v>
      </c>
      <c r="AD77" s="10" t="s">
        <v>103</v>
      </c>
      <c r="AE77" s="10" t="s">
        <v>118</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10" t="s">
        <v>113</v>
      </c>
      <c r="AO77" s="21">
        <v>3</v>
      </c>
      <c r="AP77" s="10" t="s">
        <v>277</v>
      </c>
    </row>
    <row r="78" spans="1:42" ht="32">
      <c r="A78" s="53">
        <v>45200</v>
      </c>
      <c r="C78" s="10">
        <v>9900277</v>
      </c>
      <c r="D78" s="10" t="s">
        <v>147</v>
      </c>
      <c r="E78" s="11">
        <v>10</v>
      </c>
      <c r="F78" s="37">
        <v>508131</v>
      </c>
      <c r="G78" s="37">
        <v>5960681</v>
      </c>
      <c r="H78" s="11" t="s">
        <v>278</v>
      </c>
      <c r="I78" s="11" t="s">
        <v>279</v>
      </c>
      <c r="K78" s="11" t="s">
        <v>112</v>
      </c>
      <c r="L78" s="10" t="s">
        <v>100</v>
      </c>
      <c r="M78" s="10" t="s">
        <v>101</v>
      </c>
      <c r="N78" s="21">
        <v>2.5</v>
      </c>
      <c r="O78" s="21">
        <v>20</v>
      </c>
      <c r="P78" s="10" t="s">
        <v>102</v>
      </c>
      <c r="Q78" s="81"/>
      <c r="R78" s="10" t="s">
        <v>102</v>
      </c>
      <c r="S78" s="10" t="s">
        <v>102</v>
      </c>
      <c r="T78" s="81"/>
      <c r="U78" s="21">
        <v>2</v>
      </c>
      <c r="V78" s="10">
        <v>0</v>
      </c>
      <c r="W78" s="21">
        <v>0</v>
      </c>
      <c r="X78" s="10" t="s">
        <v>102</v>
      </c>
      <c r="Y78" s="21">
        <v>1</v>
      </c>
      <c r="Z78" s="21">
        <v>2.2999999999999998</v>
      </c>
      <c r="AA78" s="10">
        <v>2</v>
      </c>
      <c r="AB78" s="10" t="s">
        <v>109</v>
      </c>
      <c r="AC78" s="10" t="s">
        <v>102</v>
      </c>
      <c r="AD78" s="10" t="s">
        <v>103</v>
      </c>
      <c r="AE78" s="10" t="s">
        <v>104</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10" t="s">
        <v>105</v>
      </c>
      <c r="AO78" s="21">
        <v>15</v>
      </c>
      <c r="AP78" s="10" t="s">
        <v>280</v>
      </c>
    </row>
    <row r="79" spans="1:42" ht="16">
      <c r="A79" s="53">
        <v>45181</v>
      </c>
      <c r="C79" s="10">
        <v>13900100</v>
      </c>
      <c r="D79" s="10" t="s">
        <v>96</v>
      </c>
      <c r="E79" s="11">
        <v>10</v>
      </c>
      <c r="F79" s="37">
        <v>650774</v>
      </c>
      <c r="G79" s="37">
        <v>5934861</v>
      </c>
      <c r="H79" s="11" t="s">
        <v>281</v>
      </c>
      <c r="I79" s="11" t="s">
        <v>282</v>
      </c>
      <c r="K79" s="11" t="s">
        <v>99</v>
      </c>
      <c r="L79" s="10" t="s">
        <v>100</v>
      </c>
      <c r="M79" s="10" t="s">
        <v>171</v>
      </c>
      <c r="N79" s="21">
        <v>3.1</v>
      </c>
      <c r="O79" s="21">
        <v>44</v>
      </c>
      <c r="P79" s="10" t="s">
        <v>102</v>
      </c>
      <c r="Q79" s="81"/>
      <c r="R79" s="10" t="s">
        <v>102</v>
      </c>
      <c r="S79" s="10" t="s">
        <v>102</v>
      </c>
      <c r="T79" s="81"/>
      <c r="U79" s="21">
        <v>4.5</v>
      </c>
      <c r="V79" s="10">
        <v>0.35</v>
      </c>
      <c r="W79" s="21">
        <v>2</v>
      </c>
      <c r="X79" s="10" t="s">
        <v>102</v>
      </c>
      <c r="Y79" s="21">
        <v>2</v>
      </c>
      <c r="Z79" s="21">
        <v>15</v>
      </c>
      <c r="AA79" s="10">
        <v>0.5</v>
      </c>
      <c r="AB79" s="10" t="s">
        <v>102</v>
      </c>
      <c r="AC79" s="10" t="s">
        <v>102</v>
      </c>
      <c r="AD79" s="10" t="s">
        <v>103</v>
      </c>
      <c r="AE79" s="10" t="s">
        <v>126</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10" t="s">
        <v>105</v>
      </c>
      <c r="AO79" s="21">
        <v>19.5</v>
      </c>
      <c r="AP79" s="10" t="s">
        <v>283</v>
      </c>
    </row>
    <row r="80" spans="1:42" ht="32">
      <c r="A80" s="53">
        <v>45202</v>
      </c>
      <c r="C80" s="10">
        <v>13900026</v>
      </c>
      <c r="D80" s="10" t="s">
        <v>147</v>
      </c>
      <c r="E80" s="11">
        <v>10</v>
      </c>
      <c r="F80" s="37">
        <v>611035</v>
      </c>
      <c r="G80" s="37">
        <v>5968655</v>
      </c>
      <c r="H80" s="11" t="s">
        <v>284</v>
      </c>
      <c r="I80" s="11" t="s">
        <v>285</v>
      </c>
      <c r="K80" s="11" t="s">
        <v>286</v>
      </c>
      <c r="L80" s="10" t="s">
        <v>100</v>
      </c>
      <c r="M80" s="10" t="s">
        <v>101</v>
      </c>
      <c r="N80" s="21">
        <v>0.6</v>
      </c>
      <c r="O80" s="21">
        <v>10</v>
      </c>
      <c r="P80" s="10" t="s">
        <v>102</v>
      </c>
      <c r="Q80" s="81"/>
      <c r="R80" s="10" t="s">
        <v>102</v>
      </c>
      <c r="S80" s="10" t="s">
        <v>102</v>
      </c>
      <c r="T80" s="81"/>
      <c r="U80" s="21">
        <v>0.8</v>
      </c>
      <c r="V80" s="10">
        <v>0</v>
      </c>
      <c r="W80" s="21">
        <v>0</v>
      </c>
      <c r="X80" s="10" t="s">
        <v>102</v>
      </c>
      <c r="Y80" s="21">
        <v>3</v>
      </c>
      <c r="Z80" s="21">
        <v>1.4</v>
      </c>
      <c r="AA80" s="10">
        <v>2</v>
      </c>
      <c r="AB80" s="10" t="s">
        <v>102</v>
      </c>
      <c r="AC80" s="10" t="s">
        <v>102</v>
      </c>
      <c r="AD80" s="10" t="s">
        <v>103</v>
      </c>
      <c r="AE80" s="10" t="s">
        <v>104</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10" t="s">
        <v>113</v>
      </c>
      <c r="AO80" s="21">
        <v>3</v>
      </c>
      <c r="AP80" s="10" t="s">
        <v>287</v>
      </c>
    </row>
    <row r="81" spans="1:42" ht="32">
      <c r="A81" s="53">
        <v>45202</v>
      </c>
      <c r="C81" s="10">
        <v>13905537</v>
      </c>
      <c r="D81" s="10" t="s">
        <v>96</v>
      </c>
      <c r="E81" s="11">
        <v>10</v>
      </c>
      <c r="F81" s="37">
        <v>612146</v>
      </c>
      <c r="G81" s="37">
        <v>5967655</v>
      </c>
      <c r="H81" s="11" t="s">
        <v>284</v>
      </c>
      <c r="I81" s="11" t="s">
        <v>288</v>
      </c>
      <c r="K81" s="11" t="s">
        <v>223</v>
      </c>
      <c r="L81" s="10" t="s">
        <v>100</v>
      </c>
      <c r="M81" s="10" t="s">
        <v>101</v>
      </c>
      <c r="N81" s="21">
        <v>2.7</v>
      </c>
      <c r="O81" s="21">
        <v>20</v>
      </c>
      <c r="P81" s="10" t="s">
        <v>102</v>
      </c>
      <c r="Q81" s="81"/>
      <c r="R81" s="10" t="s">
        <v>102</v>
      </c>
      <c r="S81" s="10" t="s">
        <v>102</v>
      </c>
      <c r="T81" s="81"/>
      <c r="U81" s="21">
        <v>7</v>
      </c>
      <c r="V81" s="10">
        <v>0.5</v>
      </c>
      <c r="W81" s="21">
        <v>0.3</v>
      </c>
      <c r="X81" s="10" t="s">
        <v>102</v>
      </c>
      <c r="Y81" s="21">
        <v>2.5</v>
      </c>
      <c r="Z81" s="21">
        <v>3.3</v>
      </c>
      <c r="AA81" s="10">
        <v>0.5</v>
      </c>
      <c r="AB81" s="10" t="s">
        <v>102</v>
      </c>
      <c r="AC81" s="10" t="s">
        <v>102</v>
      </c>
      <c r="AD81" s="10" t="s">
        <v>103</v>
      </c>
      <c r="AE81" s="10" t="s">
        <v>104</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10" t="s">
        <v>113</v>
      </c>
      <c r="AO81" s="21">
        <v>4.5</v>
      </c>
      <c r="AP81" s="10" t="s">
        <v>289</v>
      </c>
    </row>
    <row r="82" spans="1:42" ht="16">
      <c r="A82" s="53">
        <v>45202</v>
      </c>
      <c r="C82" s="10">
        <v>13900027</v>
      </c>
      <c r="D82" s="10" t="s">
        <v>96</v>
      </c>
      <c r="E82" s="11">
        <v>10</v>
      </c>
      <c r="F82" s="37">
        <v>610540</v>
      </c>
      <c r="G82" s="37">
        <v>5969263</v>
      </c>
      <c r="H82" s="11" t="s">
        <v>290</v>
      </c>
      <c r="I82" s="11" t="s">
        <v>285</v>
      </c>
      <c r="K82" s="11" t="s">
        <v>286</v>
      </c>
      <c r="L82" s="10" t="s">
        <v>100</v>
      </c>
      <c r="M82" s="10" t="s">
        <v>101</v>
      </c>
      <c r="N82" s="21">
        <v>1.8</v>
      </c>
      <c r="O82" s="21">
        <v>10</v>
      </c>
      <c r="P82" s="10" t="s">
        <v>102</v>
      </c>
      <c r="Q82" s="81"/>
      <c r="R82" s="10" t="s">
        <v>102</v>
      </c>
      <c r="S82" s="10" t="s">
        <v>102</v>
      </c>
      <c r="T82" s="81"/>
      <c r="U82" s="21">
        <v>0.3</v>
      </c>
      <c r="V82" s="10">
        <v>0.2</v>
      </c>
      <c r="W82" s="21">
        <v>0.2</v>
      </c>
      <c r="X82" s="10" t="s">
        <v>102</v>
      </c>
      <c r="Y82" s="21">
        <v>1</v>
      </c>
      <c r="Z82" s="21">
        <v>3.1</v>
      </c>
      <c r="AA82" s="10">
        <v>1</v>
      </c>
      <c r="AB82" s="10" t="s">
        <v>102</v>
      </c>
      <c r="AC82" s="10" t="s">
        <v>102</v>
      </c>
      <c r="AD82" s="10" t="s">
        <v>103</v>
      </c>
      <c r="AE82" s="10" t="s">
        <v>104</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10" t="s">
        <v>105</v>
      </c>
      <c r="AO82" s="21">
        <v>15</v>
      </c>
      <c r="AP82" s="10" t="s">
        <v>291</v>
      </c>
    </row>
    <row r="83" spans="1:42" ht="32">
      <c r="A83" s="53">
        <v>45202</v>
      </c>
      <c r="C83" s="10">
        <v>13905538</v>
      </c>
      <c r="D83" s="10" t="s">
        <v>96</v>
      </c>
      <c r="E83" s="11">
        <v>10</v>
      </c>
      <c r="F83" s="37">
        <v>610556</v>
      </c>
      <c r="G83" s="37">
        <v>5969281</v>
      </c>
      <c r="H83" s="11" t="s">
        <v>284</v>
      </c>
      <c r="I83" s="11" t="s">
        <v>288</v>
      </c>
      <c r="K83" s="11" t="s">
        <v>223</v>
      </c>
      <c r="L83" s="10" t="s">
        <v>100</v>
      </c>
      <c r="M83" s="10" t="s">
        <v>101</v>
      </c>
      <c r="N83" s="21">
        <v>1.8</v>
      </c>
      <c r="O83" s="21">
        <v>31</v>
      </c>
      <c r="P83" s="10" t="s">
        <v>102</v>
      </c>
      <c r="Q83" s="81"/>
      <c r="R83" s="10" t="s">
        <v>102</v>
      </c>
      <c r="S83" s="10" t="s">
        <v>102</v>
      </c>
      <c r="T83" s="81"/>
      <c r="U83" s="21">
        <v>9.9</v>
      </c>
      <c r="V83" s="10">
        <v>0</v>
      </c>
      <c r="W83" s="21">
        <v>0.2</v>
      </c>
      <c r="X83" s="10" t="s">
        <v>102</v>
      </c>
      <c r="Y83" s="21">
        <v>0.5</v>
      </c>
      <c r="Z83" s="21">
        <v>3.1</v>
      </c>
      <c r="AA83" s="10">
        <v>1</v>
      </c>
      <c r="AB83" s="10" t="s">
        <v>102</v>
      </c>
      <c r="AC83" s="10" t="s">
        <v>102</v>
      </c>
      <c r="AD83" s="10" t="s">
        <v>103</v>
      </c>
      <c r="AE83" s="10" t="s">
        <v>104</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10" t="s">
        <v>113</v>
      </c>
      <c r="AO83" s="21">
        <v>4.5</v>
      </c>
      <c r="AP83" s="10" t="s">
        <v>292</v>
      </c>
    </row>
    <row r="84" spans="1:42" ht="32">
      <c r="A84" s="53">
        <v>45202</v>
      </c>
      <c r="C84" s="10">
        <v>13900309</v>
      </c>
      <c r="D84" s="10" t="s">
        <v>147</v>
      </c>
      <c r="E84" s="11">
        <v>10</v>
      </c>
      <c r="F84" s="37">
        <v>608028</v>
      </c>
      <c r="G84" s="37">
        <v>5970651</v>
      </c>
      <c r="H84" s="11" t="s">
        <v>284</v>
      </c>
      <c r="I84" s="11" t="s">
        <v>285</v>
      </c>
      <c r="K84" s="11" t="s">
        <v>286</v>
      </c>
      <c r="L84" s="10" t="s">
        <v>100</v>
      </c>
      <c r="M84" s="10" t="s">
        <v>101</v>
      </c>
      <c r="N84" s="21">
        <v>2</v>
      </c>
      <c r="O84" s="21">
        <v>19</v>
      </c>
      <c r="P84" s="10" t="s">
        <v>102</v>
      </c>
      <c r="Q84" s="81"/>
      <c r="R84" s="10" t="s">
        <v>102</v>
      </c>
      <c r="S84" s="10" t="s">
        <v>102</v>
      </c>
      <c r="T84" s="81"/>
      <c r="U84" s="21">
        <v>1.6</v>
      </c>
      <c r="V84" s="10">
        <v>0.3</v>
      </c>
      <c r="W84" s="21">
        <v>1.2</v>
      </c>
      <c r="X84" s="10" t="s">
        <v>102</v>
      </c>
      <c r="Y84" s="21">
        <v>3</v>
      </c>
      <c r="Z84" s="21">
        <v>3.8</v>
      </c>
      <c r="AA84" s="10">
        <v>1.5</v>
      </c>
      <c r="AB84" s="10" t="s">
        <v>102</v>
      </c>
      <c r="AC84" s="10" t="s">
        <v>102</v>
      </c>
      <c r="AD84" s="10" t="s">
        <v>103</v>
      </c>
      <c r="AE84" s="10" t="s">
        <v>126</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10" t="s">
        <v>105</v>
      </c>
      <c r="AO84" s="21">
        <v>15</v>
      </c>
      <c r="AP84" s="10" t="s">
        <v>293</v>
      </c>
    </row>
    <row r="85" spans="1:42" ht="32">
      <c r="A85" s="53">
        <v>45202</v>
      </c>
      <c r="C85" s="10">
        <v>13900306</v>
      </c>
      <c r="D85" s="10" t="s">
        <v>96</v>
      </c>
      <c r="E85" s="11">
        <v>10</v>
      </c>
      <c r="F85" s="37">
        <v>607661</v>
      </c>
      <c r="G85" s="37">
        <v>5971153</v>
      </c>
      <c r="H85" s="11" t="s">
        <v>284</v>
      </c>
      <c r="I85" s="11" t="s">
        <v>285</v>
      </c>
      <c r="K85" s="11" t="s">
        <v>286</v>
      </c>
      <c r="L85" s="10" t="s">
        <v>100</v>
      </c>
      <c r="M85" s="10" t="s">
        <v>101</v>
      </c>
      <c r="N85" s="21">
        <v>0.9</v>
      </c>
      <c r="O85" s="21">
        <v>8</v>
      </c>
      <c r="P85" s="10" t="s">
        <v>102</v>
      </c>
      <c r="Q85" s="81"/>
      <c r="R85" s="10" t="s">
        <v>102</v>
      </c>
      <c r="S85" s="10" t="s">
        <v>102</v>
      </c>
      <c r="T85" s="81"/>
      <c r="U85" s="21">
        <v>2</v>
      </c>
      <c r="V85" s="10">
        <v>0</v>
      </c>
      <c r="W85" s="21">
        <v>0.7</v>
      </c>
      <c r="X85" s="10" t="s">
        <v>109</v>
      </c>
      <c r="Y85" s="21">
        <v>1</v>
      </c>
      <c r="Z85" s="21">
        <v>3</v>
      </c>
      <c r="AA85" s="10">
        <v>0</v>
      </c>
      <c r="AB85" s="10" t="s">
        <v>109</v>
      </c>
      <c r="AC85" s="10" t="s">
        <v>102</v>
      </c>
      <c r="AD85" s="10" t="s">
        <v>103</v>
      </c>
      <c r="AE85" s="10" t="s">
        <v>104</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10" t="s">
        <v>105</v>
      </c>
      <c r="AO85" s="21">
        <v>15</v>
      </c>
      <c r="AP85" s="10" t="s">
        <v>294</v>
      </c>
    </row>
    <row r="86" spans="1:42" ht="32">
      <c r="A86" s="53">
        <v>45202</v>
      </c>
      <c r="C86" s="10">
        <v>13900305</v>
      </c>
      <c r="D86" s="10" t="s">
        <v>96</v>
      </c>
      <c r="E86" s="11">
        <v>10</v>
      </c>
      <c r="F86" s="37">
        <v>605976</v>
      </c>
      <c r="G86" s="37">
        <v>5971827</v>
      </c>
      <c r="H86" s="11" t="s">
        <v>284</v>
      </c>
      <c r="I86" s="11" t="s">
        <v>285</v>
      </c>
      <c r="K86" s="11" t="s">
        <v>295</v>
      </c>
      <c r="L86" s="10" t="s">
        <v>100</v>
      </c>
      <c r="M86" s="10" t="s">
        <v>101</v>
      </c>
      <c r="N86" s="21">
        <v>0.9</v>
      </c>
      <c r="O86" s="21">
        <v>6</v>
      </c>
      <c r="P86" s="10" t="s">
        <v>102</v>
      </c>
      <c r="Q86" s="81"/>
      <c r="R86" s="10" t="s">
        <v>102</v>
      </c>
      <c r="S86" s="10" t="s">
        <v>102</v>
      </c>
      <c r="T86" s="81"/>
      <c r="U86" s="21">
        <v>0.5</v>
      </c>
      <c r="V86" s="10">
        <v>0</v>
      </c>
      <c r="W86" s="21">
        <v>0</v>
      </c>
      <c r="X86" s="10" t="s">
        <v>109</v>
      </c>
      <c r="Y86" s="21">
        <v>1</v>
      </c>
      <c r="Z86" s="21">
        <v>2.2000000000000002</v>
      </c>
      <c r="AA86" s="10">
        <v>2</v>
      </c>
      <c r="AB86" s="10" t="s">
        <v>102</v>
      </c>
      <c r="AC86" s="10" t="s">
        <v>102</v>
      </c>
      <c r="AD86" s="10" t="s">
        <v>103</v>
      </c>
      <c r="AE86" s="10" t="s">
        <v>118</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10" t="s">
        <v>105</v>
      </c>
      <c r="AO86" s="21">
        <v>15</v>
      </c>
      <c r="AP86" s="10" t="s">
        <v>296</v>
      </c>
    </row>
    <row r="87" spans="1:42" ht="32">
      <c r="A87" s="53">
        <v>45202</v>
      </c>
      <c r="C87" s="10">
        <v>13903451</v>
      </c>
      <c r="D87" s="10" t="s">
        <v>147</v>
      </c>
      <c r="E87" s="11">
        <v>10</v>
      </c>
      <c r="F87" s="37">
        <v>605208</v>
      </c>
      <c r="G87" s="37">
        <v>5972373</v>
      </c>
      <c r="H87" s="11" t="s">
        <v>284</v>
      </c>
      <c r="I87" s="11" t="s">
        <v>285</v>
      </c>
      <c r="K87" s="11" t="s">
        <v>295</v>
      </c>
      <c r="L87" s="10" t="s">
        <v>100</v>
      </c>
      <c r="M87" s="10" t="s">
        <v>101</v>
      </c>
      <c r="N87" s="21">
        <v>0.8</v>
      </c>
      <c r="O87" s="21">
        <v>10</v>
      </c>
      <c r="P87" s="10" t="s">
        <v>102</v>
      </c>
      <c r="Q87" s="81"/>
      <c r="R87" s="10" t="s">
        <v>102</v>
      </c>
      <c r="S87" s="10" t="s">
        <v>102</v>
      </c>
      <c r="T87" s="81"/>
      <c r="U87" s="21">
        <v>1</v>
      </c>
      <c r="V87" s="10">
        <v>0.2</v>
      </c>
      <c r="W87" s="21">
        <v>0.2</v>
      </c>
      <c r="X87" s="10" t="s">
        <v>102</v>
      </c>
      <c r="Y87" s="21">
        <v>3</v>
      </c>
      <c r="Z87" s="21">
        <v>1.4</v>
      </c>
      <c r="AA87" s="10">
        <v>2</v>
      </c>
      <c r="AB87" s="10" t="s">
        <v>102</v>
      </c>
      <c r="AC87" s="10" t="s">
        <v>102</v>
      </c>
      <c r="AD87" s="10" t="s">
        <v>103</v>
      </c>
      <c r="AE87" s="10" t="s">
        <v>104</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10" t="s">
        <v>113</v>
      </c>
      <c r="AO87" s="21">
        <v>3</v>
      </c>
      <c r="AP87" s="10" t="s">
        <v>297</v>
      </c>
    </row>
    <row r="88" spans="1:42" ht="32">
      <c r="A88" s="53">
        <v>45202</v>
      </c>
      <c r="C88" s="10">
        <v>13903452</v>
      </c>
      <c r="D88" s="10" t="s">
        <v>96</v>
      </c>
      <c r="E88" s="11">
        <v>10</v>
      </c>
      <c r="F88" s="37">
        <v>604828</v>
      </c>
      <c r="G88" s="37">
        <v>5973094</v>
      </c>
      <c r="H88" s="11" t="s">
        <v>284</v>
      </c>
      <c r="I88" s="11" t="s">
        <v>285</v>
      </c>
      <c r="K88" s="11" t="s">
        <v>295</v>
      </c>
      <c r="L88" s="10" t="s">
        <v>100</v>
      </c>
      <c r="M88" s="10" t="s">
        <v>101</v>
      </c>
      <c r="N88" s="21">
        <v>0.6</v>
      </c>
      <c r="O88" s="21">
        <v>13.5</v>
      </c>
      <c r="P88" s="10" t="s">
        <v>102</v>
      </c>
      <c r="Q88" s="81"/>
      <c r="R88" s="10" t="s">
        <v>102</v>
      </c>
      <c r="S88" s="10" t="s">
        <v>102</v>
      </c>
      <c r="T88" s="81"/>
      <c r="U88" s="21">
        <v>1.5</v>
      </c>
      <c r="V88" s="10">
        <v>0.7</v>
      </c>
      <c r="W88" s="21">
        <v>0.6</v>
      </c>
      <c r="X88" s="10" t="s">
        <v>102</v>
      </c>
      <c r="Y88" s="21">
        <v>3</v>
      </c>
      <c r="Z88" s="21">
        <v>3.2</v>
      </c>
      <c r="AA88" s="10">
        <v>2</v>
      </c>
      <c r="AB88" s="10" t="s">
        <v>102</v>
      </c>
      <c r="AC88" s="10" t="s">
        <v>102</v>
      </c>
      <c r="AD88" s="10" t="s">
        <v>103</v>
      </c>
      <c r="AE88" s="10" t="s">
        <v>104</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10" t="s">
        <v>105</v>
      </c>
      <c r="AO88" s="21">
        <v>15</v>
      </c>
      <c r="AP88" s="10" t="s">
        <v>298</v>
      </c>
    </row>
    <row r="89" spans="1:42" ht="32">
      <c r="A89" s="53">
        <v>45202</v>
      </c>
      <c r="C89" s="10">
        <v>13903450</v>
      </c>
      <c r="D89" s="10" t="s">
        <v>147</v>
      </c>
      <c r="E89" s="11">
        <v>10</v>
      </c>
      <c r="F89" s="37">
        <v>604449</v>
      </c>
      <c r="G89" s="37">
        <v>5973168</v>
      </c>
      <c r="H89" s="11" t="s">
        <v>284</v>
      </c>
      <c r="I89" s="11" t="s">
        <v>285</v>
      </c>
      <c r="K89" s="11" t="s">
        <v>295</v>
      </c>
      <c r="L89" s="10" t="s">
        <v>100</v>
      </c>
      <c r="M89" s="10" t="s">
        <v>101</v>
      </c>
      <c r="N89" s="21">
        <v>1.3</v>
      </c>
      <c r="O89" s="21">
        <v>10</v>
      </c>
      <c r="P89" s="10" t="s">
        <v>102</v>
      </c>
      <c r="Q89" s="81"/>
      <c r="R89" s="10" t="s">
        <v>102</v>
      </c>
      <c r="S89" s="10" t="s">
        <v>102</v>
      </c>
      <c r="T89" s="81"/>
      <c r="U89" s="21">
        <v>0.6</v>
      </c>
      <c r="V89" s="10">
        <v>0.5</v>
      </c>
      <c r="W89" s="21">
        <v>0.5</v>
      </c>
      <c r="X89" s="10" t="s">
        <v>102</v>
      </c>
      <c r="Y89" s="21">
        <v>4</v>
      </c>
      <c r="Z89" s="21">
        <v>1.9</v>
      </c>
      <c r="AA89" s="10">
        <v>2</v>
      </c>
      <c r="AB89" s="10" t="s">
        <v>109</v>
      </c>
      <c r="AC89" s="10" t="s">
        <v>102</v>
      </c>
      <c r="AD89" s="10" t="s">
        <v>103</v>
      </c>
      <c r="AE89" s="10" t="s">
        <v>104</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10" t="s">
        <v>113</v>
      </c>
      <c r="AO89" s="21">
        <v>3</v>
      </c>
      <c r="AP89" s="10" t="s">
        <v>299</v>
      </c>
    </row>
    <row r="90" spans="1:42" ht="32">
      <c r="A90" s="53">
        <v>45202</v>
      </c>
      <c r="C90" s="10">
        <v>13903449</v>
      </c>
      <c r="D90" s="10" t="s">
        <v>96</v>
      </c>
      <c r="E90" s="11">
        <v>10</v>
      </c>
      <c r="F90" s="37">
        <v>603342</v>
      </c>
      <c r="G90" s="37">
        <v>5973549</v>
      </c>
      <c r="H90" s="11" t="s">
        <v>284</v>
      </c>
      <c r="I90" s="11" t="s">
        <v>285</v>
      </c>
      <c r="K90" s="11" t="s">
        <v>295</v>
      </c>
      <c r="L90" s="10" t="s">
        <v>100</v>
      </c>
      <c r="M90" s="10" t="s">
        <v>101</v>
      </c>
      <c r="N90" s="21">
        <v>0.6</v>
      </c>
      <c r="O90" s="21">
        <v>14.5</v>
      </c>
      <c r="P90" s="10" t="s">
        <v>102</v>
      </c>
      <c r="Q90" s="81"/>
      <c r="R90" s="10" t="s">
        <v>102</v>
      </c>
      <c r="S90" s="10" t="s">
        <v>102</v>
      </c>
      <c r="T90" s="81"/>
      <c r="U90" s="21">
        <v>1.1000000000000001</v>
      </c>
      <c r="V90" s="10">
        <v>0.6</v>
      </c>
      <c r="W90" s="21">
        <v>0.65</v>
      </c>
      <c r="X90" s="10" t="s">
        <v>102</v>
      </c>
      <c r="Y90" s="21">
        <v>4</v>
      </c>
      <c r="Z90" s="21">
        <v>0.7</v>
      </c>
      <c r="AA90" s="10">
        <v>1</v>
      </c>
      <c r="AB90" s="10" t="s">
        <v>102</v>
      </c>
      <c r="AC90" s="10" t="s">
        <v>102</v>
      </c>
      <c r="AD90" s="10" t="s">
        <v>103</v>
      </c>
      <c r="AE90" s="10" t="s">
        <v>118</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10" t="s">
        <v>113</v>
      </c>
      <c r="AO90" s="21">
        <v>3</v>
      </c>
      <c r="AP90" s="10" t="s">
        <v>300</v>
      </c>
    </row>
    <row r="91" spans="1:42" ht="16">
      <c r="A91" s="53">
        <v>45202</v>
      </c>
      <c r="C91" s="10">
        <v>2023100301</v>
      </c>
      <c r="D91" s="10" t="s">
        <v>96</v>
      </c>
      <c r="E91" s="11">
        <v>10</v>
      </c>
      <c r="F91" s="37">
        <v>601824</v>
      </c>
      <c r="G91" s="37">
        <v>5974432</v>
      </c>
      <c r="H91" s="11" t="s">
        <v>301</v>
      </c>
      <c r="I91" s="11" t="s">
        <v>302</v>
      </c>
      <c r="K91" s="11" t="s">
        <v>112</v>
      </c>
      <c r="L91" s="10" t="s">
        <v>100</v>
      </c>
      <c r="M91" s="10" t="s">
        <v>101</v>
      </c>
      <c r="N91" s="21">
        <v>0.8</v>
      </c>
      <c r="O91" s="21">
        <v>11</v>
      </c>
      <c r="P91" s="10" t="s">
        <v>102</v>
      </c>
      <c r="Q91" s="81"/>
      <c r="R91" s="10" t="s">
        <v>102</v>
      </c>
      <c r="S91" s="10" t="s">
        <v>102</v>
      </c>
      <c r="T91" s="81"/>
      <c r="U91" s="21">
        <v>0.3</v>
      </c>
      <c r="V91" s="10">
        <v>0.08</v>
      </c>
      <c r="W91" s="21">
        <v>0.2</v>
      </c>
      <c r="X91" s="10" t="s">
        <v>102</v>
      </c>
      <c r="Y91" s="21">
        <v>2.5</v>
      </c>
      <c r="Z91" s="21">
        <v>3.4</v>
      </c>
      <c r="AA91" s="10">
        <v>1.5</v>
      </c>
      <c r="AB91" s="10" t="s">
        <v>102</v>
      </c>
      <c r="AC91" s="10" t="s">
        <v>102</v>
      </c>
      <c r="AD91" s="10" t="s">
        <v>103</v>
      </c>
      <c r="AE91" s="10" t="s">
        <v>104</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10" t="s">
        <v>105</v>
      </c>
      <c r="AO91" s="21">
        <v>15</v>
      </c>
      <c r="AP91" s="10" t="s">
        <v>303</v>
      </c>
    </row>
    <row r="92" spans="1:42" ht="16">
      <c r="A92" s="53">
        <v>45202</v>
      </c>
      <c r="C92" s="10">
        <v>13900052</v>
      </c>
      <c r="D92" s="10" t="s">
        <v>147</v>
      </c>
      <c r="E92" s="11">
        <v>10</v>
      </c>
      <c r="F92" s="37">
        <v>587885</v>
      </c>
      <c r="G92" s="37">
        <v>5985390</v>
      </c>
      <c r="H92" s="11" t="s">
        <v>304</v>
      </c>
      <c r="I92" s="11" t="s">
        <v>305</v>
      </c>
      <c r="K92" s="11" t="s">
        <v>99</v>
      </c>
      <c r="L92" s="10" t="s">
        <v>100</v>
      </c>
      <c r="M92" s="10" t="s">
        <v>101</v>
      </c>
      <c r="N92" s="21">
        <v>0.9</v>
      </c>
      <c r="O92" s="21">
        <v>18</v>
      </c>
      <c r="P92" s="10" t="s">
        <v>102</v>
      </c>
      <c r="Q92" s="81"/>
      <c r="R92" s="10" t="s">
        <v>102</v>
      </c>
      <c r="S92" s="10" t="s">
        <v>102</v>
      </c>
      <c r="T92" s="81"/>
      <c r="U92" s="21">
        <v>1</v>
      </c>
      <c r="V92" s="10">
        <v>0</v>
      </c>
      <c r="W92" s="21">
        <v>0</v>
      </c>
      <c r="X92" s="10" t="s">
        <v>102</v>
      </c>
      <c r="Y92" s="21">
        <v>3</v>
      </c>
      <c r="Z92" s="21">
        <v>1.6</v>
      </c>
      <c r="AA92" s="10">
        <v>2.5</v>
      </c>
      <c r="AB92" s="10" t="s">
        <v>102</v>
      </c>
      <c r="AC92" s="10" t="s">
        <v>102</v>
      </c>
      <c r="AD92" s="10" t="s">
        <v>103</v>
      </c>
      <c r="AE92" s="10" t="s">
        <v>104</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10" t="s">
        <v>113</v>
      </c>
      <c r="AO92" s="21">
        <v>3</v>
      </c>
      <c r="AP92" s="10" t="s">
        <v>306</v>
      </c>
    </row>
    <row r="93" spans="1:42" ht="16">
      <c r="A93" s="53">
        <v>45202</v>
      </c>
      <c r="C93" s="10">
        <v>13905581</v>
      </c>
      <c r="D93" s="10" t="s">
        <v>147</v>
      </c>
      <c r="E93" s="11">
        <v>10</v>
      </c>
      <c r="F93" s="37">
        <v>587975</v>
      </c>
      <c r="G93" s="37">
        <v>5985293</v>
      </c>
      <c r="H93" s="11" t="s">
        <v>304</v>
      </c>
      <c r="I93" s="11" t="s">
        <v>222</v>
      </c>
      <c r="K93" s="11" t="s">
        <v>223</v>
      </c>
      <c r="L93" s="10" t="s">
        <v>100</v>
      </c>
      <c r="M93" s="10" t="s">
        <v>101</v>
      </c>
      <c r="N93" s="21">
        <v>0.9</v>
      </c>
      <c r="O93" s="21">
        <v>12</v>
      </c>
      <c r="P93" s="10" t="s">
        <v>102</v>
      </c>
      <c r="Q93" s="81"/>
      <c r="R93" s="10" t="s">
        <v>102</v>
      </c>
      <c r="S93" s="10" t="s">
        <v>102</v>
      </c>
      <c r="T93" s="81"/>
      <c r="U93" s="21">
        <v>1.2</v>
      </c>
      <c r="V93" s="10">
        <v>0</v>
      </c>
      <c r="W93" s="21">
        <v>0</v>
      </c>
      <c r="X93" s="10" t="s">
        <v>102</v>
      </c>
      <c r="Y93" s="21">
        <v>1</v>
      </c>
      <c r="Z93" s="21">
        <v>1.1000000000000001</v>
      </c>
      <c r="AA93" s="10">
        <v>2</v>
      </c>
      <c r="AB93" s="10" t="s">
        <v>102</v>
      </c>
      <c r="AC93" s="10" t="s">
        <v>102</v>
      </c>
      <c r="AD93" s="10" t="s">
        <v>103</v>
      </c>
      <c r="AE93" s="10" t="s">
        <v>118</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10" t="s">
        <v>113</v>
      </c>
      <c r="AO93" s="21">
        <v>3</v>
      </c>
      <c r="AP93" s="10" t="s">
        <v>307</v>
      </c>
    </row>
    <row r="94" spans="1:42" ht="32">
      <c r="A94" s="53">
        <v>45202</v>
      </c>
      <c r="C94" s="10">
        <v>13900094</v>
      </c>
      <c r="D94" s="10" t="s">
        <v>96</v>
      </c>
      <c r="E94" s="11">
        <v>10</v>
      </c>
      <c r="F94" s="37">
        <v>584227</v>
      </c>
      <c r="G94" s="37">
        <v>5988493</v>
      </c>
      <c r="H94" s="11" t="s">
        <v>284</v>
      </c>
      <c r="I94" s="11" t="s">
        <v>308</v>
      </c>
      <c r="K94" s="11" t="s">
        <v>99</v>
      </c>
      <c r="L94" s="10" t="s">
        <v>100</v>
      </c>
      <c r="M94" s="10" t="s">
        <v>101</v>
      </c>
      <c r="N94" s="21">
        <v>0.8</v>
      </c>
      <c r="O94" s="21">
        <v>19.5</v>
      </c>
      <c r="P94" s="10" t="s">
        <v>102</v>
      </c>
      <c r="Q94" s="81"/>
      <c r="R94" s="10" t="s">
        <v>102</v>
      </c>
      <c r="S94" s="10" t="s">
        <v>102</v>
      </c>
      <c r="T94" s="81"/>
      <c r="U94" s="21">
        <v>1.2</v>
      </c>
      <c r="V94" s="10">
        <v>0</v>
      </c>
      <c r="W94" s="21">
        <v>0.2</v>
      </c>
      <c r="X94" s="10" t="s">
        <v>102</v>
      </c>
      <c r="Y94" s="21">
        <v>2</v>
      </c>
      <c r="Z94" s="21">
        <v>1.8</v>
      </c>
      <c r="AA94" s="10">
        <v>4.5</v>
      </c>
      <c r="AB94" s="10" t="s">
        <v>109</v>
      </c>
      <c r="AC94" s="10" t="s">
        <v>102</v>
      </c>
      <c r="AD94" s="10" t="s">
        <v>103</v>
      </c>
      <c r="AE94" s="10" t="s">
        <v>104</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10" t="s">
        <v>113</v>
      </c>
      <c r="AO94" s="21">
        <v>3</v>
      </c>
      <c r="AP94" s="10" t="s">
        <v>309</v>
      </c>
    </row>
    <row r="95" spans="1:42" ht="32">
      <c r="A95" s="53">
        <v>45202</v>
      </c>
      <c r="C95" s="10">
        <v>13903446</v>
      </c>
      <c r="D95" s="10" t="s">
        <v>96</v>
      </c>
      <c r="E95" s="11">
        <v>10</v>
      </c>
      <c r="F95" s="37">
        <v>582480</v>
      </c>
      <c r="G95" s="37">
        <v>5989487</v>
      </c>
      <c r="H95" s="11" t="s">
        <v>284</v>
      </c>
      <c r="I95" s="11" t="s">
        <v>308</v>
      </c>
      <c r="K95" s="11" t="s">
        <v>99</v>
      </c>
      <c r="L95" s="10" t="s">
        <v>100</v>
      </c>
      <c r="M95" s="10" t="s">
        <v>101</v>
      </c>
      <c r="N95" s="21">
        <v>1.05</v>
      </c>
      <c r="O95" s="21">
        <v>17</v>
      </c>
      <c r="P95" s="10" t="s">
        <v>102</v>
      </c>
      <c r="Q95" s="81"/>
      <c r="R95" s="10" t="s">
        <v>102</v>
      </c>
      <c r="S95" s="10" t="s">
        <v>102</v>
      </c>
      <c r="T95" s="81"/>
      <c r="U95" s="21">
        <v>1.6</v>
      </c>
      <c r="V95" s="10">
        <v>0.05</v>
      </c>
      <c r="W95" s="21">
        <v>0.2</v>
      </c>
      <c r="X95" s="10" t="s">
        <v>102</v>
      </c>
      <c r="Y95" s="21">
        <v>2.5</v>
      </c>
      <c r="Z95" s="21">
        <v>2</v>
      </c>
      <c r="AA95" s="10">
        <v>1</v>
      </c>
      <c r="AB95" s="10" t="s">
        <v>102</v>
      </c>
      <c r="AC95" s="10" t="s">
        <v>102</v>
      </c>
      <c r="AD95" s="10" t="s">
        <v>103</v>
      </c>
      <c r="AE95" s="10" t="s">
        <v>104</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10" t="s">
        <v>105</v>
      </c>
      <c r="AO95" s="21">
        <v>15</v>
      </c>
      <c r="AP95" s="10" t="s">
        <v>310</v>
      </c>
    </row>
    <row r="96" spans="1:42" ht="32">
      <c r="A96" s="53">
        <v>45202</v>
      </c>
      <c r="C96" s="10">
        <v>13900043</v>
      </c>
      <c r="D96" s="10" t="s">
        <v>147</v>
      </c>
      <c r="E96" s="11">
        <v>10</v>
      </c>
      <c r="F96" s="37">
        <v>569895</v>
      </c>
      <c r="G96" s="37">
        <v>5996572</v>
      </c>
      <c r="H96" s="11" t="s">
        <v>284</v>
      </c>
      <c r="I96" s="11" t="s">
        <v>305</v>
      </c>
      <c r="K96" s="11" t="s">
        <v>99</v>
      </c>
      <c r="L96" s="10" t="s">
        <v>100</v>
      </c>
      <c r="M96" s="10" t="s">
        <v>101</v>
      </c>
      <c r="N96" s="21">
        <v>0.95</v>
      </c>
      <c r="O96" s="21">
        <v>54</v>
      </c>
      <c r="P96" s="10" t="s">
        <v>102</v>
      </c>
      <c r="Q96" s="81"/>
      <c r="R96" s="10" t="s">
        <v>102</v>
      </c>
      <c r="S96" s="10" t="s">
        <v>102</v>
      </c>
      <c r="T96" s="81"/>
      <c r="U96" s="21">
        <v>4</v>
      </c>
      <c r="V96" s="10">
        <v>0.6</v>
      </c>
      <c r="W96" s="21">
        <v>0.2</v>
      </c>
      <c r="X96" s="10" t="s">
        <v>102</v>
      </c>
      <c r="Y96" s="21">
        <v>2</v>
      </c>
      <c r="Z96" s="21">
        <v>2.2999999999999998</v>
      </c>
      <c r="AA96" s="10">
        <v>4</v>
      </c>
      <c r="AB96" s="10" t="s">
        <v>102</v>
      </c>
      <c r="AC96" s="10" t="s">
        <v>102</v>
      </c>
      <c r="AD96" s="10" t="s">
        <v>103</v>
      </c>
      <c r="AE96" s="10" t="s">
        <v>104</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10" t="s">
        <v>105</v>
      </c>
      <c r="AO96" s="21">
        <v>18</v>
      </c>
      <c r="AP96" s="10" t="s">
        <v>311</v>
      </c>
    </row>
    <row r="97" spans="1:42" ht="32">
      <c r="A97" s="53">
        <v>45203</v>
      </c>
      <c r="C97" s="10">
        <v>13903617</v>
      </c>
      <c r="D97" s="10" t="s">
        <v>96</v>
      </c>
      <c r="E97" s="11">
        <v>10</v>
      </c>
      <c r="F97" s="37">
        <v>578670</v>
      </c>
      <c r="G97" s="37">
        <v>5973004</v>
      </c>
      <c r="H97" s="11" t="s">
        <v>312</v>
      </c>
      <c r="I97" s="11" t="s">
        <v>313</v>
      </c>
      <c r="J97" s="22">
        <v>31.9</v>
      </c>
      <c r="K97" s="11" t="s">
        <v>314</v>
      </c>
      <c r="L97" s="10" t="s">
        <v>100</v>
      </c>
      <c r="M97" s="10" t="s">
        <v>101</v>
      </c>
      <c r="N97" s="21">
        <v>1.1000000000000001</v>
      </c>
      <c r="O97" s="21">
        <v>17</v>
      </c>
      <c r="P97" s="10" t="s">
        <v>102</v>
      </c>
      <c r="Q97" s="81"/>
      <c r="R97" s="10" t="s">
        <v>102</v>
      </c>
      <c r="S97" s="10" t="s">
        <v>102</v>
      </c>
      <c r="T97" s="81"/>
      <c r="U97" s="21">
        <v>1.3</v>
      </c>
      <c r="V97" s="10">
        <v>0.05</v>
      </c>
      <c r="W97" s="21">
        <v>0.05</v>
      </c>
      <c r="X97" s="10" t="s">
        <v>109</v>
      </c>
      <c r="Y97" s="21">
        <v>3</v>
      </c>
      <c r="Z97" s="21">
        <v>2.6</v>
      </c>
      <c r="AA97" s="10">
        <v>2</v>
      </c>
      <c r="AB97" s="10" t="s">
        <v>109</v>
      </c>
      <c r="AC97" s="10" t="s">
        <v>102</v>
      </c>
      <c r="AD97" s="10" t="s">
        <v>103</v>
      </c>
      <c r="AE97" s="10" t="s">
        <v>104</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10" t="s">
        <v>105</v>
      </c>
      <c r="AO97" s="21">
        <v>15</v>
      </c>
      <c r="AP97" s="10" t="s">
        <v>315</v>
      </c>
    </row>
    <row r="98" spans="1:42" ht="16">
      <c r="A98" s="53">
        <v>45203</v>
      </c>
      <c r="C98" s="10">
        <v>13903184</v>
      </c>
      <c r="D98" s="10" t="s">
        <v>147</v>
      </c>
      <c r="E98" s="11">
        <v>10</v>
      </c>
      <c r="F98" s="37">
        <v>582276</v>
      </c>
      <c r="G98" s="37">
        <v>5975078</v>
      </c>
      <c r="H98" s="11" t="s">
        <v>316</v>
      </c>
      <c r="I98" s="11" t="s">
        <v>98</v>
      </c>
      <c r="K98" s="11" t="s">
        <v>99</v>
      </c>
      <c r="L98" s="10" t="s">
        <v>100</v>
      </c>
      <c r="M98" s="10" t="s">
        <v>171</v>
      </c>
      <c r="N98" s="21">
        <v>4.7</v>
      </c>
      <c r="O98" s="21">
        <v>33</v>
      </c>
      <c r="P98" s="10" t="s">
        <v>102</v>
      </c>
      <c r="Q98" s="81"/>
      <c r="R98" s="10" t="s">
        <v>102</v>
      </c>
      <c r="S98" s="10" t="s">
        <v>102</v>
      </c>
      <c r="T98" s="81"/>
      <c r="U98" s="21">
        <v>1</v>
      </c>
      <c r="V98" s="10">
        <v>1</v>
      </c>
      <c r="W98" s="21">
        <v>2.4</v>
      </c>
      <c r="X98" s="10" t="s">
        <v>102</v>
      </c>
      <c r="Y98" s="21">
        <v>1.5</v>
      </c>
      <c r="Z98" s="21">
        <v>9.4</v>
      </c>
      <c r="AA98" s="10">
        <v>1</v>
      </c>
      <c r="AB98" s="10" t="s">
        <v>102</v>
      </c>
      <c r="AC98" s="10" t="s">
        <v>102</v>
      </c>
      <c r="AD98" s="10" t="s">
        <v>103</v>
      </c>
      <c r="AE98" s="10" t="s">
        <v>126</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10" t="s">
        <v>105</v>
      </c>
      <c r="AO98" s="21">
        <v>15</v>
      </c>
      <c r="AP98" s="10" t="s">
        <v>317</v>
      </c>
    </row>
    <row r="99" spans="1:42" ht="32">
      <c r="A99" s="53">
        <v>45203</v>
      </c>
      <c r="C99" s="10">
        <v>13903183</v>
      </c>
      <c r="D99" s="10" t="s">
        <v>96</v>
      </c>
      <c r="E99" s="11">
        <v>10</v>
      </c>
      <c r="F99" s="37">
        <v>582694</v>
      </c>
      <c r="G99" s="37">
        <v>5975012</v>
      </c>
      <c r="H99" s="11" t="s">
        <v>312</v>
      </c>
      <c r="I99" s="11" t="s">
        <v>98</v>
      </c>
      <c r="K99" s="11" t="s">
        <v>99</v>
      </c>
      <c r="L99" s="10" t="s">
        <v>100</v>
      </c>
      <c r="M99" s="10" t="s">
        <v>101</v>
      </c>
      <c r="N99" s="21">
        <v>1.2</v>
      </c>
      <c r="O99" s="21">
        <v>30</v>
      </c>
      <c r="P99" s="10" t="s">
        <v>102</v>
      </c>
      <c r="Q99" s="81"/>
      <c r="R99" s="10" t="s">
        <v>102</v>
      </c>
      <c r="S99" s="10" t="s">
        <v>102</v>
      </c>
      <c r="T99" s="81"/>
      <c r="U99" s="21">
        <v>3.5</v>
      </c>
      <c r="V99" s="10">
        <v>0.35</v>
      </c>
      <c r="W99" s="21">
        <v>0.7</v>
      </c>
      <c r="X99" s="10" t="s">
        <v>109</v>
      </c>
      <c r="Y99" s="21">
        <v>1.5</v>
      </c>
      <c r="Z99" s="21">
        <v>2.2000000000000002</v>
      </c>
      <c r="AA99" s="10">
        <v>1.5</v>
      </c>
      <c r="AB99" s="10" t="s">
        <v>109</v>
      </c>
      <c r="AC99" s="10" t="s">
        <v>102</v>
      </c>
      <c r="AD99" s="10" t="s">
        <v>103</v>
      </c>
      <c r="AE99" s="10" t="s">
        <v>104</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10" t="s">
        <v>105</v>
      </c>
      <c r="AO99" s="21">
        <v>16.5</v>
      </c>
      <c r="AP99" s="10" t="s">
        <v>318</v>
      </c>
    </row>
    <row r="100" spans="1:42" ht="32">
      <c r="A100" s="53">
        <v>45203</v>
      </c>
      <c r="C100" s="10">
        <v>13900192</v>
      </c>
      <c r="D100" s="10" t="s">
        <v>147</v>
      </c>
      <c r="E100" s="11">
        <v>10</v>
      </c>
      <c r="F100" s="37">
        <v>585255</v>
      </c>
      <c r="G100" s="37">
        <v>5973726</v>
      </c>
      <c r="H100" s="11" t="s">
        <v>312</v>
      </c>
      <c r="I100" s="11" t="s">
        <v>98</v>
      </c>
      <c r="K100" s="11" t="s">
        <v>99</v>
      </c>
      <c r="L100" s="10" t="s">
        <v>100</v>
      </c>
      <c r="M100" s="10" t="s">
        <v>101</v>
      </c>
      <c r="N100" s="21">
        <v>1.2</v>
      </c>
      <c r="O100" s="21">
        <v>31</v>
      </c>
      <c r="P100" s="10" t="s">
        <v>102</v>
      </c>
      <c r="Q100" s="81"/>
      <c r="R100" s="10" t="s">
        <v>102</v>
      </c>
      <c r="S100" s="10" t="s">
        <v>102</v>
      </c>
      <c r="T100" s="81"/>
      <c r="U100" s="21">
        <v>2</v>
      </c>
      <c r="V100" s="10">
        <v>1.7</v>
      </c>
      <c r="W100" s="21">
        <v>0.6</v>
      </c>
      <c r="X100" s="10" t="s">
        <v>102</v>
      </c>
      <c r="Y100" s="21">
        <v>5</v>
      </c>
      <c r="Z100" s="21">
        <v>2.2999999999999998</v>
      </c>
      <c r="AA100" s="10">
        <v>4.5</v>
      </c>
      <c r="AB100" s="10" t="s">
        <v>102</v>
      </c>
      <c r="AC100" s="10" t="s">
        <v>102</v>
      </c>
      <c r="AD100" s="10" t="s">
        <v>103</v>
      </c>
      <c r="AE100" s="10" t="s">
        <v>126</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10" t="s">
        <v>105</v>
      </c>
      <c r="AO100" s="21">
        <v>15</v>
      </c>
      <c r="AP100" s="10" t="s">
        <v>319</v>
      </c>
    </row>
    <row r="101" spans="1:42" ht="32">
      <c r="A101" s="53">
        <v>45203</v>
      </c>
      <c r="C101" s="10">
        <v>13900261</v>
      </c>
      <c r="D101" s="10" t="s">
        <v>96</v>
      </c>
      <c r="E101" s="11">
        <v>10</v>
      </c>
      <c r="F101" s="37">
        <v>587876</v>
      </c>
      <c r="G101" s="37">
        <v>5972476</v>
      </c>
      <c r="H101" s="11" t="s">
        <v>320</v>
      </c>
      <c r="I101" s="11" t="s">
        <v>98</v>
      </c>
      <c r="K101" s="11" t="s">
        <v>99</v>
      </c>
      <c r="L101" s="10" t="s">
        <v>100</v>
      </c>
      <c r="M101" s="10" t="s">
        <v>101</v>
      </c>
      <c r="N101" s="21">
        <v>1.1000000000000001</v>
      </c>
      <c r="O101" s="21">
        <v>42</v>
      </c>
      <c r="P101" s="10" t="s">
        <v>102</v>
      </c>
      <c r="Q101" s="81"/>
      <c r="R101" s="10" t="s">
        <v>102</v>
      </c>
      <c r="S101" s="10" t="s">
        <v>102</v>
      </c>
      <c r="T101" s="81"/>
      <c r="U101" s="21">
        <v>7</v>
      </c>
      <c r="V101" s="10">
        <v>0.2</v>
      </c>
      <c r="W101" s="21">
        <v>0.7</v>
      </c>
      <c r="X101" s="10" t="s">
        <v>109</v>
      </c>
      <c r="Y101" s="21">
        <v>12</v>
      </c>
      <c r="Z101" s="21">
        <v>2.5</v>
      </c>
      <c r="AA101" s="10">
        <v>9</v>
      </c>
      <c r="AB101" s="10" t="s">
        <v>102</v>
      </c>
      <c r="AC101" s="10" t="s">
        <v>102</v>
      </c>
      <c r="AD101" s="10" t="s">
        <v>103</v>
      </c>
      <c r="AE101" s="10" t="s">
        <v>104</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10" t="s">
        <v>113</v>
      </c>
      <c r="AO101" s="21">
        <v>4.5</v>
      </c>
      <c r="AP101" s="10" t="s">
        <v>321</v>
      </c>
    </row>
    <row r="102" spans="1:42" ht="32">
      <c r="A102" s="53">
        <v>45203</v>
      </c>
      <c r="C102" s="10">
        <v>13900260</v>
      </c>
      <c r="D102" s="10" t="s">
        <v>96</v>
      </c>
      <c r="E102" s="11">
        <v>10</v>
      </c>
      <c r="F102" s="37">
        <v>587936</v>
      </c>
      <c r="G102" s="37">
        <v>5972452</v>
      </c>
      <c r="H102" s="11" t="s">
        <v>320</v>
      </c>
      <c r="I102" s="11" t="s">
        <v>98</v>
      </c>
      <c r="K102" s="11" t="s">
        <v>99</v>
      </c>
      <c r="L102" s="10" t="s">
        <v>100</v>
      </c>
      <c r="M102" s="10" t="s">
        <v>101</v>
      </c>
      <c r="N102" s="21">
        <v>1.2</v>
      </c>
      <c r="O102" s="21">
        <v>38</v>
      </c>
      <c r="P102" s="10" t="s">
        <v>102</v>
      </c>
      <c r="Q102" s="81"/>
      <c r="R102" s="10" t="s">
        <v>102</v>
      </c>
      <c r="S102" s="10" t="s">
        <v>102</v>
      </c>
      <c r="T102" s="81"/>
      <c r="U102" s="21">
        <v>8</v>
      </c>
      <c r="V102" s="10">
        <v>1.1499999999999999</v>
      </c>
      <c r="W102" s="21">
        <v>0.8</v>
      </c>
      <c r="X102" s="10" t="s">
        <v>109</v>
      </c>
      <c r="Y102" s="21">
        <v>7</v>
      </c>
      <c r="Z102" s="21">
        <v>5.2</v>
      </c>
      <c r="AA102" s="10">
        <v>9</v>
      </c>
      <c r="AB102" s="10" t="s">
        <v>102</v>
      </c>
      <c r="AC102" s="10" t="s">
        <v>102</v>
      </c>
      <c r="AD102" s="10" t="s">
        <v>103</v>
      </c>
      <c r="AE102" s="10" t="s">
        <v>126</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10" t="s">
        <v>105</v>
      </c>
      <c r="AO102" s="21">
        <v>30</v>
      </c>
      <c r="AP102" s="10" t="s">
        <v>322</v>
      </c>
    </row>
    <row r="103" spans="1:42" ht="32">
      <c r="A103" s="53">
        <v>45203</v>
      </c>
      <c r="C103" s="10">
        <v>13900270</v>
      </c>
      <c r="D103" s="10" t="s">
        <v>147</v>
      </c>
      <c r="E103" s="11">
        <v>10</v>
      </c>
      <c r="F103" s="37">
        <v>595602</v>
      </c>
      <c r="G103" s="37">
        <v>5969818</v>
      </c>
      <c r="H103" s="11" t="s">
        <v>320</v>
      </c>
      <c r="I103" s="11" t="s">
        <v>98</v>
      </c>
      <c r="K103" s="11" t="s">
        <v>99</v>
      </c>
      <c r="L103" s="10" t="s">
        <v>100</v>
      </c>
      <c r="M103" s="10" t="s">
        <v>101</v>
      </c>
      <c r="N103" s="21">
        <v>1.2</v>
      </c>
      <c r="O103" s="21">
        <v>56</v>
      </c>
      <c r="P103" s="10" t="s">
        <v>102</v>
      </c>
      <c r="Q103" s="81"/>
      <c r="R103" s="10" t="s">
        <v>102</v>
      </c>
      <c r="S103" s="10" t="s">
        <v>102</v>
      </c>
      <c r="T103" s="81"/>
      <c r="U103" s="21">
        <v>6</v>
      </c>
      <c r="V103" s="10">
        <v>0.9</v>
      </c>
      <c r="W103" s="21">
        <v>0.4</v>
      </c>
      <c r="X103" s="10" t="s">
        <v>102</v>
      </c>
      <c r="Y103" s="21">
        <v>3</v>
      </c>
      <c r="Z103" s="21">
        <v>3.7</v>
      </c>
      <c r="AA103" s="10">
        <v>4</v>
      </c>
      <c r="AB103" s="10" t="s">
        <v>109</v>
      </c>
      <c r="AC103" s="10" t="s">
        <v>102</v>
      </c>
      <c r="AD103" s="10" t="s">
        <v>103</v>
      </c>
      <c r="AE103" s="10" t="s">
        <v>104</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10" t="s">
        <v>105</v>
      </c>
      <c r="AO103" s="21">
        <v>24</v>
      </c>
      <c r="AP103" s="10" t="s">
        <v>323</v>
      </c>
    </row>
    <row r="104" spans="1:42" ht="16">
      <c r="A104" s="53">
        <v>45203</v>
      </c>
      <c r="C104" s="10">
        <v>13900196</v>
      </c>
      <c r="D104" s="10" t="s">
        <v>96</v>
      </c>
      <c r="E104" s="11">
        <v>10</v>
      </c>
      <c r="F104" s="37">
        <v>596934</v>
      </c>
      <c r="G104" s="37">
        <v>5969359</v>
      </c>
      <c r="H104" s="11" t="s">
        <v>324</v>
      </c>
      <c r="I104" s="11" t="s">
        <v>98</v>
      </c>
      <c r="K104" s="11" t="s">
        <v>99</v>
      </c>
      <c r="L104" s="10" t="s">
        <v>100</v>
      </c>
      <c r="M104" s="10" t="s">
        <v>171</v>
      </c>
      <c r="N104" s="21">
        <v>5</v>
      </c>
      <c r="O104" s="21">
        <v>31</v>
      </c>
      <c r="P104" s="10" t="s">
        <v>102</v>
      </c>
      <c r="Q104" s="81"/>
      <c r="R104" s="10" t="s">
        <v>102</v>
      </c>
      <c r="S104" s="10" t="s">
        <v>102</v>
      </c>
      <c r="T104" s="81"/>
      <c r="U104" s="21">
        <v>2</v>
      </c>
      <c r="V104" s="10">
        <v>0.5</v>
      </c>
      <c r="W104" s="21">
        <v>1.4</v>
      </c>
      <c r="X104" s="10" t="s">
        <v>102</v>
      </c>
      <c r="Y104" s="21">
        <v>1</v>
      </c>
      <c r="Z104" s="21">
        <v>11.6</v>
      </c>
      <c r="AA104" s="10">
        <v>1</v>
      </c>
      <c r="AB104" s="10" t="s">
        <v>102</v>
      </c>
      <c r="AC104" s="10" t="s">
        <v>102</v>
      </c>
      <c r="AD104" s="10" t="s">
        <v>103</v>
      </c>
      <c r="AE104" s="10" t="s">
        <v>126</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10" t="s">
        <v>105</v>
      </c>
      <c r="AO104" s="21">
        <v>16.5</v>
      </c>
      <c r="AP104" s="10" t="s">
        <v>325</v>
      </c>
    </row>
    <row r="105" spans="1:42" ht="16">
      <c r="A105" s="53">
        <v>45203</v>
      </c>
      <c r="C105" s="10">
        <v>13900198</v>
      </c>
      <c r="D105" s="10" t="s">
        <v>147</v>
      </c>
      <c r="E105" s="11">
        <v>10</v>
      </c>
      <c r="F105" s="37">
        <v>601647</v>
      </c>
      <c r="G105" s="37">
        <v>5967974</v>
      </c>
      <c r="H105" s="11" t="s">
        <v>326</v>
      </c>
      <c r="I105" s="11" t="s">
        <v>98</v>
      </c>
      <c r="K105" s="11" t="s">
        <v>99</v>
      </c>
      <c r="L105" s="10" t="s">
        <v>100</v>
      </c>
      <c r="M105" s="10" t="s">
        <v>101</v>
      </c>
      <c r="N105" s="21">
        <v>1.2</v>
      </c>
      <c r="O105" s="21">
        <v>82</v>
      </c>
      <c r="P105" s="10" t="s">
        <v>102</v>
      </c>
      <c r="Q105" s="81"/>
      <c r="R105" s="10" t="s">
        <v>102</v>
      </c>
      <c r="S105" s="10" t="s">
        <v>102</v>
      </c>
      <c r="T105" s="81"/>
      <c r="U105" s="21">
        <v>8</v>
      </c>
      <c r="V105" s="10">
        <v>2.8</v>
      </c>
      <c r="W105" s="21">
        <v>2</v>
      </c>
      <c r="X105" s="10" t="s">
        <v>102</v>
      </c>
      <c r="Y105" s="21">
        <v>2</v>
      </c>
      <c r="Z105" s="21">
        <v>2.4</v>
      </c>
      <c r="AA105" s="10">
        <v>3</v>
      </c>
      <c r="AB105" s="10" t="s">
        <v>109</v>
      </c>
      <c r="AC105" s="10" t="s">
        <v>102</v>
      </c>
      <c r="AD105" s="10" t="s">
        <v>103</v>
      </c>
      <c r="AE105" s="10" t="s">
        <v>104</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10" t="s">
        <v>113</v>
      </c>
      <c r="AO105" s="21">
        <v>4.5</v>
      </c>
      <c r="AP105" s="10" t="s">
        <v>327</v>
      </c>
    </row>
    <row r="106" spans="1:42" ht="32">
      <c r="A106" s="53">
        <v>45203</v>
      </c>
      <c r="C106" s="10">
        <v>13903179</v>
      </c>
      <c r="D106" s="10" t="s">
        <v>96</v>
      </c>
      <c r="E106" s="11">
        <v>10</v>
      </c>
      <c r="F106" s="37">
        <v>610990</v>
      </c>
      <c r="G106" s="37">
        <v>5966577</v>
      </c>
      <c r="H106" s="11" t="s">
        <v>284</v>
      </c>
      <c r="I106" s="11" t="s">
        <v>328</v>
      </c>
      <c r="K106" s="11" t="s">
        <v>99</v>
      </c>
      <c r="L106" s="10" t="s">
        <v>100</v>
      </c>
      <c r="M106" s="10" t="s">
        <v>101</v>
      </c>
      <c r="N106" s="21">
        <v>0.6</v>
      </c>
      <c r="O106" s="21">
        <v>20</v>
      </c>
      <c r="P106" s="10" t="s">
        <v>102</v>
      </c>
      <c r="Q106" s="81"/>
      <c r="R106" s="10" t="s">
        <v>102</v>
      </c>
      <c r="S106" s="10" t="s">
        <v>102</v>
      </c>
      <c r="T106" s="81"/>
      <c r="U106" s="21">
        <v>3</v>
      </c>
      <c r="V106" s="10">
        <v>0.2</v>
      </c>
      <c r="W106" s="21">
        <v>0.2</v>
      </c>
      <c r="X106" s="10" t="s">
        <v>109</v>
      </c>
      <c r="Y106" s="21">
        <v>3</v>
      </c>
      <c r="Z106" s="21">
        <v>1.6</v>
      </c>
      <c r="AA106" s="10">
        <v>0.25</v>
      </c>
      <c r="AB106" s="10" t="s">
        <v>109</v>
      </c>
      <c r="AC106" s="10" t="s">
        <v>102</v>
      </c>
      <c r="AD106" s="10" t="s">
        <v>103</v>
      </c>
      <c r="AE106" s="10" t="s">
        <v>104</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10" t="s">
        <v>113</v>
      </c>
      <c r="AO106" s="21">
        <v>3</v>
      </c>
      <c r="AP106" s="10" t="s">
        <v>329</v>
      </c>
    </row>
    <row r="107" spans="1:42" ht="32">
      <c r="A107" s="53">
        <v>45203</v>
      </c>
      <c r="C107" s="10">
        <v>13900200</v>
      </c>
      <c r="D107" s="10" t="s">
        <v>147</v>
      </c>
      <c r="E107" s="11">
        <v>10</v>
      </c>
      <c r="F107" s="37">
        <v>604596</v>
      </c>
      <c r="G107" s="37">
        <v>5966257</v>
      </c>
      <c r="H107" s="11" t="s">
        <v>330</v>
      </c>
      <c r="I107" s="11" t="s">
        <v>98</v>
      </c>
      <c r="K107" s="11" t="s">
        <v>99</v>
      </c>
      <c r="L107" s="10" t="s">
        <v>100</v>
      </c>
      <c r="M107" s="10" t="s">
        <v>101</v>
      </c>
      <c r="N107" s="21">
        <v>0.6</v>
      </c>
      <c r="O107" s="21">
        <v>36</v>
      </c>
      <c r="P107" s="10" t="s">
        <v>102</v>
      </c>
      <c r="Q107" s="81"/>
      <c r="R107" s="10" t="s">
        <v>102</v>
      </c>
      <c r="S107" s="10" t="s">
        <v>102</v>
      </c>
      <c r="T107" s="81"/>
      <c r="U107" s="21">
        <v>4</v>
      </c>
      <c r="V107" s="10">
        <v>0.2</v>
      </c>
      <c r="W107" s="21">
        <v>0</v>
      </c>
      <c r="X107" s="10" t="s">
        <v>102</v>
      </c>
      <c r="Y107" s="21">
        <v>1.5</v>
      </c>
      <c r="Z107" s="21">
        <v>1.1000000000000001</v>
      </c>
      <c r="AA107" s="10">
        <v>2</v>
      </c>
      <c r="AB107" s="10" t="s">
        <v>102</v>
      </c>
      <c r="AC107" s="10" t="s">
        <v>102</v>
      </c>
      <c r="AD107" s="10" t="s">
        <v>103</v>
      </c>
      <c r="AE107" s="10" t="s">
        <v>118</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10" t="s">
        <v>113</v>
      </c>
      <c r="AO107" s="21">
        <v>3</v>
      </c>
      <c r="AP107" s="10" t="s">
        <v>331</v>
      </c>
    </row>
    <row r="108" spans="1:42" ht="32">
      <c r="A108" s="53">
        <v>45203</v>
      </c>
      <c r="C108" s="10">
        <v>13900053</v>
      </c>
      <c r="D108" s="10" t="s">
        <v>96</v>
      </c>
      <c r="E108" s="11">
        <v>10</v>
      </c>
      <c r="F108" s="37">
        <v>608807</v>
      </c>
      <c r="G108" s="37">
        <v>5966506</v>
      </c>
      <c r="H108" s="11" t="s">
        <v>284</v>
      </c>
      <c r="I108" s="11" t="s">
        <v>328</v>
      </c>
      <c r="K108" s="11" t="s">
        <v>99</v>
      </c>
      <c r="L108" s="10" t="s">
        <v>100</v>
      </c>
      <c r="M108" s="10" t="s">
        <v>101</v>
      </c>
      <c r="N108" s="21">
        <v>0.6</v>
      </c>
      <c r="O108" s="21">
        <v>10</v>
      </c>
      <c r="P108" s="10" t="s">
        <v>102</v>
      </c>
      <c r="Q108" s="81"/>
      <c r="R108" s="10" t="s">
        <v>102</v>
      </c>
      <c r="S108" s="10" t="s">
        <v>102</v>
      </c>
      <c r="T108" s="81"/>
      <c r="U108" s="21">
        <v>1</v>
      </c>
      <c r="V108" s="10">
        <v>0</v>
      </c>
      <c r="W108" s="21">
        <v>0</v>
      </c>
      <c r="X108" s="10" t="s">
        <v>102</v>
      </c>
      <c r="Y108" s="21">
        <v>0</v>
      </c>
      <c r="Z108" s="21">
        <v>2</v>
      </c>
      <c r="AA108" s="10">
        <v>0</v>
      </c>
      <c r="AB108" s="10" t="s">
        <v>109</v>
      </c>
      <c r="AC108" s="10" t="s">
        <v>102</v>
      </c>
      <c r="AD108" s="10" t="s">
        <v>103</v>
      </c>
      <c r="AE108" s="10" t="s">
        <v>104</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10" t="s">
        <v>105</v>
      </c>
      <c r="AO108" s="21">
        <v>15</v>
      </c>
      <c r="AP108" s="10" t="s">
        <v>332</v>
      </c>
    </row>
    <row r="109" spans="1:42" ht="16">
      <c r="A109" s="53">
        <v>45203</v>
      </c>
      <c r="C109" s="10">
        <v>13900201</v>
      </c>
      <c r="D109" s="10" t="s">
        <v>147</v>
      </c>
      <c r="E109" s="11">
        <v>10</v>
      </c>
      <c r="F109" s="37">
        <v>606374</v>
      </c>
      <c r="G109" s="37">
        <v>5965784</v>
      </c>
      <c r="H109" s="11" t="s">
        <v>333</v>
      </c>
      <c r="I109" s="11" t="s">
        <v>98</v>
      </c>
      <c r="K109" s="11" t="s">
        <v>99</v>
      </c>
      <c r="L109" s="10" t="s">
        <v>100</v>
      </c>
      <c r="M109" s="10" t="s">
        <v>101</v>
      </c>
      <c r="N109" s="21">
        <v>2.4</v>
      </c>
      <c r="O109" s="21">
        <v>56</v>
      </c>
      <c r="P109" s="10" t="s">
        <v>102</v>
      </c>
      <c r="Q109" s="81"/>
      <c r="R109" s="10" t="s">
        <v>102</v>
      </c>
      <c r="S109" s="10" t="s">
        <v>102</v>
      </c>
      <c r="T109" s="81"/>
      <c r="U109" s="21">
        <v>3.5</v>
      </c>
      <c r="V109" s="10">
        <v>0.6</v>
      </c>
      <c r="W109" s="21">
        <v>0.7</v>
      </c>
      <c r="X109" s="10" t="s">
        <v>102</v>
      </c>
      <c r="Y109" s="21">
        <v>2</v>
      </c>
      <c r="Z109" s="21">
        <v>6.4</v>
      </c>
      <c r="AA109" s="10">
        <v>2</v>
      </c>
      <c r="AB109" s="10" t="s">
        <v>109</v>
      </c>
      <c r="AC109" s="10" t="s">
        <v>102</v>
      </c>
      <c r="AD109" s="10" t="s">
        <v>103</v>
      </c>
      <c r="AE109" s="10" t="s">
        <v>126</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10" t="s">
        <v>105</v>
      </c>
      <c r="AO109" s="21">
        <v>16.5</v>
      </c>
      <c r="AP109" s="10" t="s">
        <v>334</v>
      </c>
    </row>
    <row r="110" spans="1:42" ht="16">
      <c r="A110" s="53">
        <v>45203</v>
      </c>
      <c r="C110" s="10">
        <v>13900157</v>
      </c>
      <c r="D110" s="10" t="s">
        <v>96</v>
      </c>
      <c r="E110" s="11">
        <v>10</v>
      </c>
      <c r="F110" s="37">
        <v>645733</v>
      </c>
      <c r="G110" s="37">
        <v>5940526</v>
      </c>
      <c r="H110" s="11" t="s">
        <v>335</v>
      </c>
      <c r="I110" s="11" t="s">
        <v>98</v>
      </c>
      <c r="J110" s="22">
        <v>825</v>
      </c>
      <c r="K110" s="11" t="s">
        <v>99</v>
      </c>
      <c r="L110" s="10" t="s">
        <v>100</v>
      </c>
      <c r="M110" s="10" t="s">
        <v>101</v>
      </c>
      <c r="N110" s="21">
        <v>2.4</v>
      </c>
      <c r="O110" s="21">
        <v>45</v>
      </c>
      <c r="P110" s="10" t="s">
        <v>102</v>
      </c>
      <c r="Q110" s="81"/>
      <c r="R110" s="10" t="s">
        <v>102</v>
      </c>
      <c r="S110" s="10" t="s">
        <v>102</v>
      </c>
      <c r="T110" s="81"/>
      <c r="U110" s="21">
        <v>9.9</v>
      </c>
      <c r="V110" s="10">
        <v>1</v>
      </c>
      <c r="W110" s="21">
        <v>0.1</v>
      </c>
      <c r="X110" s="10" t="s">
        <v>109</v>
      </c>
      <c r="Y110" s="21">
        <v>2</v>
      </c>
      <c r="Z110" s="21">
        <v>6.7</v>
      </c>
      <c r="AA110" s="10">
        <v>0</v>
      </c>
      <c r="AB110" s="10" t="s">
        <v>109</v>
      </c>
      <c r="AC110" s="10" t="s">
        <v>102</v>
      </c>
      <c r="AD110" s="10" t="s">
        <v>336</v>
      </c>
      <c r="AE110" s="10" t="s">
        <v>126</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10" t="s">
        <v>105</v>
      </c>
      <c r="AO110" s="21">
        <v>35.5</v>
      </c>
      <c r="AP110" s="10" t="s">
        <v>337</v>
      </c>
    </row>
    <row r="111" spans="1:42" ht="32">
      <c r="A111" s="53">
        <v>45203</v>
      </c>
      <c r="C111" s="10">
        <v>13900019</v>
      </c>
      <c r="D111" s="10" t="s">
        <v>147</v>
      </c>
      <c r="E111" s="11">
        <v>10</v>
      </c>
      <c r="F111" s="37">
        <v>660595</v>
      </c>
      <c r="G111" s="37">
        <v>5929526</v>
      </c>
      <c r="H111" s="11" t="s">
        <v>284</v>
      </c>
      <c r="I111" s="11" t="s">
        <v>98</v>
      </c>
      <c r="K111" s="11" t="s">
        <v>99</v>
      </c>
      <c r="L111" s="10" t="s">
        <v>100</v>
      </c>
      <c r="M111" s="10" t="s">
        <v>101</v>
      </c>
      <c r="N111" s="21">
        <v>1.3</v>
      </c>
      <c r="O111" s="21">
        <v>27</v>
      </c>
      <c r="P111" s="10" t="s">
        <v>102</v>
      </c>
      <c r="Q111" s="81"/>
      <c r="R111" s="10" t="s">
        <v>102</v>
      </c>
      <c r="S111" s="10" t="s">
        <v>102</v>
      </c>
      <c r="T111" s="81"/>
      <c r="U111" s="21">
        <v>2</v>
      </c>
      <c r="V111" s="10">
        <v>0.3</v>
      </c>
      <c r="W111" s="21">
        <v>0</v>
      </c>
      <c r="X111" s="10" t="s">
        <v>102</v>
      </c>
      <c r="Y111" s="21">
        <v>1</v>
      </c>
      <c r="Z111" s="21">
        <v>3.9</v>
      </c>
      <c r="AA111" s="10">
        <v>3.5</v>
      </c>
      <c r="AB111" s="10" t="s">
        <v>102</v>
      </c>
      <c r="AC111" s="10" t="s">
        <v>102</v>
      </c>
      <c r="AD111" s="10" t="s">
        <v>103</v>
      </c>
      <c r="AE111" s="10" t="s">
        <v>126</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10" t="s">
        <v>105</v>
      </c>
      <c r="AO111" s="21">
        <v>15</v>
      </c>
      <c r="AP111" s="10" t="s">
        <v>338</v>
      </c>
    </row>
    <row r="112" spans="1:42" ht="16">
      <c r="A112" s="53">
        <v>45203</v>
      </c>
      <c r="C112" s="10">
        <v>13900066</v>
      </c>
      <c r="D112" s="10" t="s">
        <v>96</v>
      </c>
      <c r="E112" s="11">
        <v>10</v>
      </c>
      <c r="F112" s="37">
        <v>675449</v>
      </c>
      <c r="G112" s="37">
        <v>5917446</v>
      </c>
      <c r="H112" s="11" t="s">
        <v>339</v>
      </c>
      <c r="I112" s="11" t="s">
        <v>98</v>
      </c>
      <c r="K112" s="11" t="s">
        <v>99</v>
      </c>
      <c r="L112" s="10" t="s">
        <v>100</v>
      </c>
      <c r="M112" s="10" t="s">
        <v>101</v>
      </c>
      <c r="N112" s="21">
        <v>5</v>
      </c>
      <c r="O112" s="21">
        <v>90</v>
      </c>
      <c r="P112" s="10" t="s">
        <v>102</v>
      </c>
      <c r="Q112" s="81"/>
      <c r="R112" s="10" t="s">
        <v>102</v>
      </c>
      <c r="S112" s="10" t="s">
        <v>102</v>
      </c>
      <c r="T112" s="81"/>
      <c r="U112" s="21">
        <v>9.9</v>
      </c>
      <c r="V112" s="10">
        <v>0.75</v>
      </c>
      <c r="W112" s="21">
        <v>1.8</v>
      </c>
      <c r="X112" s="10" t="s">
        <v>109</v>
      </c>
      <c r="Y112" s="21">
        <v>4</v>
      </c>
      <c r="Z112" s="21">
        <v>6.4</v>
      </c>
      <c r="AA112" s="10">
        <v>3.5</v>
      </c>
      <c r="AB112" s="10" t="s">
        <v>102</v>
      </c>
      <c r="AC112" s="10" t="s">
        <v>102</v>
      </c>
      <c r="AD112" s="10" t="s">
        <v>103</v>
      </c>
      <c r="AE112" s="10" t="s">
        <v>126</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10" t="s">
        <v>105</v>
      </c>
      <c r="AO112" s="21">
        <v>35.5</v>
      </c>
      <c r="AP112" s="10" t="s">
        <v>340</v>
      </c>
    </row>
    <row r="113" spans="1:42" ht="16">
      <c r="A113" s="53">
        <v>45203</v>
      </c>
      <c r="C113" s="10">
        <v>13900064</v>
      </c>
      <c r="D113" s="10" t="s">
        <v>147</v>
      </c>
      <c r="E113" s="11">
        <v>10</v>
      </c>
      <c r="F113" s="37">
        <v>677526</v>
      </c>
      <c r="G113" s="37">
        <v>5916242</v>
      </c>
      <c r="H113" s="11" t="s">
        <v>158</v>
      </c>
      <c r="I113" s="11" t="s">
        <v>98</v>
      </c>
      <c r="K113" s="11" t="s">
        <v>99</v>
      </c>
      <c r="L113" s="10" t="s">
        <v>100</v>
      </c>
      <c r="M113" s="10" t="s">
        <v>101</v>
      </c>
      <c r="N113" s="21">
        <v>4.0999999999999996</v>
      </c>
      <c r="O113" s="21">
        <v>52</v>
      </c>
      <c r="P113" s="10" t="s">
        <v>102</v>
      </c>
      <c r="Q113" s="81"/>
      <c r="R113" s="10" t="s">
        <v>102</v>
      </c>
      <c r="S113" s="10" t="s">
        <v>102</v>
      </c>
      <c r="T113" s="81"/>
      <c r="U113" s="21">
        <v>9.9</v>
      </c>
      <c r="V113" s="10">
        <v>2.4</v>
      </c>
      <c r="W113" s="21">
        <v>1.2</v>
      </c>
      <c r="X113" s="10" t="s">
        <v>102</v>
      </c>
      <c r="Y113" s="21">
        <v>2.5</v>
      </c>
      <c r="Z113" s="21">
        <v>6.2</v>
      </c>
      <c r="AA113" s="10">
        <v>4</v>
      </c>
      <c r="AB113" s="10" t="s">
        <v>102</v>
      </c>
      <c r="AC113" s="10" t="s">
        <v>102</v>
      </c>
      <c r="AD113" s="10" t="s">
        <v>103</v>
      </c>
      <c r="AE113" s="10" t="s">
        <v>126</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10" t="s">
        <v>105</v>
      </c>
      <c r="AO113" s="21">
        <v>35.5</v>
      </c>
      <c r="AP113" s="10" t="s">
        <v>341</v>
      </c>
    </row>
    <row r="114" spans="1:42" ht="16">
      <c r="A114" s="53">
        <v>45204</v>
      </c>
      <c r="C114" s="10">
        <v>22200151</v>
      </c>
      <c r="D114" s="10" t="s">
        <v>96</v>
      </c>
      <c r="E114" s="11">
        <v>11</v>
      </c>
      <c r="F114" s="37">
        <v>345349</v>
      </c>
      <c r="G114" s="37">
        <v>5856053</v>
      </c>
      <c r="H114" s="11" t="s">
        <v>342</v>
      </c>
      <c r="I114" s="11" t="s">
        <v>343</v>
      </c>
      <c r="K114" s="11" t="s">
        <v>99</v>
      </c>
      <c r="L114" s="10" t="s">
        <v>100</v>
      </c>
      <c r="M114" s="10" t="s">
        <v>101</v>
      </c>
      <c r="N114" s="21">
        <v>2.7</v>
      </c>
      <c r="O114" s="21">
        <v>35</v>
      </c>
      <c r="P114" s="10" t="s">
        <v>102</v>
      </c>
      <c r="Q114" s="81"/>
      <c r="R114" s="10" t="s">
        <v>102</v>
      </c>
      <c r="S114" s="10" t="s">
        <v>102</v>
      </c>
      <c r="T114" s="81"/>
      <c r="U114" s="21">
        <v>3</v>
      </c>
      <c r="V114" s="10">
        <v>0.38</v>
      </c>
      <c r="W114" s="21">
        <v>0.35</v>
      </c>
      <c r="X114" s="10" t="s">
        <v>109</v>
      </c>
      <c r="Y114" s="21">
        <v>2.5</v>
      </c>
      <c r="Z114" s="21">
        <v>4</v>
      </c>
      <c r="AA114" s="10">
        <v>0</v>
      </c>
      <c r="AB114" s="10" t="s">
        <v>109</v>
      </c>
      <c r="AC114" s="10" t="s">
        <v>102</v>
      </c>
      <c r="AD114" s="10" t="s">
        <v>103</v>
      </c>
      <c r="AE114" s="10" t="s">
        <v>126</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10" t="s">
        <v>105</v>
      </c>
      <c r="AO114" s="21">
        <v>15</v>
      </c>
      <c r="AP114" s="10" t="s">
        <v>344</v>
      </c>
    </row>
    <row r="115" spans="1:42" ht="16">
      <c r="A115" s="53">
        <v>45204</v>
      </c>
      <c r="C115" s="10">
        <v>13900077</v>
      </c>
      <c r="D115" s="10" t="s">
        <v>147</v>
      </c>
      <c r="E115" s="11">
        <v>10</v>
      </c>
      <c r="F115" s="37">
        <v>691822</v>
      </c>
      <c r="G115" s="37">
        <v>5904863</v>
      </c>
      <c r="H115" s="11" t="s">
        <v>345</v>
      </c>
      <c r="I115" s="11" t="s">
        <v>346</v>
      </c>
      <c r="K115" s="11" t="s">
        <v>112</v>
      </c>
      <c r="L115" s="10" t="s">
        <v>100</v>
      </c>
      <c r="M115" s="10" t="s">
        <v>171</v>
      </c>
      <c r="N115" s="21">
        <v>4.5</v>
      </c>
      <c r="O115" s="21">
        <v>28</v>
      </c>
      <c r="P115" s="10" t="s">
        <v>102</v>
      </c>
      <c r="Q115" s="81"/>
      <c r="R115" s="10" t="s">
        <v>102</v>
      </c>
      <c r="S115" s="10" t="s">
        <v>102</v>
      </c>
      <c r="T115" s="81"/>
      <c r="U115" s="21">
        <v>1.5</v>
      </c>
      <c r="V115" s="10">
        <v>0.3</v>
      </c>
      <c r="W115" s="21">
        <v>0.2</v>
      </c>
      <c r="X115" s="10" t="s">
        <v>102</v>
      </c>
      <c r="Y115" s="21">
        <v>0.5</v>
      </c>
      <c r="Z115" s="21">
        <v>6.7</v>
      </c>
      <c r="AA115" s="10">
        <v>1.5</v>
      </c>
      <c r="AB115" s="10" t="s">
        <v>102</v>
      </c>
      <c r="AC115" s="10" t="s">
        <v>102</v>
      </c>
      <c r="AD115" s="10" t="s">
        <v>103</v>
      </c>
      <c r="AE115" s="10" t="s">
        <v>126</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10" t="s">
        <v>105</v>
      </c>
      <c r="AO115" s="21">
        <v>15</v>
      </c>
      <c r="AP115" s="10" t="s">
        <v>347</v>
      </c>
    </row>
    <row r="116" spans="1:42" ht="16">
      <c r="A116" s="53">
        <v>45204</v>
      </c>
      <c r="C116" s="10">
        <v>13900003</v>
      </c>
      <c r="D116" s="10" t="s">
        <v>147</v>
      </c>
      <c r="E116" s="11">
        <v>10</v>
      </c>
      <c r="F116" s="37">
        <v>688720</v>
      </c>
      <c r="G116" s="37">
        <v>5909202</v>
      </c>
      <c r="H116" s="11" t="s">
        <v>348</v>
      </c>
      <c r="I116" s="11" t="s">
        <v>349</v>
      </c>
      <c r="K116" s="11" t="s">
        <v>350</v>
      </c>
      <c r="L116" s="10" t="s">
        <v>100</v>
      </c>
      <c r="M116" s="10" t="s">
        <v>101</v>
      </c>
      <c r="N116" s="21">
        <v>1.5</v>
      </c>
      <c r="O116" s="21">
        <v>18</v>
      </c>
      <c r="P116" s="10" t="s">
        <v>102</v>
      </c>
      <c r="Q116" s="81"/>
      <c r="R116" s="10" t="s">
        <v>102</v>
      </c>
      <c r="S116" s="10" t="s">
        <v>102</v>
      </c>
      <c r="T116" s="81"/>
      <c r="U116" s="21">
        <v>3</v>
      </c>
      <c r="V116" s="10">
        <v>0</v>
      </c>
      <c r="W116" s="21">
        <v>0</v>
      </c>
      <c r="X116" s="10" t="s">
        <v>109</v>
      </c>
      <c r="Y116" s="21">
        <v>1</v>
      </c>
      <c r="Z116" s="21">
        <v>2.2999999999999998</v>
      </c>
      <c r="AA116" s="10">
        <v>2</v>
      </c>
      <c r="AB116" s="10" t="s">
        <v>102</v>
      </c>
      <c r="AC116" s="10" t="s">
        <v>102</v>
      </c>
      <c r="AD116" s="10" t="s">
        <v>103</v>
      </c>
      <c r="AE116" s="10" t="s">
        <v>126</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10" t="s">
        <v>105</v>
      </c>
      <c r="AO116" s="21">
        <v>15</v>
      </c>
      <c r="AP116" s="10" t="s">
        <v>351</v>
      </c>
    </row>
    <row r="117" spans="1:42" ht="32">
      <c r="A117" s="53">
        <v>45204</v>
      </c>
      <c r="C117" s="10">
        <v>13900030</v>
      </c>
      <c r="D117" s="10" t="s">
        <v>147</v>
      </c>
      <c r="E117" s="11">
        <v>10</v>
      </c>
      <c r="F117" s="37">
        <v>689523</v>
      </c>
      <c r="G117" s="37">
        <v>5908856</v>
      </c>
      <c r="H117" s="11" t="s">
        <v>352</v>
      </c>
      <c r="I117" s="11" t="s">
        <v>353</v>
      </c>
      <c r="K117" s="11" t="s">
        <v>112</v>
      </c>
      <c r="L117" s="10" t="s">
        <v>100</v>
      </c>
      <c r="M117" s="10" t="s">
        <v>101</v>
      </c>
      <c r="N117" s="21">
        <v>0.9</v>
      </c>
      <c r="O117" s="21">
        <v>15</v>
      </c>
      <c r="P117" s="10" t="s">
        <v>102</v>
      </c>
      <c r="Q117" s="81"/>
      <c r="R117" s="10" t="s">
        <v>102</v>
      </c>
      <c r="S117" s="10" t="s">
        <v>102</v>
      </c>
      <c r="T117" s="81"/>
      <c r="U117" s="21">
        <v>0.5</v>
      </c>
      <c r="V117" s="10">
        <v>0</v>
      </c>
      <c r="W117" s="21">
        <v>0</v>
      </c>
      <c r="X117" s="10" t="s">
        <v>102</v>
      </c>
      <c r="Y117" s="21">
        <v>1</v>
      </c>
      <c r="Z117" s="21">
        <v>0.9</v>
      </c>
      <c r="AA117" s="10">
        <v>1</v>
      </c>
      <c r="AB117" s="10" t="s">
        <v>102</v>
      </c>
      <c r="AC117" s="10" t="s">
        <v>102</v>
      </c>
      <c r="AD117" s="10" t="s">
        <v>103</v>
      </c>
      <c r="AE117" s="10" t="s">
        <v>118</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10" t="s">
        <v>113</v>
      </c>
      <c r="AO117" s="21">
        <v>3</v>
      </c>
      <c r="AP117" s="10" t="s">
        <v>354</v>
      </c>
    </row>
    <row r="118" spans="1:42" ht="16">
      <c r="A118" s="53">
        <v>45204</v>
      </c>
      <c r="C118" s="10">
        <v>22200081</v>
      </c>
      <c r="D118" s="10" t="s">
        <v>147</v>
      </c>
      <c r="E118" s="11">
        <v>11</v>
      </c>
      <c r="F118" s="37">
        <v>345396</v>
      </c>
      <c r="G118" s="37">
        <v>5860898</v>
      </c>
      <c r="H118" s="11" t="s">
        <v>355</v>
      </c>
      <c r="I118" s="11" t="s">
        <v>356</v>
      </c>
      <c r="K118" s="11" t="s">
        <v>99</v>
      </c>
      <c r="L118" s="10" t="s">
        <v>100</v>
      </c>
      <c r="M118" s="10" t="s">
        <v>171</v>
      </c>
      <c r="N118" s="21">
        <v>2.8</v>
      </c>
      <c r="O118" s="21">
        <v>13</v>
      </c>
      <c r="P118" s="10" t="s">
        <v>102</v>
      </c>
      <c r="Q118" s="81"/>
      <c r="R118" s="10" t="s">
        <v>102</v>
      </c>
      <c r="S118" s="10" t="s">
        <v>102</v>
      </c>
      <c r="T118" s="81"/>
      <c r="U118" s="21">
        <v>1</v>
      </c>
      <c r="V118" s="10">
        <v>0.42</v>
      </c>
      <c r="W118" s="21">
        <v>0.5</v>
      </c>
      <c r="X118" s="10" t="s">
        <v>102</v>
      </c>
      <c r="Y118" s="21">
        <v>4</v>
      </c>
      <c r="Z118" s="21">
        <v>3.4</v>
      </c>
      <c r="AA118" s="10">
        <v>4.5</v>
      </c>
      <c r="AB118" s="10" t="s">
        <v>102</v>
      </c>
      <c r="AC118" s="10" t="s">
        <v>102</v>
      </c>
      <c r="AD118" s="10" t="s">
        <v>103</v>
      </c>
      <c r="AE118" s="10" t="s">
        <v>104</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10" t="s">
        <v>105</v>
      </c>
      <c r="AO118" s="21">
        <v>15</v>
      </c>
      <c r="AP118" s="10" t="s">
        <v>357</v>
      </c>
    </row>
    <row r="119" spans="1:42" ht="16">
      <c r="A119" s="53">
        <v>45204</v>
      </c>
      <c r="C119" s="10">
        <v>22201951</v>
      </c>
      <c r="D119" s="10" t="s">
        <v>147</v>
      </c>
      <c r="E119" s="11">
        <v>11</v>
      </c>
      <c r="F119" s="37">
        <v>345405</v>
      </c>
      <c r="G119" s="37">
        <v>5860914</v>
      </c>
      <c r="H119" s="11" t="s">
        <v>355</v>
      </c>
      <c r="I119" s="11" t="s">
        <v>288</v>
      </c>
      <c r="K119" s="11" t="s">
        <v>223</v>
      </c>
      <c r="L119" s="10" t="s">
        <v>100</v>
      </c>
      <c r="M119" s="10" t="s">
        <v>101</v>
      </c>
      <c r="N119" s="21">
        <v>1.7</v>
      </c>
      <c r="O119" s="21">
        <v>40</v>
      </c>
      <c r="P119" s="10" t="s">
        <v>102</v>
      </c>
      <c r="Q119" s="81"/>
      <c r="R119" s="10" t="s">
        <v>102</v>
      </c>
      <c r="S119" s="10" t="s">
        <v>102</v>
      </c>
      <c r="T119" s="81"/>
      <c r="U119" s="21">
        <v>2.5</v>
      </c>
      <c r="V119" s="10">
        <v>0.2</v>
      </c>
      <c r="W119" s="21">
        <v>0.75</v>
      </c>
      <c r="X119" s="10" t="s">
        <v>109</v>
      </c>
      <c r="Y119" s="21">
        <v>2.5</v>
      </c>
      <c r="Z119" s="21">
        <v>3.6</v>
      </c>
      <c r="AA119" s="10">
        <v>4.5</v>
      </c>
      <c r="AB119" s="10" t="s">
        <v>102</v>
      </c>
      <c r="AC119" s="10" t="s">
        <v>102</v>
      </c>
      <c r="AD119" s="10" t="s">
        <v>103</v>
      </c>
      <c r="AE119" s="10" t="s">
        <v>104</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10" t="s">
        <v>105</v>
      </c>
      <c r="AO119" s="21">
        <v>15</v>
      </c>
      <c r="AP119" s="10" t="s">
        <v>358</v>
      </c>
    </row>
    <row r="120" spans="1:42" ht="16">
      <c r="A120" s="53">
        <v>45204</v>
      </c>
      <c r="C120" s="10">
        <v>22201176</v>
      </c>
      <c r="D120" s="10" t="s">
        <v>147</v>
      </c>
      <c r="E120" s="11">
        <v>11</v>
      </c>
      <c r="F120" s="37">
        <v>344016</v>
      </c>
      <c r="G120" s="37">
        <v>5862741</v>
      </c>
      <c r="H120" s="11" t="s">
        <v>359</v>
      </c>
      <c r="I120" s="11" t="s">
        <v>360</v>
      </c>
      <c r="K120" s="11" t="s">
        <v>99</v>
      </c>
      <c r="L120" s="10" t="s">
        <v>100</v>
      </c>
      <c r="M120" s="10" t="s">
        <v>101</v>
      </c>
      <c r="N120" s="21">
        <v>1.5</v>
      </c>
      <c r="O120" s="21">
        <v>26</v>
      </c>
      <c r="P120" s="10" t="s">
        <v>102</v>
      </c>
      <c r="Q120" s="81"/>
      <c r="R120" s="10" t="s">
        <v>102</v>
      </c>
      <c r="S120" s="10" t="s">
        <v>102</v>
      </c>
      <c r="T120" s="81"/>
      <c r="U120" s="21">
        <v>1.5</v>
      </c>
      <c r="V120" s="10">
        <v>0.4</v>
      </c>
      <c r="W120" s="21">
        <v>1</v>
      </c>
      <c r="X120" s="10" t="s">
        <v>109</v>
      </c>
      <c r="Y120" s="21">
        <v>1.5</v>
      </c>
      <c r="Z120" s="21">
        <v>4.5</v>
      </c>
      <c r="AA120" s="10">
        <v>3.5</v>
      </c>
      <c r="AB120" s="10" t="s">
        <v>102</v>
      </c>
      <c r="AC120" s="10" t="s">
        <v>102</v>
      </c>
      <c r="AD120" s="10" t="s">
        <v>103</v>
      </c>
      <c r="AE120" s="10" t="s">
        <v>126</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10" t="s">
        <v>105</v>
      </c>
      <c r="AO120" s="21">
        <v>15</v>
      </c>
      <c r="AP120" s="10" t="s">
        <v>361</v>
      </c>
    </row>
    <row r="121" spans="1:42" ht="32">
      <c r="A121" s="53">
        <v>45204</v>
      </c>
      <c r="C121" s="10">
        <v>22200022</v>
      </c>
      <c r="D121" s="10" t="s">
        <v>147</v>
      </c>
      <c r="E121" s="11">
        <v>11</v>
      </c>
      <c r="F121" s="37">
        <v>302951</v>
      </c>
      <c r="G121" s="37">
        <v>5899072</v>
      </c>
      <c r="H121" s="11" t="s">
        <v>362</v>
      </c>
      <c r="I121" s="11" t="s">
        <v>363</v>
      </c>
      <c r="K121" s="11" t="s">
        <v>112</v>
      </c>
      <c r="L121" s="10" t="s">
        <v>100</v>
      </c>
      <c r="M121" s="10" t="s">
        <v>101</v>
      </c>
      <c r="N121" s="21">
        <v>0.6</v>
      </c>
      <c r="O121" s="21">
        <v>20</v>
      </c>
      <c r="P121" s="10" t="s">
        <v>102</v>
      </c>
      <c r="Q121" s="81"/>
      <c r="R121" s="10" t="s">
        <v>102</v>
      </c>
      <c r="S121" s="10" t="s">
        <v>102</v>
      </c>
      <c r="T121" s="81"/>
      <c r="U121" s="21">
        <v>5</v>
      </c>
      <c r="V121" s="10">
        <v>0.7</v>
      </c>
      <c r="W121" s="21">
        <v>0</v>
      </c>
      <c r="X121" s="10" t="s">
        <v>102</v>
      </c>
      <c r="Y121" s="21">
        <v>1</v>
      </c>
      <c r="Z121" s="21">
        <v>1.4</v>
      </c>
      <c r="AA121" s="10">
        <v>3</v>
      </c>
      <c r="AB121" s="10" t="s">
        <v>102</v>
      </c>
      <c r="AC121" s="10" t="s">
        <v>102</v>
      </c>
      <c r="AD121" s="10" t="s">
        <v>103</v>
      </c>
      <c r="AE121" s="10" t="s">
        <v>118</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10" t="s">
        <v>113</v>
      </c>
      <c r="AO121" s="21">
        <v>3</v>
      </c>
      <c r="AP121" s="10" t="s">
        <v>364</v>
      </c>
    </row>
    <row r="122" spans="1:42" ht="16">
      <c r="A122" s="53">
        <v>45204</v>
      </c>
      <c r="C122" s="10">
        <v>22200075</v>
      </c>
      <c r="D122" s="10" t="s">
        <v>147</v>
      </c>
      <c r="E122" s="11">
        <v>11</v>
      </c>
      <c r="F122" s="37">
        <v>335908</v>
      </c>
      <c r="G122" s="37">
        <v>5872652</v>
      </c>
      <c r="H122" s="11" t="s">
        <v>365</v>
      </c>
      <c r="I122" s="11" t="s">
        <v>366</v>
      </c>
      <c r="K122" s="11" t="s">
        <v>99</v>
      </c>
      <c r="L122" s="10" t="s">
        <v>100</v>
      </c>
      <c r="M122" s="10" t="s">
        <v>101</v>
      </c>
      <c r="N122" s="21">
        <v>1.05</v>
      </c>
      <c r="O122" s="21">
        <v>19</v>
      </c>
      <c r="P122" s="10" t="s">
        <v>102</v>
      </c>
      <c r="Q122" s="81"/>
      <c r="R122" s="10" t="s">
        <v>102</v>
      </c>
      <c r="S122" s="10" t="s">
        <v>102</v>
      </c>
      <c r="T122" s="81"/>
      <c r="U122" s="21">
        <v>1.8</v>
      </c>
      <c r="V122" s="10">
        <v>0.5</v>
      </c>
      <c r="W122" s="21">
        <v>0.4</v>
      </c>
      <c r="X122" s="10" t="s">
        <v>102</v>
      </c>
      <c r="Y122" s="21">
        <v>3</v>
      </c>
      <c r="Z122" s="21">
        <v>2.2000000000000002</v>
      </c>
      <c r="AA122" s="10">
        <v>2</v>
      </c>
      <c r="AB122" s="10" t="s">
        <v>102</v>
      </c>
      <c r="AC122" s="10" t="s">
        <v>102</v>
      </c>
      <c r="AD122" s="10" t="s">
        <v>103</v>
      </c>
      <c r="AE122" s="10" t="s">
        <v>104</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10" t="s">
        <v>105</v>
      </c>
      <c r="AO122" s="21">
        <v>15</v>
      </c>
      <c r="AP122" s="10" t="s">
        <v>367</v>
      </c>
    </row>
    <row r="123" spans="1:42" ht="16">
      <c r="A123" s="53">
        <v>45204</v>
      </c>
      <c r="C123" s="10">
        <v>22201218</v>
      </c>
      <c r="D123" s="10" t="s">
        <v>147</v>
      </c>
      <c r="E123" s="11">
        <v>11</v>
      </c>
      <c r="F123" s="37">
        <v>335375</v>
      </c>
      <c r="G123" s="37">
        <v>5873132</v>
      </c>
      <c r="H123" s="11" t="s">
        <v>368</v>
      </c>
      <c r="I123" s="11" t="s">
        <v>98</v>
      </c>
      <c r="K123" s="11" t="s">
        <v>99</v>
      </c>
      <c r="L123" s="10" t="s">
        <v>100</v>
      </c>
      <c r="M123" s="10" t="s">
        <v>171</v>
      </c>
      <c r="N123" s="21">
        <v>1.7</v>
      </c>
      <c r="O123" s="21">
        <v>35</v>
      </c>
      <c r="P123" s="10" t="s">
        <v>102</v>
      </c>
      <c r="Q123" s="81"/>
      <c r="R123" s="10" t="s">
        <v>102</v>
      </c>
      <c r="S123" s="10" t="s">
        <v>102</v>
      </c>
      <c r="T123" s="81"/>
      <c r="U123" s="21">
        <v>2</v>
      </c>
      <c r="V123" s="10">
        <v>0.4</v>
      </c>
      <c r="W123" s="21">
        <v>0.4</v>
      </c>
      <c r="X123" s="10" t="s">
        <v>102</v>
      </c>
      <c r="Y123" s="21">
        <v>2</v>
      </c>
      <c r="Z123" s="21">
        <v>1</v>
      </c>
      <c r="AA123" s="10">
        <v>0</v>
      </c>
      <c r="AB123" s="10" t="s">
        <v>102</v>
      </c>
      <c r="AC123" s="10" t="s">
        <v>102</v>
      </c>
      <c r="AD123" s="10" t="s">
        <v>103</v>
      </c>
      <c r="AE123" s="10" t="s">
        <v>104</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10" t="s">
        <v>113</v>
      </c>
      <c r="AO123" s="21">
        <v>3</v>
      </c>
      <c r="AP123" s="10" t="s">
        <v>369</v>
      </c>
    </row>
    <row r="124" spans="1:42" ht="16">
      <c r="A124" s="53">
        <v>45204</v>
      </c>
      <c r="C124" s="10">
        <v>22201229</v>
      </c>
      <c r="D124" s="10" t="s">
        <v>147</v>
      </c>
      <c r="E124" s="11">
        <v>11</v>
      </c>
      <c r="F124" s="37">
        <v>305965</v>
      </c>
      <c r="G124" s="37">
        <v>5896000</v>
      </c>
      <c r="H124" s="11" t="s">
        <v>370</v>
      </c>
      <c r="I124" s="11" t="s">
        <v>98</v>
      </c>
      <c r="K124" s="11" t="s">
        <v>99</v>
      </c>
      <c r="L124" s="10" t="s">
        <v>100</v>
      </c>
      <c r="M124" s="10" t="s">
        <v>101</v>
      </c>
      <c r="N124" s="21">
        <v>2.5</v>
      </c>
      <c r="O124" s="21">
        <v>56</v>
      </c>
      <c r="P124" s="10" t="s">
        <v>102</v>
      </c>
      <c r="Q124" s="81"/>
      <c r="R124" s="10" t="s">
        <v>102</v>
      </c>
      <c r="S124" s="10" t="s">
        <v>102</v>
      </c>
      <c r="T124" s="81"/>
      <c r="U124" s="21">
        <v>2.2999999999999998</v>
      </c>
      <c r="V124" s="10">
        <v>0.4</v>
      </c>
      <c r="W124" s="21">
        <v>0.3</v>
      </c>
      <c r="X124" s="10" t="s">
        <v>102</v>
      </c>
      <c r="Y124" s="21">
        <v>2</v>
      </c>
      <c r="Z124" s="21">
        <v>10.8</v>
      </c>
      <c r="AA124" s="10">
        <v>5</v>
      </c>
      <c r="AB124" s="10" t="s">
        <v>102</v>
      </c>
      <c r="AC124" s="10" t="s">
        <v>102</v>
      </c>
      <c r="AD124" s="10" t="s">
        <v>103</v>
      </c>
      <c r="AE124" s="10" t="s">
        <v>126</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10" t="s">
        <v>105</v>
      </c>
      <c r="AO124" s="21">
        <v>15</v>
      </c>
      <c r="AP124" s="10" t="s">
        <v>371</v>
      </c>
    </row>
    <row r="125" spans="1:42" ht="32">
      <c r="A125" s="53">
        <v>45204</v>
      </c>
      <c r="C125" s="10">
        <v>22200029</v>
      </c>
      <c r="D125" s="10" t="s">
        <v>147</v>
      </c>
      <c r="E125" s="11">
        <v>11</v>
      </c>
      <c r="F125" s="37">
        <v>309830</v>
      </c>
      <c r="G125" s="37">
        <v>5892394</v>
      </c>
      <c r="H125" s="11" t="s">
        <v>284</v>
      </c>
      <c r="I125" s="11" t="s">
        <v>372</v>
      </c>
      <c r="K125" s="11" t="s">
        <v>112</v>
      </c>
      <c r="L125" s="10" t="s">
        <v>100</v>
      </c>
      <c r="M125" s="10" t="s">
        <v>101</v>
      </c>
      <c r="N125" s="21">
        <v>1.4</v>
      </c>
      <c r="O125" s="21">
        <v>19</v>
      </c>
      <c r="P125" s="10" t="s">
        <v>102</v>
      </c>
      <c r="Q125" s="81"/>
      <c r="R125" s="10" t="s">
        <v>102</v>
      </c>
      <c r="S125" s="10" t="s">
        <v>102</v>
      </c>
      <c r="T125" s="81"/>
      <c r="U125" s="21">
        <v>2.2000000000000002</v>
      </c>
      <c r="V125" s="10">
        <v>0.2</v>
      </c>
      <c r="W125" s="21">
        <v>0.2</v>
      </c>
      <c r="X125" s="10" t="s">
        <v>102</v>
      </c>
      <c r="Y125" s="21">
        <v>0</v>
      </c>
      <c r="Z125" s="21">
        <v>1.2</v>
      </c>
      <c r="AA125" s="10">
        <v>3.5</v>
      </c>
      <c r="AB125" s="10" t="s">
        <v>102</v>
      </c>
      <c r="AC125" s="10" t="s">
        <v>102</v>
      </c>
      <c r="AD125" s="10" t="s">
        <v>103</v>
      </c>
      <c r="AE125" s="10" t="s">
        <v>118</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10" t="s">
        <v>113</v>
      </c>
      <c r="AO125" s="21">
        <v>3</v>
      </c>
      <c r="AP125" s="10" t="s">
        <v>373</v>
      </c>
    </row>
    <row r="126" spans="1:42" ht="16">
      <c r="A126" s="53">
        <v>45204</v>
      </c>
      <c r="C126" s="10">
        <v>22200067</v>
      </c>
      <c r="D126" s="10" t="s">
        <v>147</v>
      </c>
      <c r="E126" s="11">
        <v>11</v>
      </c>
      <c r="F126" s="37">
        <v>331575</v>
      </c>
      <c r="G126" s="37">
        <v>5875589</v>
      </c>
      <c r="H126" s="11" t="s">
        <v>374</v>
      </c>
      <c r="I126" s="11" t="s">
        <v>375</v>
      </c>
      <c r="K126" s="11" t="s">
        <v>99</v>
      </c>
      <c r="L126" s="10" t="s">
        <v>100</v>
      </c>
      <c r="M126" s="10" t="s">
        <v>101</v>
      </c>
      <c r="N126" s="21">
        <v>2.6</v>
      </c>
      <c r="O126" s="21">
        <v>18</v>
      </c>
      <c r="P126" s="10" t="s">
        <v>102</v>
      </c>
      <c r="Q126" s="81"/>
      <c r="R126" s="10" t="s">
        <v>102</v>
      </c>
      <c r="S126" s="10" t="s">
        <v>102</v>
      </c>
      <c r="T126" s="81"/>
      <c r="U126" s="21">
        <v>1.5</v>
      </c>
      <c r="V126" s="10">
        <v>0</v>
      </c>
      <c r="W126" s="21">
        <v>0.4</v>
      </c>
      <c r="X126" s="10" t="s">
        <v>109</v>
      </c>
      <c r="Y126" s="21">
        <v>5</v>
      </c>
      <c r="Z126" s="21">
        <v>5.8</v>
      </c>
      <c r="AA126" s="10">
        <v>6</v>
      </c>
      <c r="AB126" s="10" t="s">
        <v>102</v>
      </c>
      <c r="AC126" s="10" t="s">
        <v>102</v>
      </c>
      <c r="AD126" s="10" t="s">
        <v>103</v>
      </c>
      <c r="AE126" s="10" t="s">
        <v>126</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10" t="s">
        <v>105</v>
      </c>
      <c r="AO126" s="21">
        <v>15</v>
      </c>
      <c r="AP126" s="10" t="s">
        <v>376</v>
      </c>
    </row>
    <row r="127" spans="1:42" ht="32">
      <c r="A127" s="53">
        <v>45204</v>
      </c>
      <c r="C127" s="10">
        <v>22200051</v>
      </c>
      <c r="D127" s="10" t="s">
        <v>147</v>
      </c>
      <c r="E127" s="11">
        <v>11</v>
      </c>
      <c r="F127" s="37">
        <v>312484</v>
      </c>
      <c r="G127" s="37">
        <v>5892004</v>
      </c>
      <c r="H127" s="11" t="s">
        <v>284</v>
      </c>
      <c r="I127" s="11" t="s">
        <v>377</v>
      </c>
      <c r="K127" s="11" t="s">
        <v>112</v>
      </c>
      <c r="L127" s="10" t="s">
        <v>100</v>
      </c>
      <c r="M127" s="10" t="s">
        <v>101</v>
      </c>
      <c r="N127" s="21">
        <v>1.1000000000000001</v>
      </c>
      <c r="O127" s="21">
        <v>8</v>
      </c>
      <c r="P127" s="10" t="s">
        <v>102</v>
      </c>
      <c r="Q127" s="81"/>
      <c r="R127" s="10" t="s">
        <v>102</v>
      </c>
      <c r="S127" s="10" t="s">
        <v>102</v>
      </c>
      <c r="T127" s="81"/>
      <c r="U127" s="21">
        <v>1</v>
      </c>
      <c r="V127" s="10">
        <v>0</v>
      </c>
      <c r="W127" s="21">
        <v>0</v>
      </c>
      <c r="X127" s="10" t="s">
        <v>102</v>
      </c>
      <c r="Y127" s="21">
        <v>5</v>
      </c>
      <c r="Z127" s="21">
        <v>2.5</v>
      </c>
      <c r="AA127" s="10">
        <v>4.5</v>
      </c>
      <c r="AB127" s="10" t="s">
        <v>102</v>
      </c>
      <c r="AC127" s="10" t="s">
        <v>102</v>
      </c>
      <c r="AD127" s="10" t="s">
        <v>103</v>
      </c>
      <c r="AE127" s="10" t="s">
        <v>104</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10" t="s">
        <v>105</v>
      </c>
      <c r="AO127" s="21">
        <v>15</v>
      </c>
      <c r="AP127" s="10" t="s">
        <v>378</v>
      </c>
    </row>
    <row r="128" spans="1:42" ht="16">
      <c r="A128" s="53">
        <v>45204</v>
      </c>
      <c r="C128" s="10">
        <v>22200061</v>
      </c>
      <c r="D128" s="10" t="s">
        <v>147</v>
      </c>
      <c r="E128" s="11">
        <v>11</v>
      </c>
      <c r="F128" s="37">
        <v>331629</v>
      </c>
      <c r="G128" s="37">
        <v>5875684</v>
      </c>
      <c r="H128" s="11" t="s">
        <v>374</v>
      </c>
      <c r="I128" s="11" t="s">
        <v>98</v>
      </c>
      <c r="K128" s="11" t="s">
        <v>99</v>
      </c>
      <c r="L128" s="10" t="s">
        <v>100</v>
      </c>
      <c r="M128" s="10" t="s">
        <v>379</v>
      </c>
      <c r="N128" s="21">
        <v>3.65</v>
      </c>
      <c r="O128" s="21">
        <v>21</v>
      </c>
      <c r="P128" s="10" t="s">
        <v>102</v>
      </c>
      <c r="Q128" s="81"/>
      <c r="R128" s="10" t="s">
        <v>102</v>
      </c>
      <c r="S128" s="10" t="s">
        <v>102</v>
      </c>
      <c r="T128" s="81"/>
      <c r="U128" s="21">
        <v>1.5</v>
      </c>
      <c r="V128" s="10">
        <v>0</v>
      </c>
      <c r="W128" s="21">
        <v>0.2</v>
      </c>
      <c r="X128" s="10" t="s">
        <v>109</v>
      </c>
      <c r="Y128" s="21">
        <v>6</v>
      </c>
      <c r="Z128" s="21">
        <v>5.8</v>
      </c>
      <c r="AA128" s="10">
        <v>6</v>
      </c>
      <c r="AB128" s="10" t="s">
        <v>102</v>
      </c>
      <c r="AC128" s="10" t="s">
        <v>102</v>
      </c>
      <c r="AD128" s="10" t="s">
        <v>103</v>
      </c>
      <c r="AE128" s="10" t="s">
        <v>126</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10" t="s">
        <v>105</v>
      </c>
      <c r="AO128" s="21">
        <v>15</v>
      </c>
      <c r="AP128" s="10" t="s">
        <v>380</v>
      </c>
    </row>
    <row r="129" spans="1:42" ht="16">
      <c r="A129" s="53">
        <v>45197</v>
      </c>
      <c r="C129" s="10">
        <v>5400446</v>
      </c>
      <c r="D129" s="10" t="s">
        <v>96</v>
      </c>
      <c r="E129" s="11">
        <v>10</v>
      </c>
      <c r="F129" s="37">
        <v>307446</v>
      </c>
      <c r="G129" s="37">
        <v>6030655</v>
      </c>
      <c r="H129" s="11" t="s">
        <v>381</v>
      </c>
      <c r="I129" s="11" t="s">
        <v>98</v>
      </c>
      <c r="K129" s="11" t="s">
        <v>99</v>
      </c>
      <c r="L129" s="10" t="s">
        <v>100</v>
      </c>
      <c r="M129" s="10" t="s">
        <v>101</v>
      </c>
      <c r="N129" s="21">
        <v>2.25</v>
      </c>
      <c r="O129" s="21">
        <v>22</v>
      </c>
      <c r="P129" s="10" t="s">
        <v>102</v>
      </c>
      <c r="Q129" s="81"/>
      <c r="R129" s="10" t="s">
        <v>102</v>
      </c>
      <c r="S129" s="10" t="s">
        <v>109</v>
      </c>
      <c r="T129" s="21">
        <v>100</v>
      </c>
      <c r="U129" s="21">
        <v>1</v>
      </c>
      <c r="V129" s="10">
        <v>0</v>
      </c>
      <c r="W129" s="21">
        <v>0.3</v>
      </c>
      <c r="X129" s="10" t="s">
        <v>102</v>
      </c>
      <c r="Y129" s="21">
        <v>1.5</v>
      </c>
      <c r="Z129" s="21">
        <v>3.8</v>
      </c>
      <c r="AA129" s="10">
        <v>2</v>
      </c>
      <c r="AB129" s="10" t="s">
        <v>102</v>
      </c>
      <c r="AC129" s="10" t="s">
        <v>102</v>
      </c>
      <c r="AD129" s="10" t="s">
        <v>103</v>
      </c>
      <c r="AE129" s="10" t="s">
        <v>126</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10" t="s">
        <v>105</v>
      </c>
      <c r="AO129" s="21">
        <v>15</v>
      </c>
      <c r="AP129" s="10" t="s">
        <v>382</v>
      </c>
    </row>
    <row r="130" spans="1:42" ht="32">
      <c r="A130" s="53">
        <v>45197</v>
      </c>
      <c r="C130" s="10">
        <v>5400589</v>
      </c>
      <c r="D130" s="10" t="s">
        <v>96</v>
      </c>
      <c r="E130" s="11">
        <v>10</v>
      </c>
      <c r="F130" s="37">
        <v>311154</v>
      </c>
      <c r="G130" s="37">
        <v>6025092</v>
      </c>
      <c r="H130" s="11" t="s">
        <v>97</v>
      </c>
      <c r="I130" s="11" t="s">
        <v>383</v>
      </c>
      <c r="K130" s="11" t="s">
        <v>99</v>
      </c>
      <c r="L130" s="10" t="s">
        <v>100</v>
      </c>
      <c r="M130" s="10" t="s">
        <v>101</v>
      </c>
      <c r="N130" s="21">
        <v>1.7</v>
      </c>
      <c r="O130" s="21">
        <v>21.5</v>
      </c>
      <c r="P130" s="10" t="s">
        <v>102</v>
      </c>
      <c r="Q130" s="81"/>
      <c r="R130" s="10" t="s">
        <v>102</v>
      </c>
      <c r="S130" s="10" t="s">
        <v>109</v>
      </c>
      <c r="T130" s="21">
        <v>100</v>
      </c>
      <c r="U130" s="21">
        <v>1</v>
      </c>
      <c r="V130" s="10">
        <v>0</v>
      </c>
      <c r="W130" s="21">
        <v>1</v>
      </c>
      <c r="X130" s="10" t="s">
        <v>102</v>
      </c>
      <c r="Y130" s="21">
        <v>0</v>
      </c>
      <c r="Z130" s="21">
        <v>4.5</v>
      </c>
      <c r="AA130" s="10">
        <v>0</v>
      </c>
      <c r="AB130" s="10" t="s">
        <v>109</v>
      </c>
      <c r="AC130" s="10" t="s">
        <v>102</v>
      </c>
      <c r="AD130" s="10" t="s">
        <v>103</v>
      </c>
      <c r="AE130" s="10" t="s">
        <v>104</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10" t="s">
        <v>105</v>
      </c>
      <c r="AO130" s="21">
        <v>15</v>
      </c>
      <c r="AP130" s="10" t="s">
        <v>384</v>
      </c>
    </row>
    <row r="131" spans="1:42" ht="16">
      <c r="A131" s="53">
        <v>45198</v>
      </c>
      <c r="C131" s="10">
        <v>5400423</v>
      </c>
      <c r="D131" s="10" t="s">
        <v>96</v>
      </c>
      <c r="E131" s="11">
        <v>10</v>
      </c>
      <c r="F131" s="37">
        <v>327463</v>
      </c>
      <c r="G131" s="37">
        <v>6011366</v>
      </c>
      <c r="H131" s="11" t="s">
        <v>385</v>
      </c>
      <c r="I131" s="11" t="s">
        <v>386</v>
      </c>
      <c r="K131" s="11" t="s">
        <v>99</v>
      </c>
      <c r="L131" s="10" t="s">
        <v>100</v>
      </c>
      <c r="M131" s="10" t="s">
        <v>101</v>
      </c>
      <c r="N131" s="21">
        <v>3.6</v>
      </c>
      <c r="O131" s="21">
        <v>21.5</v>
      </c>
      <c r="P131" s="10" t="s">
        <v>102</v>
      </c>
      <c r="Q131" s="81"/>
      <c r="R131" s="10" t="s">
        <v>102</v>
      </c>
      <c r="S131" s="10" t="s">
        <v>109</v>
      </c>
      <c r="T131" s="21">
        <v>60</v>
      </c>
      <c r="U131" s="21">
        <v>1</v>
      </c>
      <c r="V131" s="10">
        <v>0</v>
      </c>
      <c r="W131" s="21">
        <v>0.1</v>
      </c>
      <c r="X131" s="10" t="s">
        <v>102</v>
      </c>
      <c r="Y131" s="21">
        <v>1.5</v>
      </c>
      <c r="Z131" s="21">
        <v>5</v>
      </c>
      <c r="AA131" s="10">
        <v>1.5</v>
      </c>
      <c r="AB131" s="10" t="s">
        <v>102</v>
      </c>
      <c r="AC131" s="10" t="s">
        <v>102</v>
      </c>
      <c r="AD131" s="10" t="s">
        <v>103</v>
      </c>
      <c r="AE131" s="10" t="s">
        <v>126</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10" t="s">
        <v>105</v>
      </c>
      <c r="AO131" s="21">
        <v>15</v>
      </c>
      <c r="AP131" s="10" t="s">
        <v>387</v>
      </c>
    </row>
    <row r="132" spans="1:42" ht="16">
      <c r="A132" s="53">
        <v>45198</v>
      </c>
      <c r="C132" s="10">
        <v>5400024</v>
      </c>
      <c r="D132" s="10" t="s">
        <v>96</v>
      </c>
      <c r="E132" s="11">
        <v>10</v>
      </c>
      <c r="F132" s="37">
        <v>345676</v>
      </c>
      <c r="G132" s="37">
        <v>6001245</v>
      </c>
      <c r="H132" s="11" t="s">
        <v>216</v>
      </c>
      <c r="I132" s="11" t="s">
        <v>98</v>
      </c>
      <c r="K132" s="11" t="s">
        <v>99</v>
      </c>
      <c r="L132" s="10" t="s">
        <v>100</v>
      </c>
      <c r="M132" s="10" t="s">
        <v>101</v>
      </c>
      <c r="N132" s="21">
        <v>12</v>
      </c>
      <c r="O132" s="21">
        <v>35</v>
      </c>
      <c r="P132" s="10" t="s">
        <v>102</v>
      </c>
      <c r="Q132" s="81"/>
      <c r="R132" s="10" t="s">
        <v>102</v>
      </c>
      <c r="S132" s="10" t="s">
        <v>109</v>
      </c>
      <c r="T132" s="21">
        <v>100</v>
      </c>
      <c r="U132" s="21">
        <v>3</v>
      </c>
      <c r="V132" s="10">
        <v>0</v>
      </c>
      <c r="W132" s="21">
        <v>0.7</v>
      </c>
      <c r="X132" s="10" t="s">
        <v>102</v>
      </c>
      <c r="Y132" s="21">
        <v>0.5</v>
      </c>
      <c r="Z132" s="21">
        <v>17</v>
      </c>
      <c r="AA132" s="10">
        <v>0</v>
      </c>
      <c r="AB132" s="10" t="s">
        <v>109</v>
      </c>
      <c r="AC132" s="10" t="s">
        <v>102</v>
      </c>
      <c r="AD132" s="10" t="s">
        <v>103</v>
      </c>
      <c r="AE132" s="10" t="s">
        <v>126</v>
      </c>
      <c r="AF132" s="20">
        <f t="shared" si="17"/>
        <v>1.4166666666666667</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10" t="s">
        <v>105</v>
      </c>
      <c r="AO132" s="21">
        <v>22</v>
      </c>
      <c r="AP132" s="10" t="s">
        <v>388</v>
      </c>
    </row>
    <row r="133" spans="1:42" ht="16">
      <c r="A133" s="53">
        <v>45198</v>
      </c>
      <c r="C133" s="10">
        <v>15600273</v>
      </c>
      <c r="D133" s="10" t="s">
        <v>96</v>
      </c>
      <c r="E133" s="11">
        <v>10</v>
      </c>
      <c r="F133" s="37">
        <v>398480</v>
      </c>
      <c r="G133" s="37">
        <v>5976390</v>
      </c>
      <c r="H133" s="11" t="s">
        <v>389</v>
      </c>
      <c r="I133" s="11" t="s">
        <v>390</v>
      </c>
      <c r="K133" s="11" t="s">
        <v>99</v>
      </c>
      <c r="L133" s="10" t="s">
        <v>100</v>
      </c>
      <c r="M133" s="10" t="s">
        <v>101</v>
      </c>
      <c r="N133" s="21">
        <v>1.5</v>
      </c>
      <c r="O133" s="21">
        <v>18</v>
      </c>
      <c r="P133" s="10" t="s">
        <v>102</v>
      </c>
      <c r="Q133" s="81"/>
      <c r="R133" s="10" t="s">
        <v>102</v>
      </c>
      <c r="S133" s="10" t="s">
        <v>109</v>
      </c>
      <c r="T133" s="21">
        <v>100</v>
      </c>
      <c r="U133" s="21">
        <v>0.5</v>
      </c>
      <c r="V133" s="10">
        <v>0</v>
      </c>
      <c r="W133" s="21">
        <v>0.3</v>
      </c>
      <c r="X133" s="10" t="s">
        <v>102</v>
      </c>
      <c r="Y133" s="21">
        <v>0.5</v>
      </c>
      <c r="Z133" s="21">
        <v>3</v>
      </c>
      <c r="AA133" s="10">
        <v>0</v>
      </c>
      <c r="AB133" s="10" t="s">
        <v>102</v>
      </c>
      <c r="AC133" s="10" t="s">
        <v>102</v>
      </c>
      <c r="AD133" s="10" t="s">
        <v>103</v>
      </c>
      <c r="AE133" s="10" t="s">
        <v>104</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10" t="s">
        <v>105</v>
      </c>
      <c r="AO133" s="21">
        <v>15</v>
      </c>
      <c r="AP133" s="10" t="s">
        <v>391</v>
      </c>
    </row>
    <row r="134" spans="1:42" ht="16">
      <c r="A134" s="53">
        <v>45199</v>
      </c>
      <c r="C134" s="10">
        <v>24727338</v>
      </c>
      <c r="D134" s="10" t="s">
        <v>96</v>
      </c>
      <c r="E134" s="11">
        <v>10</v>
      </c>
      <c r="F134" s="37">
        <v>385711</v>
      </c>
      <c r="G134" s="37">
        <v>5995594</v>
      </c>
      <c r="H134" s="11" t="s">
        <v>392</v>
      </c>
      <c r="I134" s="11" t="s">
        <v>123</v>
      </c>
      <c r="K134" s="11" t="s">
        <v>99</v>
      </c>
      <c r="L134" s="10" t="s">
        <v>100</v>
      </c>
      <c r="M134" s="10" t="s">
        <v>171</v>
      </c>
      <c r="N134" s="21">
        <v>4.5</v>
      </c>
      <c r="O134" s="21">
        <v>32</v>
      </c>
      <c r="P134" s="10" t="s">
        <v>102</v>
      </c>
      <c r="Q134" s="81"/>
      <c r="R134" s="10" t="s">
        <v>102</v>
      </c>
      <c r="S134" s="10" t="s">
        <v>109</v>
      </c>
      <c r="T134" s="21">
        <v>100</v>
      </c>
      <c r="U134" s="21">
        <v>1</v>
      </c>
      <c r="V134" s="10">
        <v>0</v>
      </c>
      <c r="W134" s="21">
        <v>1.3</v>
      </c>
      <c r="X134" s="10" t="s">
        <v>102</v>
      </c>
      <c r="Y134" s="21">
        <v>0</v>
      </c>
      <c r="Z134" s="21">
        <v>6</v>
      </c>
      <c r="AA134" s="10">
        <v>0</v>
      </c>
      <c r="AB134" s="10" t="s">
        <v>109</v>
      </c>
      <c r="AC134" s="10" t="s">
        <v>102</v>
      </c>
      <c r="AD134" s="10" t="s">
        <v>103</v>
      </c>
      <c r="AE134" s="10" t="s">
        <v>126</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10" t="s">
        <v>105</v>
      </c>
      <c r="AO134" s="21">
        <v>15</v>
      </c>
      <c r="AP134" s="10" t="s">
        <v>393</v>
      </c>
    </row>
    <row r="135" spans="1:42" ht="16">
      <c r="A135" s="53">
        <v>45178</v>
      </c>
      <c r="C135" s="10">
        <v>15600468</v>
      </c>
      <c r="D135" s="10" t="s">
        <v>147</v>
      </c>
      <c r="E135" s="11">
        <v>10</v>
      </c>
      <c r="F135" s="37">
        <v>429073</v>
      </c>
      <c r="G135" s="37">
        <v>5991955</v>
      </c>
      <c r="H135" s="11" t="s">
        <v>148</v>
      </c>
      <c r="I135" s="11" t="s">
        <v>394</v>
      </c>
      <c r="K135" s="11" t="s">
        <v>99</v>
      </c>
      <c r="L135" s="10" t="s">
        <v>100</v>
      </c>
      <c r="M135" s="10" t="s">
        <v>101</v>
      </c>
      <c r="N135" s="21">
        <v>2.2000000000000002</v>
      </c>
      <c r="O135" s="21">
        <v>14</v>
      </c>
      <c r="P135" s="10" t="s">
        <v>102</v>
      </c>
      <c r="Q135" s="81"/>
      <c r="R135" s="10" t="s">
        <v>102</v>
      </c>
      <c r="S135" s="10" t="s">
        <v>109</v>
      </c>
      <c r="T135" s="21">
        <v>100</v>
      </c>
      <c r="U135" s="21">
        <v>1.5</v>
      </c>
      <c r="V135" s="10">
        <v>0</v>
      </c>
      <c r="W135" s="21">
        <v>0.5</v>
      </c>
      <c r="X135" s="10" t="s">
        <v>102</v>
      </c>
      <c r="Y135" s="21">
        <v>0.5</v>
      </c>
      <c r="Z135" s="21">
        <v>2.7</v>
      </c>
      <c r="AA135" s="10">
        <v>0</v>
      </c>
      <c r="AB135" s="10" t="s">
        <v>102</v>
      </c>
      <c r="AC135" s="10" t="s">
        <v>102</v>
      </c>
      <c r="AD135" s="10" t="s">
        <v>103</v>
      </c>
      <c r="AE135" s="10" t="s">
        <v>104</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P135" s="10" t="s">
        <v>395</v>
      </c>
    </row>
    <row r="136" spans="1:42" ht="16">
      <c r="A136" s="53">
        <v>45178</v>
      </c>
      <c r="C136" s="10">
        <v>15600111</v>
      </c>
      <c r="D136" s="10" t="s">
        <v>147</v>
      </c>
      <c r="E136" s="11">
        <v>10</v>
      </c>
      <c r="F136" s="37">
        <v>429944</v>
      </c>
      <c r="G136" s="37">
        <v>5992722</v>
      </c>
      <c r="H136" s="11" t="s">
        <v>148</v>
      </c>
      <c r="I136" s="11" t="s">
        <v>396</v>
      </c>
      <c r="K136" s="11" t="s">
        <v>112</v>
      </c>
      <c r="L136" s="10" t="s">
        <v>100</v>
      </c>
      <c r="M136" s="10" t="s">
        <v>379</v>
      </c>
      <c r="N136" s="21">
        <v>3.1</v>
      </c>
      <c r="O136" s="21">
        <v>16</v>
      </c>
      <c r="P136" s="10" t="s">
        <v>102</v>
      </c>
      <c r="Q136" s="81"/>
      <c r="R136" s="10" t="s">
        <v>102</v>
      </c>
      <c r="S136" s="10" t="s">
        <v>109</v>
      </c>
      <c r="T136" s="21">
        <v>100</v>
      </c>
      <c r="U136" s="21">
        <v>0.5</v>
      </c>
      <c r="V136" s="10">
        <v>0</v>
      </c>
      <c r="W136" s="21">
        <v>0.1</v>
      </c>
      <c r="X136" s="10" t="s">
        <v>102</v>
      </c>
      <c r="Y136" s="21">
        <v>0</v>
      </c>
      <c r="Z136" s="21">
        <v>2.7</v>
      </c>
      <c r="AA136" s="10">
        <v>0.5</v>
      </c>
      <c r="AB136" s="10" t="s">
        <v>102</v>
      </c>
      <c r="AC136" s="10" t="s">
        <v>102</v>
      </c>
      <c r="AD136" s="10" t="s">
        <v>103</v>
      </c>
      <c r="AE136" s="10" t="s">
        <v>126</v>
      </c>
      <c r="AF136" s="20">
        <f t="shared" si="17"/>
        <v>0.87096774193548387</v>
      </c>
      <c r="AG136" s="13">
        <f t="shared" si="18"/>
        <v>3</v>
      </c>
      <c r="AH136" s="7">
        <f t="shared" si="19"/>
        <v>10</v>
      </c>
      <c r="AI136" s="7">
        <f t="shared" si="20"/>
        <v>0</v>
      </c>
      <c r="AJ136" s="7">
        <f t="shared" si="21"/>
        <v>0</v>
      </c>
      <c r="AK136" s="7">
        <f t="shared" si="22"/>
        <v>0</v>
      </c>
      <c r="AL136" s="12">
        <f t="shared" si="24"/>
        <v>13</v>
      </c>
      <c r="AM136" s="14" t="str">
        <f t="shared" si="23"/>
        <v>Passable</v>
      </c>
      <c r="AP136" s="10" t="s">
        <v>397</v>
      </c>
    </row>
    <row r="137" spans="1:42" ht="16">
      <c r="A137" s="53">
        <v>45178</v>
      </c>
      <c r="C137" s="10">
        <v>15600106</v>
      </c>
      <c r="D137" s="10" t="s">
        <v>147</v>
      </c>
      <c r="E137" s="11">
        <v>10</v>
      </c>
      <c r="F137" s="37">
        <v>431487</v>
      </c>
      <c r="G137" s="37">
        <v>5990586</v>
      </c>
      <c r="H137" s="11" t="s">
        <v>156</v>
      </c>
      <c r="I137" s="11" t="s">
        <v>394</v>
      </c>
      <c r="K137" s="11" t="s">
        <v>99</v>
      </c>
      <c r="L137" s="10" t="s">
        <v>100</v>
      </c>
      <c r="M137" s="10" t="s">
        <v>101</v>
      </c>
      <c r="N137" s="21">
        <v>2.5</v>
      </c>
      <c r="O137" s="21">
        <v>18</v>
      </c>
      <c r="P137" s="10" t="s">
        <v>102</v>
      </c>
      <c r="Q137" s="81"/>
      <c r="R137" s="10" t="s">
        <v>102</v>
      </c>
      <c r="S137" s="10" t="s">
        <v>109</v>
      </c>
      <c r="T137" s="21">
        <v>100</v>
      </c>
      <c r="U137" s="21">
        <v>3</v>
      </c>
      <c r="V137" s="10">
        <v>0</v>
      </c>
      <c r="W137" s="21">
        <v>1.5</v>
      </c>
      <c r="X137" s="10" t="s">
        <v>109</v>
      </c>
      <c r="Y137" s="21">
        <v>1</v>
      </c>
      <c r="Z137" s="21">
        <v>2.5</v>
      </c>
      <c r="AA137" s="10">
        <v>1</v>
      </c>
      <c r="AB137" s="10" t="s">
        <v>109</v>
      </c>
      <c r="AC137" s="10" t="s">
        <v>102</v>
      </c>
      <c r="AD137" s="10" t="s">
        <v>103</v>
      </c>
      <c r="AE137" s="10" t="s">
        <v>118</v>
      </c>
      <c r="AF137" s="20">
        <f t="shared" ref="AF137:AF200" si="25">IF(ISBLANK(Z137), 0, IF(ISBLANK(N137) &lt; 0, 0,Z137 / N137))</f>
        <v>1</v>
      </c>
      <c r="AG137" s="13">
        <f t="shared" si="18"/>
        <v>3</v>
      </c>
      <c r="AH137" s="7">
        <f t="shared" si="19"/>
        <v>10</v>
      </c>
      <c r="AI137" s="7">
        <f t="shared" si="20"/>
        <v>0</v>
      </c>
      <c r="AJ137" s="7">
        <f t="shared" si="21"/>
        <v>5</v>
      </c>
      <c r="AK137" s="7">
        <f t="shared" si="22"/>
        <v>3</v>
      </c>
      <c r="AL137" s="12">
        <f t="shared" si="24"/>
        <v>21</v>
      </c>
      <c r="AM137" s="14" t="str">
        <f t="shared" si="23"/>
        <v>Barrier</v>
      </c>
      <c r="AN137" s="10" t="s">
        <v>105</v>
      </c>
      <c r="AO137" s="21">
        <v>15</v>
      </c>
      <c r="AP137" s="10" t="s">
        <v>398</v>
      </c>
    </row>
    <row r="138" spans="1:42" ht="32">
      <c r="A138" s="53">
        <v>45179</v>
      </c>
      <c r="C138" s="10">
        <v>15600488</v>
      </c>
      <c r="D138" s="10" t="s">
        <v>147</v>
      </c>
      <c r="E138" s="11">
        <v>10</v>
      </c>
      <c r="F138" s="37">
        <v>427033</v>
      </c>
      <c r="G138" s="37">
        <v>5994538</v>
      </c>
      <c r="H138" s="11" t="s">
        <v>173</v>
      </c>
      <c r="I138" s="11" t="s">
        <v>399</v>
      </c>
      <c r="K138" s="11" t="s">
        <v>99</v>
      </c>
      <c r="L138" s="10" t="s">
        <v>100</v>
      </c>
      <c r="M138" s="10" t="s">
        <v>101</v>
      </c>
      <c r="N138" s="21">
        <v>1.3</v>
      </c>
      <c r="O138" s="21">
        <v>20</v>
      </c>
      <c r="P138" s="10" t="s">
        <v>102</v>
      </c>
      <c r="Q138" s="81"/>
      <c r="R138" s="10" t="s">
        <v>102</v>
      </c>
      <c r="S138" s="10" t="s">
        <v>109</v>
      </c>
      <c r="T138" s="21">
        <v>100</v>
      </c>
      <c r="U138" s="21">
        <v>2.5</v>
      </c>
      <c r="V138" s="10">
        <v>0</v>
      </c>
      <c r="W138" s="21">
        <v>0.8</v>
      </c>
      <c r="X138" s="10" t="s">
        <v>102</v>
      </c>
      <c r="Y138" s="21">
        <v>1</v>
      </c>
      <c r="Z138" s="21">
        <v>1.3</v>
      </c>
      <c r="AA138" s="10">
        <v>1</v>
      </c>
      <c r="AB138" s="10" t="s">
        <v>109</v>
      </c>
      <c r="AC138" s="10" t="s">
        <v>102</v>
      </c>
      <c r="AD138" s="10" t="s">
        <v>103</v>
      </c>
      <c r="AE138" s="10" t="s">
        <v>104</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10" t="s">
        <v>113</v>
      </c>
      <c r="AO138" s="21">
        <v>3</v>
      </c>
      <c r="AP138" s="10" t="s">
        <v>400</v>
      </c>
    </row>
    <row r="139" spans="1:42" ht="16">
      <c r="A139" s="53">
        <v>45179</v>
      </c>
      <c r="C139" s="10">
        <v>15600120</v>
      </c>
      <c r="D139" s="10" t="s">
        <v>147</v>
      </c>
      <c r="E139" s="11">
        <v>10</v>
      </c>
      <c r="F139" s="37">
        <v>426006</v>
      </c>
      <c r="G139" s="37">
        <v>5998858</v>
      </c>
      <c r="H139" s="11" t="s">
        <v>169</v>
      </c>
      <c r="I139" s="11" t="s">
        <v>401</v>
      </c>
      <c r="K139" s="11" t="s">
        <v>112</v>
      </c>
      <c r="L139" s="10" t="s">
        <v>100</v>
      </c>
      <c r="M139" s="10" t="s">
        <v>101</v>
      </c>
      <c r="N139" s="21">
        <v>2.35</v>
      </c>
      <c r="O139" s="21">
        <v>10</v>
      </c>
      <c r="P139" s="10" t="s">
        <v>102</v>
      </c>
      <c r="Q139" s="81"/>
      <c r="R139" s="10" t="s">
        <v>102</v>
      </c>
      <c r="S139" s="10" t="s">
        <v>109</v>
      </c>
      <c r="T139" s="21">
        <v>100</v>
      </c>
      <c r="U139" s="21">
        <v>0.3</v>
      </c>
      <c r="V139" s="10">
        <v>0</v>
      </c>
      <c r="W139" s="21">
        <v>0.4</v>
      </c>
      <c r="X139" s="10" t="s">
        <v>102</v>
      </c>
      <c r="Y139" s="21">
        <v>1</v>
      </c>
      <c r="Z139" s="21">
        <v>2.5</v>
      </c>
      <c r="AA139" s="10">
        <v>4</v>
      </c>
      <c r="AB139" s="10" t="s">
        <v>109</v>
      </c>
      <c r="AC139" s="10" t="s">
        <v>102</v>
      </c>
      <c r="AD139" s="10" t="s">
        <v>103</v>
      </c>
      <c r="AE139" s="10" t="s">
        <v>104</v>
      </c>
      <c r="AF139" s="20">
        <f t="shared" si="25"/>
        <v>1.0638297872340425</v>
      </c>
      <c r="AG139" s="13">
        <f t="shared" si="18"/>
        <v>0</v>
      </c>
      <c r="AH139" s="7">
        <f t="shared" si="19"/>
        <v>10</v>
      </c>
      <c r="AI139" s="7">
        <f t="shared" si="20"/>
        <v>0</v>
      </c>
      <c r="AJ139" s="7">
        <f t="shared" si="21"/>
        <v>5</v>
      </c>
      <c r="AK139" s="7">
        <f t="shared" si="22"/>
        <v>3</v>
      </c>
      <c r="AL139" s="12">
        <f t="shared" si="24"/>
        <v>18</v>
      </c>
      <c r="AM139" s="14" t="str">
        <f t="shared" si="23"/>
        <v>Potential</v>
      </c>
      <c r="AN139" s="10" t="s">
        <v>105</v>
      </c>
      <c r="AO139" s="21">
        <v>15</v>
      </c>
      <c r="AP139" s="10" t="s">
        <v>402</v>
      </c>
    </row>
    <row r="140" spans="1:42" ht="32">
      <c r="A140" s="53">
        <v>45180</v>
      </c>
      <c r="C140" s="10">
        <v>15600158</v>
      </c>
      <c r="D140" s="10" t="s">
        <v>147</v>
      </c>
      <c r="E140" s="11">
        <v>10</v>
      </c>
      <c r="F140" s="37">
        <v>434160</v>
      </c>
      <c r="G140" s="37">
        <v>5985531</v>
      </c>
      <c r="H140" s="11" t="s">
        <v>130</v>
      </c>
      <c r="I140" s="11" t="s">
        <v>403</v>
      </c>
      <c r="K140" s="11" t="s">
        <v>150</v>
      </c>
      <c r="L140" s="10" t="s">
        <v>100</v>
      </c>
      <c r="M140" s="10" t="s">
        <v>101</v>
      </c>
      <c r="N140" s="21">
        <v>0.8</v>
      </c>
      <c r="O140" s="21">
        <v>16</v>
      </c>
      <c r="P140" s="10" t="s">
        <v>102</v>
      </c>
      <c r="Q140" s="81"/>
      <c r="R140" s="10" t="s">
        <v>102</v>
      </c>
      <c r="S140" s="10" t="s">
        <v>109</v>
      </c>
      <c r="T140" s="21">
        <v>100</v>
      </c>
      <c r="U140" s="21">
        <v>2</v>
      </c>
      <c r="V140" s="10">
        <v>0</v>
      </c>
      <c r="W140" s="21">
        <v>0</v>
      </c>
      <c r="X140" s="10" t="s">
        <v>102</v>
      </c>
      <c r="Y140" s="21">
        <v>0</v>
      </c>
      <c r="Z140" s="21">
        <v>1.5</v>
      </c>
      <c r="AA140" s="10">
        <v>1</v>
      </c>
      <c r="AB140" s="10" t="s">
        <v>102</v>
      </c>
      <c r="AC140" s="10" t="s">
        <v>102</v>
      </c>
      <c r="AD140" s="10" t="s">
        <v>103</v>
      </c>
      <c r="AE140" s="10" t="s">
        <v>104</v>
      </c>
      <c r="AF140" s="20">
        <f t="shared" si="25"/>
        <v>1.875</v>
      </c>
      <c r="AG140" s="13">
        <f t="shared" si="18"/>
        <v>3</v>
      </c>
      <c r="AH140" s="7">
        <f t="shared" si="19"/>
        <v>10</v>
      </c>
      <c r="AI140" s="7">
        <f t="shared" si="20"/>
        <v>0</v>
      </c>
      <c r="AJ140" s="7">
        <f t="shared" si="21"/>
        <v>0</v>
      </c>
      <c r="AK140" s="7">
        <f t="shared" si="22"/>
        <v>6</v>
      </c>
      <c r="AL140" s="12">
        <f t="shared" si="24"/>
        <v>19</v>
      </c>
      <c r="AM140" s="14" t="str">
        <f t="shared" si="23"/>
        <v>Potential</v>
      </c>
      <c r="AN140" s="10" t="s">
        <v>113</v>
      </c>
      <c r="AO140" s="21">
        <v>3</v>
      </c>
      <c r="AP140" s="10" t="s">
        <v>404</v>
      </c>
    </row>
    <row r="141" spans="1:42" ht="32">
      <c r="A141" s="53">
        <v>45180</v>
      </c>
      <c r="C141" s="10">
        <v>15605366</v>
      </c>
      <c r="D141" s="10" t="s">
        <v>147</v>
      </c>
      <c r="E141" s="11">
        <v>10</v>
      </c>
      <c r="F141" s="37">
        <v>434208</v>
      </c>
      <c r="G141" s="37">
        <v>5985603</v>
      </c>
      <c r="H141" s="11" t="s">
        <v>130</v>
      </c>
      <c r="I141" s="11" t="s">
        <v>222</v>
      </c>
      <c r="K141" s="11" t="s">
        <v>223</v>
      </c>
      <c r="L141" s="10" t="s">
        <v>100</v>
      </c>
      <c r="M141" s="10" t="s">
        <v>101</v>
      </c>
      <c r="N141" s="21">
        <v>0.9</v>
      </c>
      <c r="O141" s="21">
        <v>18</v>
      </c>
      <c r="P141" s="10" t="s">
        <v>102</v>
      </c>
      <c r="Q141" s="81"/>
      <c r="R141" s="10" t="s">
        <v>102</v>
      </c>
      <c r="S141" s="10" t="s">
        <v>109</v>
      </c>
      <c r="T141" s="21">
        <v>100</v>
      </c>
      <c r="U141" s="21">
        <v>2</v>
      </c>
      <c r="V141" s="10">
        <v>0</v>
      </c>
      <c r="W141" s="21">
        <v>0.5</v>
      </c>
      <c r="X141" s="10" t="s">
        <v>102</v>
      </c>
      <c r="Y141" s="21">
        <v>0</v>
      </c>
      <c r="Z141" s="21">
        <v>1.3</v>
      </c>
      <c r="AA141" s="10">
        <v>0</v>
      </c>
      <c r="AB141" s="10" t="s">
        <v>102</v>
      </c>
      <c r="AC141" s="10" t="s">
        <v>102</v>
      </c>
      <c r="AD141" s="10" t="s">
        <v>103</v>
      </c>
      <c r="AE141" s="10" t="s">
        <v>118</v>
      </c>
      <c r="AF141" s="20">
        <f t="shared" si="25"/>
        <v>1.4444444444444444</v>
      </c>
      <c r="AG141" s="13">
        <f t="shared" si="18"/>
        <v>3</v>
      </c>
      <c r="AH141" s="7">
        <f t="shared" si="19"/>
        <v>10</v>
      </c>
      <c r="AI141" s="7">
        <f t="shared" si="20"/>
        <v>0</v>
      </c>
      <c r="AJ141" s="7">
        <f t="shared" si="21"/>
        <v>0</v>
      </c>
      <c r="AK141" s="7">
        <f t="shared" si="22"/>
        <v>6</v>
      </c>
      <c r="AL141" s="12">
        <f t="shared" si="24"/>
        <v>19</v>
      </c>
      <c r="AM141" s="14" t="str">
        <f t="shared" si="23"/>
        <v>Potential</v>
      </c>
      <c r="AN141" s="10" t="s">
        <v>113</v>
      </c>
      <c r="AO141" s="21">
        <v>3</v>
      </c>
      <c r="AP141" s="10" t="s">
        <v>405</v>
      </c>
    </row>
    <row r="142" spans="1:42" ht="16">
      <c r="A142" s="53">
        <v>45181</v>
      </c>
      <c r="C142" s="10">
        <v>15600112</v>
      </c>
      <c r="D142" s="10" t="s">
        <v>147</v>
      </c>
      <c r="E142" s="11">
        <v>10</v>
      </c>
      <c r="F142" s="37">
        <v>426644</v>
      </c>
      <c r="G142" s="37">
        <v>5985671</v>
      </c>
      <c r="H142" s="11" t="s">
        <v>210</v>
      </c>
      <c r="I142" s="11" t="s">
        <v>176</v>
      </c>
      <c r="K142" s="11" t="s">
        <v>99</v>
      </c>
      <c r="L142" s="10" t="s">
        <v>100</v>
      </c>
      <c r="M142" s="10" t="s">
        <v>101</v>
      </c>
      <c r="N142" s="21">
        <v>2.2000000000000002</v>
      </c>
      <c r="O142" s="21">
        <v>30</v>
      </c>
      <c r="P142" s="10" t="s">
        <v>102</v>
      </c>
      <c r="Q142" s="81"/>
      <c r="R142" s="10" t="s">
        <v>102</v>
      </c>
      <c r="S142" s="10" t="s">
        <v>109</v>
      </c>
      <c r="T142" s="21">
        <v>100</v>
      </c>
      <c r="U142" s="21">
        <v>4</v>
      </c>
      <c r="V142" s="10">
        <v>0</v>
      </c>
      <c r="W142" s="21">
        <v>0.5</v>
      </c>
      <c r="X142" s="10" t="s">
        <v>102</v>
      </c>
      <c r="Y142" s="21">
        <v>1</v>
      </c>
      <c r="Z142" s="21">
        <v>2.2000000000000002</v>
      </c>
      <c r="AA142" s="10">
        <v>1.5</v>
      </c>
      <c r="AB142" s="10" t="s">
        <v>102</v>
      </c>
      <c r="AC142" s="10" t="s">
        <v>102</v>
      </c>
      <c r="AD142" s="10" t="s">
        <v>103</v>
      </c>
      <c r="AE142" s="10" t="s">
        <v>104</v>
      </c>
      <c r="AF142" s="20">
        <f t="shared" si="25"/>
        <v>1</v>
      </c>
      <c r="AG142" s="13">
        <f t="shared" si="18"/>
        <v>6</v>
      </c>
      <c r="AH142" s="7">
        <f t="shared" si="19"/>
        <v>10</v>
      </c>
      <c r="AI142" s="7">
        <f t="shared" si="20"/>
        <v>0</v>
      </c>
      <c r="AJ142" s="7">
        <f t="shared" si="21"/>
        <v>5</v>
      </c>
      <c r="AK142" s="7">
        <f t="shared" si="22"/>
        <v>3</v>
      </c>
      <c r="AL142" s="12">
        <f t="shared" si="24"/>
        <v>24</v>
      </c>
      <c r="AM142" s="14" t="str">
        <f t="shared" si="23"/>
        <v>Barrier</v>
      </c>
      <c r="AN142" s="10" t="s">
        <v>105</v>
      </c>
      <c r="AO142" s="21">
        <v>18</v>
      </c>
      <c r="AP142" s="10" t="s">
        <v>406</v>
      </c>
    </row>
    <row r="143" spans="1:42" ht="16">
      <c r="A143" s="53">
        <v>45197</v>
      </c>
      <c r="C143" s="10">
        <v>5400448</v>
      </c>
      <c r="D143" s="10" t="s">
        <v>147</v>
      </c>
      <c r="E143" s="11">
        <v>10</v>
      </c>
      <c r="F143" s="37">
        <v>306137</v>
      </c>
      <c r="G143" s="37">
        <v>6031749</v>
      </c>
      <c r="H143" s="11" t="s">
        <v>407</v>
      </c>
      <c r="I143" s="11" t="s">
        <v>211</v>
      </c>
      <c r="K143" s="11" t="s">
        <v>99</v>
      </c>
      <c r="L143" s="10" t="s">
        <v>100</v>
      </c>
      <c r="M143" s="10" t="s">
        <v>101</v>
      </c>
      <c r="N143" s="21">
        <v>2.1</v>
      </c>
      <c r="O143" s="21">
        <v>44</v>
      </c>
      <c r="P143" s="10" t="s">
        <v>102</v>
      </c>
      <c r="Q143" s="81"/>
      <c r="R143" s="10" t="s">
        <v>102</v>
      </c>
      <c r="S143" s="10" t="s">
        <v>109</v>
      </c>
      <c r="T143" s="21">
        <v>25</v>
      </c>
      <c r="U143" s="21">
        <v>4</v>
      </c>
      <c r="V143" s="10">
        <v>0</v>
      </c>
      <c r="W143" s="21">
        <v>0.5</v>
      </c>
      <c r="X143" s="10" t="s">
        <v>102</v>
      </c>
      <c r="Y143" s="21">
        <v>3</v>
      </c>
      <c r="Z143" s="21">
        <v>2.4</v>
      </c>
      <c r="AA143" s="10">
        <v>3</v>
      </c>
      <c r="AB143" s="10" t="s">
        <v>102</v>
      </c>
      <c r="AC143" s="10" t="s">
        <v>109</v>
      </c>
      <c r="AD143" s="10" t="s">
        <v>103</v>
      </c>
      <c r="AE143" s="10" t="s">
        <v>126</v>
      </c>
      <c r="AF143" s="20">
        <f t="shared" si="25"/>
        <v>1.1428571428571428</v>
      </c>
      <c r="AG143" s="13">
        <f t="shared" si="18"/>
        <v>6</v>
      </c>
      <c r="AH143" s="7">
        <f t="shared" si="19"/>
        <v>10</v>
      </c>
      <c r="AI143" s="7">
        <f t="shared" si="20"/>
        <v>0</v>
      </c>
      <c r="AJ143" s="7">
        <f t="shared" si="21"/>
        <v>10</v>
      </c>
      <c r="AK143" s="7">
        <f t="shared" si="22"/>
        <v>3</v>
      </c>
      <c r="AL143" s="12">
        <f t="shared" si="24"/>
        <v>29</v>
      </c>
      <c r="AM143" s="14" t="str">
        <f t="shared" si="23"/>
        <v>Barrier</v>
      </c>
      <c r="AN143" s="10" t="s">
        <v>105</v>
      </c>
      <c r="AO143" s="21">
        <v>18</v>
      </c>
      <c r="AP143" s="10" t="s">
        <v>408</v>
      </c>
    </row>
    <row r="144" spans="1:42" ht="16">
      <c r="A144" s="53">
        <v>45197</v>
      </c>
      <c r="C144" s="10">
        <v>5400181</v>
      </c>
      <c r="D144" s="10" t="s">
        <v>147</v>
      </c>
      <c r="E144" s="11">
        <v>10</v>
      </c>
      <c r="F144" s="37">
        <v>321873</v>
      </c>
      <c r="G144" s="37">
        <v>6012125</v>
      </c>
      <c r="H144" s="11" t="s">
        <v>232</v>
      </c>
      <c r="I144" s="11" t="s">
        <v>409</v>
      </c>
      <c r="K144" s="11" t="s">
        <v>237</v>
      </c>
      <c r="L144" s="10" t="s">
        <v>100</v>
      </c>
      <c r="M144" s="10" t="s">
        <v>101</v>
      </c>
      <c r="N144" s="21">
        <v>0.8</v>
      </c>
      <c r="O144" s="21">
        <v>28</v>
      </c>
      <c r="P144" s="10" t="s">
        <v>102</v>
      </c>
      <c r="Q144" s="81"/>
      <c r="R144" s="10" t="s">
        <v>102</v>
      </c>
      <c r="S144" s="10" t="s">
        <v>109</v>
      </c>
      <c r="T144" s="21">
        <v>100</v>
      </c>
      <c r="U144" s="21">
        <v>3</v>
      </c>
      <c r="V144" s="10">
        <v>0</v>
      </c>
      <c r="W144" s="21">
        <v>0.5</v>
      </c>
      <c r="X144" s="10" t="s">
        <v>102</v>
      </c>
      <c r="Y144" s="21">
        <v>2</v>
      </c>
      <c r="Z144" s="21">
        <v>0.8</v>
      </c>
      <c r="AA144" s="10">
        <v>1</v>
      </c>
      <c r="AB144" s="10" t="s">
        <v>109</v>
      </c>
      <c r="AC144" s="10" t="s">
        <v>102</v>
      </c>
      <c r="AD144" s="10" t="s">
        <v>103</v>
      </c>
      <c r="AE144" s="10" t="s">
        <v>104</v>
      </c>
      <c r="AF144" s="20">
        <f t="shared" si="25"/>
        <v>1</v>
      </c>
      <c r="AG144" s="13">
        <f t="shared" si="18"/>
        <v>3</v>
      </c>
      <c r="AH144" s="7">
        <f t="shared" si="19"/>
        <v>10</v>
      </c>
      <c r="AI144" s="7">
        <f t="shared" si="20"/>
        <v>0</v>
      </c>
      <c r="AJ144" s="7">
        <f t="shared" si="21"/>
        <v>5</v>
      </c>
      <c r="AK144" s="7">
        <f t="shared" si="22"/>
        <v>3</v>
      </c>
      <c r="AL144" s="12">
        <f t="shared" si="24"/>
        <v>21</v>
      </c>
      <c r="AM144" s="14" t="str">
        <f t="shared" si="23"/>
        <v>Barrier</v>
      </c>
      <c r="AN144" s="10" t="s">
        <v>113</v>
      </c>
      <c r="AO144" s="21">
        <v>3</v>
      </c>
      <c r="AP144" s="10" t="s">
        <v>410</v>
      </c>
    </row>
    <row r="145" spans="1:42" ht="16">
      <c r="A145" s="53">
        <v>45198</v>
      </c>
      <c r="C145" s="10">
        <v>5403082</v>
      </c>
      <c r="D145" s="10" t="s">
        <v>147</v>
      </c>
      <c r="E145" s="11">
        <v>10</v>
      </c>
      <c r="F145" s="37">
        <v>327620</v>
      </c>
      <c r="G145" s="37">
        <v>6010443</v>
      </c>
      <c r="H145" s="11" t="s">
        <v>411</v>
      </c>
      <c r="I145" s="11" t="s">
        <v>98</v>
      </c>
      <c r="K145" s="11" t="s">
        <v>99</v>
      </c>
      <c r="L145" s="10" t="s">
        <v>100</v>
      </c>
      <c r="M145" s="10" t="s">
        <v>101</v>
      </c>
      <c r="N145" s="21">
        <v>1.7</v>
      </c>
      <c r="O145" s="21">
        <v>22</v>
      </c>
      <c r="P145" s="10" t="s">
        <v>102</v>
      </c>
      <c r="Q145" s="81"/>
      <c r="R145" s="10" t="s">
        <v>102</v>
      </c>
      <c r="S145" s="10" t="s">
        <v>109</v>
      </c>
      <c r="T145" s="21">
        <v>100</v>
      </c>
      <c r="U145" s="21">
        <v>1.8</v>
      </c>
      <c r="V145" s="10">
        <v>0</v>
      </c>
      <c r="W145" s="21">
        <v>0</v>
      </c>
      <c r="X145" s="10" t="s">
        <v>102</v>
      </c>
      <c r="Y145" s="21">
        <v>2.5</v>
      </c>
      <c r="Z145" s="21">
        <v>3.1</v>
      </c>
      <c r="AA145" s="10">
        <v>2</v>
      </c>
      <c r="AB145" s="10" t="s">
        <v>102</v>
      </c>
      <c r="AC145" s="10" t="s">
        <v>102</v>
      </c>
      <c r="AD145" s="10" t="s">
        <v>103</v>
      </c>
      <c r="AE145" s="10" t="s">
        <v>126</v>
      </c>
      <c r="AF145" s="20">
        <f t="shared" si="25"/>
        <v>1.8235294117647061</v>
      </c>
      <c r="AG145" s="13">
        <f t="shared" si="18"/>
        <v>3</v>
      </c>
      <c r="AH145" s="7">
        <f t="shared" si="19"/>
        <v>10</v>
      </c>
      <c r="AI145" s="7">
        <f t="shared" si="20"/>
        <v>0</v>
      </c>
      <c r="AJ145" s="7">
        <f t="shared" si="21"/>
        <v>5</v>
      </c>
      <c r="AK145" s="7">
        <f t="shared" si="22"/>
        <v>6</v>
      </c>
      <c r="AL145" s="12">
        <f t="shared" si="24"/>
        <v>24</v>
      </c>
      <c r="AM145" s="14" t="str">
        <f t="shared" si="23"/>
        <v>Barrier</v>
      </c>
      <c r="AN145" s="10" t="s">
        <v>105</v>
      </c>
      <c r="AO145" s="21">
        <v>15</v>
      </c>
      <c r="AP145" s="10" t="s">
        <v>412</v>
      </c>
    </row>
    <row r="146" spans="1:42" ht="16">
      <c r="A146" s="53">
        <v>45198</v>
      </c>
      <c r="C146" s="10">
        <v>5400193</v>
      </c>
      <c r="D146" s="10" t="s">
        <v>147</v>
      </c>
      <c r="E146" s="11">
        <v>10</v>
      </c>
      <c r="F146" s="37">
        <v>352357</v>
      </c>
      <c r="G146" s="37">
        <v>5996976</v>
      </c>
      <c r="H146" s="11" t="s">
        <v>413</v>
      </c>
      <c r="I146" s="11" t="s">
        <v>98</v>
      </c>
      <c r="K146" s="11" t="s">
        <v>99</v>
      </c>
      <c r="L146" s="10" t="s">
        <v>100</v>
      </c>
      <c r="M146" s="10" t="s">
        <v>101</v>
      </c>
      <c r="N146" s="21">
        <v>4</v>
      </c>
      <c r="O146" s="21">
        <v>32</v>
      </c>
      <c r="P146" s="10" t="s">
        <v>102</v>
      </c>
      <c r="Q146" s="81"/>
      <c r="R146" s="10" t="s">
        <v>102</v>
      </c>
      <c r="S146" s="10" t="s">
        <v>109</v>
      </c>
      <c r="T146" s="21">
        <v>100</v>
      </c>
      <c r="U146" s="21">
        <v>2.2000000000000002</v>
      </c>
      <c r="V146" s="10">
        <v>0</v>
      </c>
      <c r="W146" s="21">
        <v>0</v>
      </c>
      <c r="X146" s="10" t="s">
        <v>102</v>
      </c>
      <c r="Y146" s="21">
        <v>1</v>
      </c>
      <c r="Z146" s="21">
        <v>8.4</v>
      </c>
      <c r="AA146" s="10">
        <v>1</v>
      </c>
      <c r="AB146" s="10" t="s">
        <v>102</v>
      </c>
      <c r="AC146" s="10" t="s">
        <v>102</v>
      </c>
      <c r="AD146" s="10" t="s">
        <v>103</v>
      </c>
      <c r="AE146" s="10" t="s">
        <v>104</v>
      </c>
      <c r="AF146" s="20">
        <f t="shared" si="25"/>
        <v>2.1</v>
      </c>
      <c r="AG146" s="13">
        <f t="shared" si="18"/>
        <v>6</v>
      </c>
      <c r="AH146" s="7">
        <f t="shared" si="19"/>
        <v>10</v>
      </c>
      <c r="AI146" s="7">
        <f t="shared" si="20"/>
        <v>0</v>
      </c>
      <c r="AJ146" s="7">
        <f t="shared" si="21"/>
        <v>5</v>
      </c>
      <c r="AK146" s="7">
        <f t="shared" si="22"/>
        <v>6</v>
      </c>
      <c r="AL146" s="12">
        <f t="shared" si="24"/>
        <v>27</v>
      </c>
      <c r="AM146" s="14" t="str">
        <f t="shared" si="23"/>
        <v>Barrier</v>
      </c>
      <c r="AN146" s="10" t="s">
        <v>105</v>
      </c>
      <c r="AO146" s="21">
        <v>15</v>
      </c>
      <c r="AP146" s="10" t="s">
        <v>414</v>
      </c>
    </row>
    <row r="147" spans="1:42" ht="32">
      <c r="A147" s="53">
        <v>45200</v>
      </c>
      <c r="C147" s="10">
        <v>9905144</v>
      </c>
      <c r="D147" s="10" t="s">
        <v>147</v>
      </c>
      <c r="E147" s="11">
        <v>10</v>
      </c>
      <c r="F147" s="37">
        <v>492375</v>
      </c>
      <c r="G147" s="37">
        <v>5956652</v>
      </c>
      <c r="H147" s="11" t="s">
        <v>415</v>
      </c>
      <c r="I147" s="11" t="s">
        <v>416</v>
      </c>
      <c r="K147" s="11" t="s">
        <v>112</v>
      </c>
      <c r="L147" s="10" t="s">
        <v>100</v>
      </c>
      <c r="M147" s="10" t="s">
        <v>101</v>
      </c>
      <c r="N147" s="21">
        <v>0.9</v>
      </c>
      <c r="O147" s="21">
        <v>16</v>
      </c>
      <c r="P147" s="10" t="s">
        <v>102</v>
      </c>
      <c r="Q147" s="81"/>
      <c r="R147" s="10" t="s">
        <v>102</v>
      </c>
      <c r="S147" s="10" t="s">
        <v>109</v>
      </c>
      <c r="T147" s="21">
        <v>100</v>
      </c>
      <c r="U147" s="21">
        <v>1.6</v>
      </c>
      <c r="V147" s="10">
        <v>0</v>
      </c>
      <c r="W147" s="21">
        <v>0.5</v>
      </c>
      <c r="X147" s="10" t="s">
        <v>102</v>
      </c>
      <c r="Y147" s="21">
        <v>1.5</v>
      </c>
      <c r="Z147" s="21">
        <v>1</v>
      </c>
      <c r="AA147" s="10">
        <v>1</v>
      </c>
      <c r="AB147" s="10" t="s">
        <v>109</v>
      </c>
      <c r="AC147" s="10" t="s">
        <v>102</v>
      </c>
      <c r="AD147" s="10" t="s">
        <v>103</v>
      </c>
      <c r="AE147" s="10" t="s">
        <v>118</v>
      </c>
      <c r="AF147" s="20">
        <f t="shared" si="25"/>
        <v>1.1111111111111112</v>
      </c>
      <c r="AG147" s="13">
        <f t="shared" si="18"/>
        <v>3</v>
      </c>
      <c r="AH147" s="7">
        <f t="shared" si="19"/>
        <v>10</v>
      </c>
      <c r="AI147" s="7">
        <f t="shared" si="20"/>
        <v>0</v>
      </c>
      <c r="AJ147" s="7">
        <f t="shared" si="21"/>
        <v>5</v>
      </c>
      <c r="AK147" s="7">
        <f t="shared" si="22"/>
        <v>3</v>
      </c>
      <c r="AL147" s="12">
        <f t="shared" si="24"/>
        <v>21</v>
      </c>
      <c r="AM147" s="14" t="str">
        <f t="shared" si="23"/>
        <v>Barrier</v>
      </c>
      <c r="AN147" s="10" t="s">
        <v>113</v>
      </c>
      <c r="AO147" s="21">
        <v>3</v>
      </c>
      <c r="AP147" s="10" t="s">
        <v>417</v>
      </c>
    </row>
    <row r="148" spans="1:42" ht="32">
      <c r="A148" s="53">
        <v>45202</v>
      </c>
      <c r="C148" s="10">
        <v>13900028</v>
      </c>
      <c r="D148" s="10" t="s">
        <v>96</v>
      </c>
      <c r="E148" s="11">
        <v>10</v>
      </c>
      <c r="F148" s="37">
        <v>612135</v>
      </c>
      <c r="G148" s="37">
        <v>5967623</v>
      </c>
      <c r="H148" s="11" t="s">
        <v>284</v>
      </c>
      <c r="I148" s="11" t="s">
        <v>418</v>
      </c>
      <c r="K148" s="11" t="s">
        <v>419</v>
      </c>
      <c r="L148" s="10" t="s">
        <v>100</v>
      </c>
      <c r="M148" s="10" t="s">
        <v>101</v>
      </c>
      <c r="N148" s="21">
        <v>1.4</v>
      </c>
      <c r="O148" s="21">
        <v>10</v>
      </c>
      <c r="P148" s="10" t="s">
        <v>102</v>
      </c>
      <c r="Q148" s="81"/>
      <c r="R148" s="10" t="s">
        <v>102</v>
      </c>
      <c r="S148" s="10" t="s">
        <v>109</v>
      </c>
      <c r="T148" s="21">
        <v>40</v>
      </c>
      <c r="U148" s="21">
        <v>0.3</v>
      </c>
      <c r="V148" s="10">
        <v>0</v>
      </c>
      <c r="W148" s="21">
        <v>1</v>
      </c>
      <c r="X148" s="10" t="s">
        <v>102</v>
      </c>
      <c r="Y148" s="21">
        <v>1.5</v>
      </c>
      <c r="Z148" s="21">
        <v>3.4</v>
      </c>
      <c r="AA148" s="10">
        <v>3</v>
      </c>
      <c r="AB148" s="10" t="s">
        <v>102</v>
      </c>
      <c r="AC148" s="10" t="s">
        <v>102</v>
      </c>
      <c r="AD148" s="10" t="s">
        <v>103</v>
      </c>
      <c r="AE148" s="10" t="s">
        <v>104</v>
      </c>
      <c r="AF148" s="20">
        <f t="shared" si="25"/>
        <v>2.4285714285714288</v>
      </c>
      <c r="AG148" s="13">
        <f t="shared" si="18"/>
        <v>0</v>
      </c>
      <c r="AH148" s="7">
        <f t="shared" si="19"/>
        <v>10</v>
      </c>
      <c r="AI148" s="7">
        <f t="shared" si="20"/>
        <v>0</v>
      </c>
      <c r="AJ148" s="7">
        <f t="shared" si="21"/>
        <v>5</v>
      </c>
      <c r="AK148" s="7">
        <f t="shared" si="22"/>
        <v>6</v>
      </c>
      <c r="AL148" s="12">
        <f t="shared" si="24"/>
        <v>21</v>
      </c>
      <c r="AM148" s="14" t="str">
        <f t="shared" si="23"/>
        <v>Barrier</v>
      </c>
      <c r="AN148" s="10" t="s">
        <v>105</v>
      </c>
      <c r="AO148" s="21">
        <v>15</v>
      </c>
      <c r="AP148" s="10" t="s">
        <v>420</v>
      </c>
    </row>
    <row r="149" spans="1:42" ht="32">
      <c r="A149" s="53">
        <v>45202</v>
      </c>
      <c r="C149" s="10">
        <v>13900308</v>
      </c>
      <c r="D149" s="10" t="s">
        <v>147</v>
      </c>
      <c r="E149" s="11">
        <v>10</v>
      </c>
      <c r="F149" s="37">
        <v>607110</v>
      </c>
      <c r="G149" s="37">
        <v>5971294</v>
      </c>
      <c r="H149" s="11" t="s">
        <v>284</v>
      </c>
      <c r="I149" s="11" t="s">
        <v>285</v>
      </c>
      <c r="K149" s="11" t="s">
        <v>286</v>
      </c>
      <c r="L149" s="10" t="s">
        <v>100</v>
      </c>
      <c r="M149" s="10" t="s">
        <v>101</v>
      </c>
      <c r="N149" s="21">
        <v>2</v>
      </c>
      <c r="O149" s="21">
        <v>8.5</v>
      </c>
      <c r="P149" s="10" t="s">
        <v>102</v>
      </c>
      <c r="Q149" s="81"/>
      <c r="R149" s="10" t="s">
        <v>102</v>
      </c>
      <c r="S149" s="10" t="s">
        <v>109</v>
      </c>
      <c r="T149" s="21">
        <v>100</v>
      </c>
      <c r="U149" s="21">
        <v>0.7</v>
      </c>
      <c r="V149" s="10">
        <v>0</v>
      </c>
      <c r="W149" s="21">
        <v>0.6</v>
      </c>
      <c r="X149" s="10" t="s">
        <v>102</v>
      </c>
      <c r="Y149" s="21">
        <v>0</v>
      </c>
      <c r="Z149" s="21">
        <v>5.9</v>
      </c>
      <c r="AA149" s="10">
        <v>3</v>
      </c>
      <c r="AB149" s="10" t="s">
        <v>102</v>
      </c>
      <c r="AC149" s="10" t="s">
        <v>109</v>
      </c>
      <c r="AD149" s="10" t="s">
        <v>103</v>
      </c>
      <c r="AE149" s="10" t="s">
        <v>126</v>
      </c>
      <c r="AF149" s="20">
        <f t="shared" si="25"/>
        <v>2.95</v>
      </c>
      <c r="AG149" s="13">
        <f t="shared" si="18"/>
        <v>0</v>
      </c>
      <c r="AH149" s="7">
        <f t="shared" si="19"/>
        <v>10</v>
      </c>
      <c r="AI149" s="7">
        <f t="shared" si="20"/>
        <v>0</v>
      </c>
      <c r="AJ149" s="7">
        <f t="shared" si="21"/>
        <v>0</v>
      </c>
      <c r="AK149" s="7">
        <f t="shared" si="22"/>
        <v>6</v>
      </c>
      <c r="AL149" s="12">
        <f t="shared" si="24"/>
        <v>16</v>
      </c>
      <c r="AM149" s="14" t="str">
        <f t="shared" si="23"/>
        <v>Potential</v>
      </c>
      <c r="AN149" s="10" t="s">
        <v>105</v>
      </c>
      <c r="AO149" s="21">
        <v>15</v>
      </c>
      <c r="AP149" s="10" t="s">
        <v>421</v>
      </c>
    </row>
    <row r="150" spans="1:42" ht="16">
      <c r="A150" s="53">
        <v>45202</v>
      </c>
      <c r="C150" s="10">
        <v>13900252</v>
      </c>
      <c r="D150" s="10" t="s">
        <v>147</v>
      </c>
      <c r="E150" s="11">
        <v>10</v>
      </c>
      <c r="F150" s="37">
        <v>590794</v>
      </c>
      <c r="G150" s="37">
        <v>5982763</v>
      </c>
      <c r="H150" s="11" t="s">
        <v>422</v>
      </c>
      <c r="I150" s="11" t="s">
        <v>305</v>
      </c>
      <c r="K150" s="11" t="s">
        <v>99</v>
      </c>
      <c r="L150" s="10" t="s">
        <v>100</v>
      </c>
      <c r="M150" s="10" t="s">
        <v>101</v>
      </c>
      <c r="N150" s="21">
        <v>3.3</v>
      </c>
      <c r="O150" s="21">
        <v>7</v>
      </c>
      <c r="P150" s="10" t="s">
        <v>102</v>
      </c>
      <c r="Q150" s="81"/>
      <c r="R150" s="10" t="s">
        <v>102</v>
      </c>
      <c r="S150" s="10" t="s">
        <v>109</v>
      </c>
      <c r="T150" s="21">
        <v>100</v>
      </c>
      <c r="U150" s="21">
        <v>1</v>
      </c>
      <c r="V150" s="10">
        <v>0</v>
      </c>
      <c r="W150" s="21">
        <v>0</v>
      </c>
      <c r="X150" s="10" t="s">
        <v>102</v>
      </c>
      <c r="Y150" s="21">
        <v>1</v>
      </c>
      <c r="Z150" s="21">
        <v>4.0999999999999996</v>
      </c>
      <c r="AA150" s="10">
        <v>2</v>
      </c>
      <c r="AB150" s="10" t="s">
        <v>102</v>
      </c>
      <c r="AC150" s="10" t="s">
        <v>102</v>
      </c>
      <c r="AD150" s="10" t="s">
        <v>103</v>
      </c>
      <c r="AE150" s="10" t="s">
        <v>126</v>
      </c>
      <c r="AF150" s="20">
        <f t="shared" si="25"/>
        <v>1.2424242424242424</v>
      </c>
      <c r="AG150" s="13">
        <f t="shared" si="18"/>
        <v>0</v>
      </c>
      <c r="AH150" s="7">
        <f t="shared" si="19"/>
        <v>10</v>
      </c>
      <c r="AI150" s="7">
        <f t="shared" si="20"/>
        <v>0</v>
      </c>
      <c r="AJ150" s="7">
        <f t="shared" si="21"/>
        <v>5</v>
      </c>
      <c r="AK150" s="7">
        <f t="shared" si="22"/>
        <v>3</v>
      </c>
      <c r="AL150" s="12">
        <f t="shared" si="24"/>
        <v>18</v>
      </c>
      <c r="AM150" s="14" t="str">
        <f t="shared" si="23"/>
        <v>Potential</v>
      </c>
      <c r="AN150" s="10" t="s">
        <v>105</v>
      </c>
      <c r="AO150" s="21">
        <v>15</v>
      </c>
      <c r="AP150" s="10" t="s">
        <v>423</v>
      </c>
    </row>
    <row r="151" spans="1:42" ht="32">
      <c r="A151" s="53">
        <v>45202</v>
      </c>
      <c r="C151" s="10">
        <v>13900050</v>
      </c>
      <c r="D151" s="10" t="s">
        <v>147</v>
      </c>
      <c r="E151" s="11">
        <v>10</v>
      </c>
      <c r="F151" s="37">
        <v>582105</v>
      </c>
      <c r="G151" s="37">
        <v>5989825</v>
      </c>
      <c r="H151" s="11" t="s">
        <v>284</v>
      </c>
      <c r="I151" s="11" t="s">
        <v>305</v>
      </c>
      <c r="K151" s="11" t="s">
        <v>99</v>
      </c>
      <c r="L151" s="10" t="s">
        <v>100</v>
      </c>
      <c r="M151" s="10" t="s">
        <v>101</v>
      </c>
      <c r="N151" s="21">
        <v>0.8</v>
      </c>
      <c r="O151" s="21">
        <v>12</v>
      </c>
      <c r="P151" s="10" t="s">
        <v>102</v>
      </c>
      <c r="Q151" s="81"/>
      <c r="R151" s="10" t="s">
        <v>102</v>
      </c>
      <c r="S151" s="10" t="s">
        <v>109</v>
      </c>
      <c r="T151" s="21">
        <v>100</v>
      </c>
      <c r="U151" s="21">
        <v>1.2</v>
      </c>
      <c r="V151" s="10">
        <v>0</v>
      </c>
      <c r="W151" s="21">
        <v>0</v>
      </c>
      <c r="X151" s="10" t="s">
        <v>102</v>
      </c>
      <c r="Y151" s="21">
        <v>2</v>
      </c>
      <c r="Z151" s="21">
        <v>1.2</v>
      </c>
      <c r="AA151" s="10">
        <v>1.5</v>
      </c>
      <c r="AB151" s="10" t="s">
        <v>102</v>
      </c>
      <c r="AC151" s="10" t="s">
        <v>102</v>
      </c>
      <c r="AD151" s="10" t="s">
        <v>103</v>
      </c>
      <c r="AE151" s="10" t="s">
        <v>118</v>
      </c>
      <c r="AF151" s="20">
        <f t="shared" si="25"/>
        <v>1.4999999999999998</v>
      </c>
      <c r="AG151" s="13">
        <f t="shared" si="18"/>
        <v>0</v>
      </c>
      <c r="AH151" s="7">
        <f t="shared" si="19"/>
        <v>10</v>
      </c>
      <c r="AI151" s="7">
        <f t="shared" si="20"/>
        <v>0</v>
      </c>
      <c r="AJ151" s="7">
        <f t="shared" si="21"/>
        <v>5</v>
      </c>
      <c r="AK151" s="7">
        <f t="shared" si="22"/>
        <v>6</v>
      </c>
      <c r="AL151" s="12">
        <f t="shared" si="24"/>
        <v>21</v>
      </c>
      <c r="AM151" s="14" t="str">
        <f t="shared" si="23"/>
        <v>Barrier</v>
      </c>
      <c r="AN151" s="10" t="s">
        <v>113</v>
      </c>
      <c r="AO151" s="21">
        <v>3</v>
      </c>
      <c r="AP151" s="10" t="s">
        <v>424</v>
      </c>
    </row>
    <row r="152" spans="1:42" ht="16">
      <c r="A152" s="53">
        <v>45202</v>
      </c>
      <c r="C152" s="10">
        <v>13900283</v>
      </c>
      <c r="D152" s="10" t="s">
        <v>96</v>
      </c>
      <c r="E152" s="11">
        <v>10</v>
      </c>
      <c r="F152" s="37">
        <v>558697</v>
      </c>
      <c r="G152" s="37">
        <v>5995816</v>
      </c>
      <c r="H152" s="11" t="s">
        <v>425</v>
      </c>
      <c r="I152" s="11" t="s">
        <v>305</v>
      </c>
      <c r="K152" s="11" t="s">
        <v>99</v>
      </c>
      <c r="L152" s="10" t="s">
        <v>100</v>
      </c>
      <c r="M152" s="10" t="s">
        <v>101</v>
      </c>
      <c r="N152" s="21">
        <v>2</v>
      </c>
      <c r="O152" s="21">
        <v>14</v>
      </c>
      <c r="P152" s="10" t="s">
        <v>102</v>
      </c>
      <c r="Q152" s="81"/>
      <c r="R152" s="10" t="s">
        <v>102</v>
      </c>
      <c r="S152" s="10" t="s">
        <v>109</v>
      </c>
      <c r="T152" s="21">
        <v>100</v>
      </c>
      <c r="U152" s="21">
        <v>2.5</v>
      </c>
      <c r="V152" s="10">
        <v>0</v>
      </c>
      <c r="W152" s="21">
        <v>0.7</v>
      </c>
      <c r="X152" s="10" t="s">
        <v>102</v>
      </c>
      <c r="Y152" s="21">
        <v>0</v>
      </c>
      <c r="Z152" s="21">
        <v>2.5</v>
      </c>
      <c r="AA152" s="10">
        <v>0</v>
      </c>
      <c r="AB152" s="10" t="s">
        <v>109</v>
      </c>
      <c r="AC152" s="10" t="s">
        <v>102</v>
      </c>
      <c r="AD152" s="10" t="s">
        <v>103</v>
      </c>
      <c r="AE152" s="10" t="s">
        <v>104</v>
      </c>
      <c r="AF152" s="20">
        <f t="shared" si="25"/>
        <v>1.25</v>
      </c>
      <c r="AG152" s="13">
        <f t="shared" si="18"/>
        <v>0</v>
      </c>
      <c r="AH152" s="7">
        <f t="shared" si="19"/>
        <v>10</v>
      </c>
      <c r="AI152" s="7">
        <f t="shared" si="20"/>
        <v>0</v>
      </c>
      <c r="AJ152" s="7">
        <f t="shared" si="21"/>
        <v>0</v>
      </c>
      <c r="AK152" s="7">
        <f t="shared" si="22"/>
        <v>3</v>
      </c>
      <c r="AL152" s="12">
        <f t="shared" si="24"/>
        <v>13</v>
      </c>
      <c r="AM152" s="14" t="str">
        <f t="shared" si="23"/>
        <v>Passable</v>
      </c>
      <c r="AP152" s="10" t="s">
        <v>426</v>
      </c>
    </row>
    <row r="153" spans="1:42" ht="32">
      <c r="A153" s="53">
        <v>45203</v>
      </c>
      <c r="C153" s="10">
        <v>13903627</v>
      </c>
      <c r="D153" s="10" t="s">
        <v>147</v>
      </c>
      <c r="E153" s="11">
        <v>10</v>
      </c>
      <c r="F153" s="37">
        <v>579525</v>
      </c>
      <c r="G153" s="37">
        <v>5977412</v>
      </c>
      <c r="H153" s="11" t="s">
        <v>312</v>
      </c>
      <c r="I153" s="11" t="s">
        <v>313</v>
      </c>
      <c r="K153" s="11" t="s">
        <v>427</v>
      </c>
      <c r="L153" s="10" t="s">
        <v>100</v>
      </c>
      <c r="M153" s="10" t="s">
        <v>101</v>
      </c>
      <c r="N153" s="21">
        <v>0.7</v>
      </c>
      <c r="O153" s="21">
        <v>16</v>
      </c>
      <c r="P153" s="10" t="s">
        <v>102</v>
      </c>
      <c r="Q153" s="81"/>
      <c r="R153" s="10" t="s">
        <v>102</v>
      </c>
      <c r="S153" s="10" t="s">
        <v>109</v>
      </c>
      <c r="T153" s="21">
        <v>100</v>
      </c>
      <c r="U153" s="21">
        <v>1.5</v>
      </c>
      <c r="V153" s="10">
        <v>0</v>
      </c>
      <c r="W153" s="21">
        <v>0</v>
      </c>
      <c r="X153" s="10" t="s">
        <v>102</v>
      </c>
      <c r="Y153" s="21">
        <v>1</v>
      </c>
      <c r="Z153" s="21">
        <v>2.1</v>
      </c>
      <c r="AA153" s="10">
        <v>0</v>
      </c>
      <c r="AB153" s="10" t="s">
        <v>102</v>
      </c>
      <c r="AC153" s="10" t="s">
        <v>102</v>
      </c>
      <c r="AD153" s="10" t="s">
        <v>103</v>
      </c>
      <c r="AE153" s="10" t="s">
        <v>118</v>
      </c>
      <c r="AF153" s="20">
        <f t="shared" si="25"/>
        <v>3.0000000000000004</v>
      </c>
      <c r="AG153" s="13">
        <f t="shared" si="18"/>
        <v>3</v>
      </c>
      <c r="AH153" s="7">
        <f t="shared" si="19"/>
        <v>10</v>
      </c>
      <c r="AI153" s="7">
        <f t="shared" si="20"/>
        <v>0</v>
      </c>
      <c r="AJ153" s="7">
        <f t="shared" si="21"/>
        <v>5</v>
      </c>
      <c r="AK153" s="7">
        <f t="shared" si="22"/>
        <v>6</v>
      </c>
      <c r="AL153" s="12">
        <f t="shared" si="24"/>
        <v>24</v>
      </c>
      <c r="AM153" s="14" t="str">
        <f t="shared" si="23"/>
        <v>Barrier</v>
      </c>
      <c r="AN153" s="10" t="s">
        <v>105</v>
      </c>
      <c r="AO153" s="21">
        <v>15</v>
      </c>
      <c r="AP153" s="10" t="s">
        <v>428</v>
      </c>
    </row>
    <row r="154" spans="1:42" ht="32">
      <c r="A154" s="53">
        <v>45203</v>
      </c>
      <c r="C154" s="10">
        <v>13903618</v>
      </c>
      <c r="D154" s="10" t="s">
        <v>96</v>
      </c>
      <c r="E154" s="11">
        <v>10</v>
      </c>
      <c r="F154" s="37">
        <v>578804</v>
      </c>
      <c r="G154" s="37">
        <v>5973956</v>
      </c>
      <c r="H154" s="11" t="s">
        <v>312</v>
      </c>
      <c r="I154" s="11" t="s">
        <v>313</v>
      </c>
      <c r="J154" s="22">
        <v>31</v>
      </c>
      <c r="K154" s="11" t="s">
        <v>427</v>
      </c>
      <c r="L154" s="10" t="s">
        <v>100</v>
      </c>
      <c r="M154" s="10" t="s">
        <v>101</v>
      </c>
      <c r="N154" s="21">
        <v>0.9</v>
      </c>
      <c r="O154" s="21">
        <v>18</v>
      </c>
      <c r="P154" s="10" t="s">
        <v>102</v>
      </c>
      <c r="Q154" s="81"/>
      <c r="R154" s="10" t="s">
        <v>102</v>
      </c>
      <c r="S154" s="10" t="s">
        <v>109</v>
      </c>
      <c r="T154" s="21">
        <v>50</v>
      </c>
      <c r="U154" s="21">
        <v>1.4</v>
      </c>
      <c r="V154" s="10">
        <v>0</v>
      </c>
      <c r="W154" s="21">
        <v>0.5</v>
      </c>
      <c r="X154" s="10" t="s">
        <v>102</v>
      </c>
      <c r="Y154" s="21">
        <v>4</v>
      </c>
      <c r="Z154" s="21">
        <v>1.8</v>
      </c>
      <c r="AA154" s="10">
        <v>1.5</v>
      </c>
      <c r="AB154" s="10" t="s">
        <v>109</v>
      </c>
      <c r="AC154" s="10" t="s">
        <v>102</v>
      </c>
      <c r="AD154" s="10" t="s">
        <v>103</v>
      </c>
      <c r="AE154" s="10" t="s">
        <v>104</v>
      </c>
      <c r="AF154" s="20">
        <f t="shared" si="25"/>
        <v>2</v>
      </c>
      <c r="AG154" s="13">
        <f t="shared" si="18"/>
        <v>3</v>
      </c>
      <c r="AH154" s="7">
        <f t="shared" si="19"/>
        <v>10</v>
      </c>
      <c r="AI154" s="7">
        <f t="shared" si="20"/>
        <v>0</v>
      </c>
      <c r="AJ154" s="7">
        <f t="shared" si="21"/>
        <v>10</v>
      </c>
      <c r="AK154" s="7">
        <f t="shared" si="22"/>
        <v>6</v>
      </c>
      <c r="AL154" s="12">
        <f t="shared" si="24"/>
        <v>29</v>
      </c>
      <c r="AM154" s="14" t="str">
        <f t="shared" si="23"/>
        <v>Barrier</v>
      </c>
      <c r="AN154" s="10" t="s">
        <v>113</v>
      </c>
      <c r="AO154" s="21">
        <v>3</v>
      </c>
      <c r="AP154" s="10" t="s">
        <v>429</v>
      </c>
    </row>
    <row r="155" spans="1:42" ht="32">
      <c r="A155" s="53">
        <v>45203</v>
      </c>
      <c r="C155" s="10">
        <v>13900193</v>
      </c>
      <c r="D155" s="10" t="s">
        <v>147</v>
      </c>
      <c r="E155" s="11">
        <v>10</v>
      </c>
      <c r="F155" s="37">
        <v>585722</v>
      </c>
      <c r="G155" s="37">
        <v>5973394</v>
      </c>
      <c r="H155" s="11" t="s">
        <v>312</v>
      </c>
      <c r="I155" s="11" t="s">
        <v>98</v>
      </c>
      <c r="K155" s="11" t="s">
        <v>99</v>
      </c>
      <c r="L155" s="10" t="s">
        <v>100</v>
      </c>
      <c r="M155" s="10" t="s">
        <v>101</v>
      </c>
      <c r="N155" s="21">
        <v>1.2</v>
      </c>
      <c r="O155" s="21">
        <v>21</v>
      </c>
      <c r="P155" s="10" t="s">
        <v>102</v>
      </c>
      <c r="Q155" s="81"/>
      <c r="R155" s="10" t="s">
        <v>102</v>
      </c>
      <c r="S155" s="10" t="s">
        <v>109</v>
      </c>
      <c r="U155" s="21">
        <v>1.2</v>
      </c>
      <c r="V155" s="10">
        <v>0</v>
      </c>
      <c r="W155" s="21">
        <v>0</v>
      </c>
      <c r="X155" s="10" t="s">
        <v>109</v>
      </c>
      <c r="Y155" s="21">
        <v>4</v>
      </c>
      <c r="Z155" s="21">
        <v>2.1</v>
      </c>
      <c r="AA155" s="10">
        <v>5</v>
      </c>
      <c r="AB155" s="10" t="s">
        <v>102</v>
      </c>
      <c r="AC155" s="10" t="s">
        <v>109</v>
      </c>
      <c r="AD155" s="10" t="s">
        <v>103</v>
      </c>
      <c r="AE155" s="10" t="s">
        <v>126</v>
      </c>
      <c r="AF155" s="20">
        <f t="shared" si="25"/>
        <v>1.7500000000000002</v>
      </c>
      <c r="AG155" s="13">
        <f t="shared" si="18"/>
        <v>3</v>
      </c>
      <c r="AH155" s="7">
        <f t="shared" si="19"/>
        <v>10</v>
      </c>
      <c r="AI155" s="7">
        <f t="shared" si="20"/>
        <v>0</v>
      </c>
      <c r="AJ155" s="7">
        <f t="shared" si="21"/>
        <v>10</v>
      </c>
      <c r="AK155" s="7">
        <f t="shared" si="22"/>
        <v>6</v>
      </c>
      <c r="AL155" s="12">
        <f t="shared" si="24"/>
        <v>29</v>
      </c>
      <c r="AM155" s="14" t="str">
        <f t="shared" si="23"/>
        <v>Barrier</v>
      </c>
      <c r="AN155" s="10" t="s">
        <v>105</v>
      </c>
      <c r="AO155" s="21">
        <v>15</v>
      </c>
      <c r="AP155" s="10" t="s">
        <v>430</v>
      </c>
    </row>
    <row r="156" spans="1:42" ht="16">
      <c r="A156" s="53">
        <v>45204</v>
      </c>
      <c r="C156" s="10">
        <v>13903148</v>
      </c>
      <c r="D156" s="10" t="s">
        <v>147</v>
      </c>
      <c r="E156" s="11">
        <v>10</v>
      </c>
      <c r="F156" s="37">
        <v>689760</v>
      </c>
      <c r="G156" s="37">
        <v>5909638</v>
      </c>
      <c r="H156" s="11" t="s">
        <v>348</v>
      </c>
      <c r="I156" s="11" t="s">
        <v>98</v>
      </c>
      <c r="K156" s="11" t="s">
        <v>99</v>
      </c>
      <c r="L156" s="10" t="s">
        <v>100</v>
      </c>
      <c r="M156" s="10" t="s">
        <v>101</v>
      </c>
      <c r="N156" s="21">
        <v>1.05</v>
      </c>
      <c r="O156" s="21">
        <v>32</v>
      </c>
      <c r="P156" s="10" t="s">
        <v>102</v>
      </c>
      <c r="Q156" s="81"/>
      <c r="R156" s="10" t="s">
        <v>102</v>
      </c>
      <c r="S156" s="10" t="s">
        <v>109</v>
      </c>
      <c r="T156" s="21">
        <v>100</v>
      </c>
      <c r="U156" s="21">
        <v>1.3</v>
      </c>
      <c r="V156" s="10">
        <v>0</v>
      </c>
      <c r="W156" s="21">
        <v>0</v>
      </c>
      <c r="X156" s="10" t="s">
        <v>102</v>
      </c>
      <c r="Y156" s="21">
        <v>0</v>
      </c>
      <c r="Z156" s="21">
        <v>2.9</v>
      </c>
      <c r="AA156" s="10">
        <v>0</v>
      </c>
      <c r="AB156" s="10" t="s">
        <v>102</v>
      </c>
      <c r="AC156" s="10" t="s">
        <v>102</v>
      </c>
      <c r="AD156" s="10" t="s">
        <v>103</v>
      </c>
      <c r="AE156" s="10" t="s">
        <v>118</v>
      </c>
      <c r="AF156" s="20">
        <f t="shared" si="25"/>
        <v>2.7619047619047619</v>
      </c>
      <c r="AG156" s="13">
        <f t="shared" si="18"/>
        <v>6</v>
      </c>
      <c r="AH156" s="7">
        <f t="shared" si="19"/>
        <v>10</v>
      </c>
      <c r="AI156" s="7">
        <f t="shared" si="20"/>
        <v>0</v>
      </c>
      <c r="AJ156" s="7">
        <f t="shared" si="21"/>
        <v>0</v>
      </c>
      <c r="AK156" s="7">
        <f t="shared" si="22"/>
        <v>6</v>
      </c>
      <c r="AL156" s="12">
        <f t="shared" si="24"/>
        <v>22</v>
      </c>
      <c r="AM156" s="14" t="str">
        <f t="shared" si="23"/>
        <v>Barrier</v>
      </c>
      <c r="AN156" s="10" t="s">
        <v>105</v>
      </c>
      <c r="AO156" s="21">
        <v>15</v>
      </c>
      <c r="AP156" s="10" t="s">
        <v>431</v>
      </c>
    </row>
    <row r="157" spans="1:42" ht="16">
      <c r="A157" s="53">
        <v>45204</v>
      </c>
      <c r="C157" s="10">
        <v>22200015</v>
      </c>
      <c r="D157" s="10" t="s">
        <v>96</v>
      </c>
      <c r="E157" s="11">
        <v>11</v>
      </c>
      <c r="F157" s="37">
        <v>345011</v>
      </c>
      <c r="G157" s="37">
        <v>5860593</v>
      </c>
      <c r="H157" s="11" t="s">
        <v>355</v>
      </c>
      <c r="I157" s="11" t="s">
        <v>360</v>
      </c>
      <c r="K157" s="11" t="s">
        <v>99</v>
      </c>
      <c r="L157" s="10" t="s">
        <v>100</v>
      </c>
      <c r="M157" s="10" t="s">
        <v>101</v>
      </c>
      <c r="N157" s="21">
        <v>0.9</v>
      </c>
      <c r="O157" s="21">
        <v>67</v>
      </c>
      <c r="P157" s="10" t="s">
        <v>102</v>
      </c>
      <c r="Q157" s="81"/>
      <c r="R157" s="10" t="s">
        <v>102</v>
      </c>
      <c r="S157" s="10" t="s">
        <v>109</v>
      </c>
      <c r="T157" s="21">
        <v>10</v>
      </c>
      <c r="U157" s="21">
        <v>7.5</v>
      </c>
      <c r="V157" s="10">
        <v>0</v>
      </c>
      <c r="W157" s="21">
        <v>1</v>
      </c>
      <c r="X157" s="10" t="s">
        <v>102</v>
      </c>
      <c r="Y157" s="21">
        <v>3</v>
      </c>
      <c r="Z157" s="21">
        <v>1.8</v>
      </c>
      <c r="AA157" s="10">
        <v>1.5</v>
      </c>
      <c r="AB157" s="10" t="s">
        <v>109</v>
      </c>
      <c r="AC157" s="10" t="s">
        <v>102</v>
      </c>
      <c r="AD157" s="10" t="s">
        <v>103</v>
      </c>
      <c r="AE157" s="10" t="s">
        <v>104</v>
      </c>
      <c r="AF157" s="20">
        <f t="shared" si="25"/>
        <v>2</v>
      </c>
      <c r="AG157" s="13">
        <f t="shared" si="18"/>
        <v>6</v>
      </c>
      <c r="AH157" s="7">
        <f t="shared" si="19"/>
        <v>10</v>
      </c>
      <c r="AI157" s="7">
        <f t="shared" si="20"/>
        <v>0</v>
      </c>
      <c r="AJ157" s="7">
        <f t="shared" si="21"/>
        <v>10</v>
      </c>
      <c r="AK157" s="7">
        <f t="shared" si="22"/>
        <v>6</v>
      </c>
      <c r="AL157" s="12">
        <f t="shared" si="24"/>
        <v>32</v>
      </c>
      <c r="AM157" s="14" t="str">
        <f t="shared" si="23"/>
        <v>Barrier</v>
      </c>
      <c r="AN157" s="10" t="s">
        <v>113</v>
      </c>
      <c r="AO157" s="21">
        <v>3</v>
      </c>
      <c r="AP157" s="10" t="s">
        <v>432</v>
      </c>
    </row>
    <row r="158" spans="1:42" ht="16">
      <c r="A158" s="53">
        <v>45197</v>
      </c>
      <c r="C158" s="10">
        <v>5400179</v>
      </c>
      <c r="D158" s="10" t="s">
        <v>96</v>
      </c>
      <c r="E158" s="11">
        <v>10</v>
      </c>
      <c r="F158" s="37">
        <v>319471</v>
      </c>
      <c r="G158" s="37">
        <v>6012988</v>
      </c>
      <c r="H158" s="11" t="s">
        <v>433</v>
      </c>
      <c r="I158" s="11" t="s">
        <v>434</v>
      </c>
      <c r="K158" s="11" t="s">
        <v>237</v>
      </c>
      <c r="L158" s="10" t="s">
        <v>100</v>
      </c>
      <c r="M158" s="10" t="s">
        <v>101</v>
      </c>
      <c r="N158" s="21">
        <v>4.5</v>
      </c>
      <c r="O158" s="21">
        <v>37.5</v>
      </c>
      <c r="P158" s="10" t="s">
        <v>109</v>
      </c>
      <c r="Q158" s="21">
        <v>0.75</v>
      </c>
      <c r="R158" s="10" t="s">
        <v>109</v>
      </c>
      <c r="S158" s="10" t="s">
        <v>102</v>
      </c>
      <c r="T158" s="81"/>
      <c r="U158" s="21">
        <v>1.5</v>
      </c>
      <c r="V158" s="10">
        <v>0</v>
      </c>
      <c r="W158" s="21">
        <v>0</v>
      </c>
      <c r="X158" s="10" t="s">
        <v>102</v>
      </c>
      <c r="Y158" s="21">
        <v>0</v>
      </c>
      <c r="Z158" s="21">
        <v>2.8</v>
      </c>
      <c r="AA158" s="10">
        <v>0</v>
      </c>
      <c r="AB158" s="10" t="s">
        <v>109</v>
      </c>
      <c r="AC158" s="10" t="s">
        <v>102</v>
      </c>
      <c r="AD158" s="10" t="s">
        <v>103</v>
      </c>
      <c r="AE158" s="10" t="s">
        <v>104</v>
      </c>
      <c r="AF158" s="20">
        <f t="shared" si="25"/>
        <v>0.62222222222222223</v>
      </c>
      <c r="AG158" s="13">
        <f t="shared" si="18"/>
        <v>6</v>
      </c>
      <c r="AH158" s="7">
        <f t="shared" si="19"/>
        <v>5</v>
      </c>
      <c r="AI158" s="7">
        <f t="shared" si="20"/>
        <v>0</v>
      </c>
      <c r="AJ158" s="7">
        <f t="shared" si="21"/>
        <v>0</v>
      </c>
      <c r="AK158" s="7">
        <f t="shared" si="22"/>
        <v>0</v>
      </c>
      <c r="AL158" s="12">
        <f t="shared" si="24"/>
        <v>11</v>
      </c>
      <c r="AM158" s="14" t="str">
        <f t="shared" si="23"/>
        <v>Passable</v>
      </c>
      <c r="AP158" s="10" t="s">
        <v>435</v>
      </c>
    </row>
    <row r="159" spans="1:42" ht="16">
      <c r="A159" s="53">
        <v>45178</v>
      </c>
      <c r="C159" s="10">
        <v>15600147</v>
      </c>
      <c r="D159" s="10" t="s">
        <v>147</v>
      </c>
      <c r="E159" s="11">
        <v>10</v>
      </c>
      <c r="F159" s="37">
        <v>438071</v>
      </c>
      <c r="G159" s="37">
        <v>5986296</v>
      </c>
      <c r="H159" s="11" t="s">
        <v>163</v>
      </c>
      <c r="I159" s="11" t="s">
        <v>436</v>
      </c>
      <c r="K159" s="11" t="s">
        <v>150</v>
      </c>
      <c r="L159" s="10" t="s">
        <v>100</v>
      </c>
      <c r="M159" s="10" t="s">
        <v>101</v>
      </c>
      <c r="N159" s="21">
        <v>2.7</v>
      </c>
      <c r="O159" s="21">
        <v>16</v>
      </c>
      <c r="P159" s="10" t="s">
        <v>109</v>
      </c>
      <c r="Q159" s="21">
        <v>0.3</v>
      </c>
      <c r="R159" s="10" t="s">
        <v>102</v>
      </c>
      <c r="S159" s="10" t="s">
        <v>102</v>
      </c>
      <c r="T159" s="81"/>
      <c r="U159" s="21">
        <v>0.5</v>
      </c>
      <c r="V159" s="10">
        <v>0</v>
      </c>
      <c r="W159" s="21">
        <v>0</v>
      </c>
      <c r="X159" s="10" t="s">
        <v>102</v>
      </c>
      <c r="Y159" s="21">
        <v>1</v>
      </c>
      <c r="Z159" s="21">
        <v>1.9</v>
      </c>
      <c r="AA159" s="10">
        <v>2</v>
      </c>
      <c r="AB159" s="10" t="s">
        <v>102</v>
      </c>
      <c r="AC159" s="10" t="s">
        <v>102</v>
      </c>
      <c r="AD159" s="10" t="s">
        <v>103</v>
      </c>
      <c r="AE159" s="10" t="s">
        <v>104</v>
      </c>
      <c r="AF159" s="20">
        <f t="shared" si="25"/>
        <v>0.70370370370370361</v>
      </c>
      <c r="AG159" s="13">
        <f t="shared" si="18"/>
        <v>3</v>
      </c>
      <c r="AH159" s="7">
        <f t="shared" si="19"/>
        <v>5</v>
      </c>
      <c r="AI159" s="7">
        <f t="shared" si="20"/>
        <v>0</v>
      </c>
      <c r="AJ159" s="7">
        <f t="shared" si="21"/>
        <v>5</v>
      </c>
      <c r="AK159" s="7">
        <f t="shared" si="22"/>
        <v>0</v>
      </c>
      <c r="AL159" s="12">
        <f t="shared" si="24"/>
        <v>13</v>
      </c>
      <c r="AM159" s="14" t="str">
        <f t="shared" si="23"/>
        <v>Passable</v>
      </c>
      <c r="AP159" s="10" t="s">
        <v>437</v>
      </c>
    </row>
    <row r="160" spans="1:42" ht="16">
      <c r="A160" s="53">
        <v>45179</v>
      </c>
      <c r="C160" s="10">
        <v>15600154</v>
      </c>
      <c r="D160" s="10" t="s">
        <v>147</v>
      </c>
      <c r="E160" s="11">
        <v>10</v>
      </c>
      <c r="F160" s="37">
        <v>416009</v>
      </c>
      <c r="G160" s="37">
        <v>5993732</v>
      </c>
      <c r="H160" s="11" t="s">
        <v>438</v>
      </c>
      <c r="I160" s="11" t="s">
        <v>170</v>
      </c>
      <c r="K160" s="11" t="s">
        <v>99</v>
      </c>
      <c r="L160" s="10" t="s">
        <v>100</v>
      </c>
      <c r="M160" s="10" t="s">
        <v>101</v>
      </c>
      <c r="N160" s="21">
        <v>1</v>
      </c>
      <c r="O160" s="21">
        <v>16</v>
      </c>
      <c r="P160" s="10" t="s">
        <v>109</v>
      </c>
      <c r="Q160" s="21">
        <v>0.1</v>
      </c>
      <c r="R160" s="10" t="s">
        <v>102</v>
      </c>
      <c r="S160" s="10" t="s">
        <v>102</v>
      </c>
      <c r="T160" s="81"/>
      <c r="U160" s="21">
        <v>1</v>
      </c>
      <c r="V160" s="10">
        <v>0</v>
      </c>
      <c r="W160" s="21">
        <v>0</v>
      </c>
      <c r="X160" s="10" t="s">
        <v>102</v>
      </c>
      <c r="Y160" s="21">
        <v>1</v>
      </c>
      <c r="Z160" s="21">
        <v>1</v>
      </c>
      <c r="AA160" s="10">
        <v>2</v>
      </c>
      <c r="AB160" s="10" t="s">
        <v>102</v>
      </c>
      <c r="AC160" s="10" t="s">
        <v>102</v>
      </c>
      <c r="AD160" s="10" t="s">
        <v>103</v>
      </c>
      <c r="AE160" s="10" t="s">
        <v>118</v>
      </c>
      <c r="AF160" s="20">
        <f t="shared" si="25"/>
        <v>1</v>
      </c>
      <c r="AG160" s="13">
        <f t="shared" si="18"/>
        <v>3</v>
      </c>
      <c r="AH160" s="7">
        <f t="shared" si="19"/>
        <v>5</v>
      </c>
      <c r="AI160" s="7">
        <f t="shared" si="20"/>
        <v>0</v>
      </c>
      <c r="AJ160" s="7">
        <f t="shared" si="21"/>
        <v>5</v>
      </c>
      <c r="AK160" s="7">
        <f t="shared" si="22"/>
        <v>3</v>
      </c>
      <c r="AL160" s="12">
        <f t="shared" si="24"/>
        <v>16</v>
      </c>
      <c r="AM160" s="14" t="str">
        <f t="shared" si="23"/>
        <v>Potential</v>
      </c>
      <c r="AN160" s="10" t="s">
        <v>113</v>
      </c>
      <c r="AO160" s="21">
        <v>3</v>
      </c>
      <c r="AP160" s="10" t="s">
        <v>439</v>
      </c>
    </row>
    <row r="161" spans="1:42" ht="16">
      <c r="A161" s="53">
        <v>45198</v>
      </c>
      <c r="C161" s="10">
        <v>5400028</v>
      </c>
      <c r="D161" s="10" t="s">
        <v>147</v>
      </c>
      <c r="E161" s="11">
        <v>10</v>
      </c>
      <c r="F161" s="37">
        <v>330232</v>
      </c>
      <c r="G161" s="37">
        <v>6009362</v>
      </c>
      <c r="H161" s="11" t="s">
        <v>440</v>
      </c>
      <c r="I161" s="11" t="s">
        <v>98</v>
      </c>
      <c r="K161" s="11" t="s">
        <v>99</v>
      </c>
      <c r="L161" s="10" t="s">
        <v>100</v>
      </c>
      <c r="M161" s="10" t="s">
        <v>101</v>
      </c>
      <c r="N161" s="21">
        <v>3.8</v>
      </c>
      <c r="O161" s="21">
        <v>44</v>
      </c>
      <c r="P161" s="10" t="s">
        <v>109</v>
      </c>
      <c r="Q161" s="21">
        <v>0.2</v>
      </c>
      <c r="R161" s="10" t="s">
        <v>102</v>
      </c>
      <c r="S161" s="10" t="s">
        <v>102</v>
      </c>
      <c r="T161" s="81"/>
      <c r="U161" s="21">
        <v>2</v>
      </c>
      <c r="V161" s="10">
        <v>0</v>
      </c>
      <c r="W161" s="21">
        <v>0</v>
      </c>
      <c r="X161" s="10" t="s">
        <v>102</v>
      </c>
      <c r="Y161" s="21">
        <v>2</v>
      </c>
      <c r="Z161" s="21">
        <v>3.6</v>
      </c>
      <c r="AA161" s="10">
        <v>1</v>
      </c>
      <c r="AB161" s="10" t="s">
        <v>102</v>
      </c>
      <c r="AC161" s="10" t="s">
        <v>102</v>
      </c>
      <c r="AD161" s="10" t="s">
        <v>103</v>
      </c>
      <c r="AE161" s="10" t="s">
        <v>126</v>
      </c>
      <c r="AF161" s="20">
        <f t="shared" si="25"/>
        <v>0.94736842105263164</v>
      </c>
      <c r="AG161" s="13">
        <f t="shared" si="18"/>
        <v>6</v>
      </c>
      <c r="AH161" s="7">
        <f t="shared" si="19"/>
        <v>5</v>
      </c>
      <c r="AI161" s="7">
        <f t="shared" si="20"/>
        <v>0</v>
      </c>
      <c r="AJ161" s="7">
        <f t="shared" si="21"/>
        <v>5</v>
      </c>
      <c r="AK161" s="7">
        <f t="shared" si="22"/>
        <v>0</v>
      </c>
      <c r="AL161" s="12">
        <f t="shared" si="24"/>
        <v>16</v>
      </c>
      <c r="AM161" s="14" t="str">
        <f t="shared" si="23"/>
        <v>Potential</v>
      </c>
      <c r="AN161" s="10" t="s">
        <v>105</v>
      </c>
      <c r="AO161" s="21">
        <v>15</v>
      </c>
      <c r="AP161" s="10" t="s">
        <v>441</v>
      </c>
    </row>
    <row r="162" spans="1:42" ht="16">
      <c r="A162" s="53">
        <v>45202</v>
      </c>
      <c r="C162" s="10">
        <v>13905385</v>
      </c>
      <c r="D162" s="10" t="s">
        <v>96</v>
      </c>
      <c r="E162" s="11">
        <v>10</v>
      </c>
      <c r="F162" s="37">
        <v>590814</v>
      </c>
      <c r="G162" s="37">
        <v>5982800</v>
      </c>
      <c r="H162" s="11" t="s">
        <v>422</v>
      </c>
      <c r="I162" s="11" t="s">
        <v>288</v>
      </c>
      <c r="K162" s="11" t="s">
        <v>223</v>
      </c>
      <c r="L162" s="10" t="s">
        <v>100</v>
      </c>
      <c r="M162" s="10" t="s">
        <v>101</v>
      </c>
      <c r="N162" s="21">
        <v>4.8</v>
      </c>
      <c r="O162" s="21">
        <v>17.5</v>
      </c>
      <c r="P162" s="10" t="s">
        <v>109</v>
      </c>
      <c r="Q162" s="21">
        <v>0.25</v>
      </c>
      <c r="R162" s="10" t="s">
        <v>109</v>
      </c>
      <c r="S162" s="10" t="s">
        <v>102</v>
      </c>
      <c r="T162" s="81"/>
      <c r="U162" s="21">
        <v>2</v>
      </c>
      <c r="V162" s="10">
        <v>0</v>
      </c>
      <c r="W162" s="21">
        <v>0.1</v>
      </c>
      <c r="X162" s="10" t="s">
        <v>102</v>
      </c>
      <c r="Y162" s="21">
        <v>0</v>
      </c>
      <c r="Z162" s="21">
        <v>3.3</v>
      </c>
      <c r="AA162" s="10">
        <v>1.5</v>
      </c>
      <c r="AB162" s="10" t="s">
        <v>109</v>
      </c>
      <c r="AC162" s="10" t="s">
        <v>102</v>
      </c>
      <c r="AD162" s="10" t="s">
        <v>103</v>
      </c>
      <c r="AE162" s="10" t="s">
        <v>126</v>
      </c>
      <c r="AF162" s="20">
        <f t="shared" si="25"/>
        <v>0.6875</v>
      </c>
      <c r="AG162" s="13">
        <f t="shared" si="18"/>
        <v>3</v>
      </c>
      <c r="AH162" s="7">
        <f t="shared" si="19"/>
        <v>5</v>
      </c>
      <c r="AI162" s="7">
        <f t="shared" si="20"/>
        <v>0</v>
      </c>
      <c r="AJ162" s="7">
        <f t="shared" si="21"/>
        <v>0</v>
      </c>
      <c r="AK162" s="7">
        <f t="shared" si="22"/>
        <v>0</v>
      </c>
      <c r="AL162" s="12">
        <f t="shared" si="24"/>
        <v>8</v>
      </c>
      <c r="AM162" s="14" t="str">
        <f t="shared" si="23"/>
        <v>Passable</v>
      </c>
      <c r="AP162" s="10" t="s">
        <v>442</v>
      </c>
    </row>
    <row r="163" spans="1:42" ht="16">
      <c r="A163" s="53">
        <v>45203</v>
      </c>
      <c r="C163" s="10">
        <v>13900265</v>
      </c>
      <c r="D163" s="10" t="s">
        <v>147</v>
      </c>
      <c r="E163" s="11">
        <v>10</v>
      </c>
      <c r="F163" s="37">
        <v>591253</v>
      </c>
      <c r="G163" s="37">
        <v>5971048</v>
      </c>
      <c r="H163" s="11" t="s">
        <v>443</v>
      </c>
      <c r="I163" s="11" t="s">
        <v>98</v>
      </c>
      <c r="K163" s="11" t="s">
        <v>99</v>
      </c>
      <c r="L163" s="10" t="s">
        <v>100</v>
      </c>
      <c r="M163" s="10" t="s">
        <v>101</v>
      </c>
      <c r="N163" s="21">
        <v>2</v>
      </c>
      <c r="O163" s="21">
        <v>22</v>
      </c>
      <c r="P163" s="10" t="s">
        <v>109</v>
      </c>
      <c r="Q163" s="21">
        <v>0.25</v>
      </c>
      <c r="R163" s="10" t="s">
        <v>102</v>
      </c>
      <c r="S163" s="10" t="s">
        <v>102</v>
      </c>
      <c r="T163" s="81"/>
      <c r="U163" s="21">
        <v>0.8</v>
      </c>
      <c r="V163" s="10">
        <v>0</v>
      </c>
      <c r="W163" s="21">
        <v>0</v>
      </c>
      <c r="X163" s="10" t="s">
        <v>102</v>
      </c>
      <c r="Y163" s="21">
        <v>1</v>
      </c>
      <c r="Z163" s="21">
        <v>6.2</v>
      </c>
      <c r="AA163" s="10">
        <v>5.5</v>
      </c>
      <c r="AB163" s="10" t="s">
        <v>102</v>
      </c>
      <c r="AC163" s="10" t="s">
        <v>102</v>
      </c>
      <c r="AD163" s="10" t="s">
        <v>103</v>
      </c>
      <c r="AE163" s="10" t="s">
        <v>126</v>
      </c>
      <c r="AF163" s="20">
        <f t="shared" si="25"/>
        <v>3.1</v>
      </c>
      <c r="AG163" s="13">
        <f t="shared" si="18"/>
        <v>3</v>
      </c>
      <c r="AH163" s="7">
        <f t="shared" si="19"/>
        <v>5</v>
      </c>
      <c r="AI163" s="7">
        <f t="shared" si="20"/>
        <v>0</v>
      </c>
      <c r="AJ163" s="7">
        <f t="shared" si="21"/>
        <v>5</v>
      </c>
      <c r="AK163" s="7">
        <f t="shared" si="22"/>
        <v>6</v>
      </c>
      <c r="AL163" s="12">
        <f t="shared" si="24"/>
        <v>19</v>
      </c>
      <c r="AM163" s="14" t="str">
        <f t="shared" si="23"/>
        <v>Potential</v>
      </c>
      <c r="AN163" s="10" t="s">
        <v>105</v>
      </c>
      <c r="AO163" s="21">
        <v>15</v>
      </c>
      <c r="AP163" s="10" t="s">
        <v>444</v>
      </c>
    </row>
    <row r="164" spans="1:42" ht="16">
      <c r="A164" s="53">
        <v>45204</v>
      </c>
      <c r="C164" s="10">
        <v>13900025</v>
      </c>
      <c r="D164" s="10" t="s">
        <v>147</v>
      </c>
      <c r="E164" s="11">
        <v>10</v>
      </c>
      <c r="F164" s="37">
        <v>688754</v>
      </c>
      <c r="G164" s="37">
        <v>5910557</v>
      </c>
      <c r="H164" s="11" t="s">
        <v>445</v>
      </c>
      <c r="I164" s="11" t="s">
        <v>446</v>
      </c>
      <c r="K164" s="11" t="s">
        <v>350</v>
      </c>
      <c r="L164" s="10" t="s">
        <v>100</v>
      </c>
      <c r="M164" s="10" t="s">
        <v>101</v>
      </c>
      <c r="N164" s="21">
        <v>3</v>
      </c>
      <c r="O164" s="21">
        <v>27</v>
      </c>
      <c r="P164" s="10" t="s">
        <v>109</v>
      </c>
      <c r="Q164" s="21">
        <v>0.15</v>
      </c>
      <c r="R164" s="10" t="s">
        <v>102</v>
      </c>
      <c r="S164" s="10" t="s">
        <v>102</v>
      </c>
      <c r="T164" s="81"/>
      <c r="U164" s="21">
        <v>2.2000000000000002</v>
      </c>
      <c r="V164" s="10">
        <v>0</v>
      </c>
      <c r="W164" s="21">
        <v>0</v>
      </c>
      <c r="X164" s="10" t="s">
        <v>102</v>
      </c>
      <c r="Y164" s="21">
        <v>3</v>
      </c>
      <c r="Z164" s="21">
        <v>1.4</v>
      </c>
      <c r="AA164" s="10">
        <v>2</v>
      </c>
      <c r="AB164" s="10" t="s">
        <v>102</v>
      </c>
      <c r="AC164" s="10" t="s">
        <v>102</v>
      </c>
      <c r="AD164" s="10" t="s">
        <v>103</v>
      </c>
      <c r="AE164" s="10" t="s">
        <v>104</v>
      </c>
      <c r="AF164" s="20">
        <f t="shared" si="25"/>
        <v>0.46666666666666662</v>
      </c>
      <c r="AG164" s="13">
        <f t="shared" si="18"/>
        <v>3</v>
      </c>
      <c r="AH164" s="7">
        <f t="shared" si="19"/>
        <v>5</v>
      </c>
      <c r="AI164" s="7">
        <f t="shared" si="20"/>
        <v>0</v>
      </c>
      <c r="AJ164" s="7">
        <f t="shared" si="21"/>
        <v>10</v>
      </c>
      <c r="AK164" s="7">
        <f t="shared" si="22"/>
        <v>0</v>
      </c>
      <c r="AL164" s="12">
        <f t="shared" si="24"/>
        <v>18</v>
      </c>
      <c r="AM164" s="14" t="str">
        <f t="shared" si="23"/>
        <v>Potential</v>
      </c>
      <c r="AN164" s="10" t="s">
        <v>113</v>
      </c>
      <c r="AO164" s="21">
        <v>3</v>
      </c>
      <c r="AP164" s="10" t="s">
        <v>447</v>
      </c>
    </row>
    <row r="165" spans="1:42" ht="16">
      <c r="A165" s="53">
        <v>45204</v>
      </c>
      <c r="C165" s="10">
        <v>22200082</v>
      </c>
      <c r="D165" s="10" t="s">
        <v>96</v>
      </c>
      <c r="E165" s="11">
        <v>11</v>
      </c>
      <c r="F165" s="37">
        <v>345873</v>
      </c>
      <c r="G165" s="37">
        <v>5855411</v>
      </c>
      <c r="H165" s="11" t="s">
        <v>342</v>
      </c>
      <c r="I165" s="11" t="s">
        <v>448</v>
      </c>
      <c r="K165" s="11" t="s">
        <v>99</v>
      </c>
      <c r="L165" s="10" t="s">
        <v>100</v>
      </c>
      <c r="M165" s="10" t="s">
        <v>101</v>
      </c>
      <c r="N165" s="21">
        <v>0.75</v>
      </c>
      <c r="O165" s="21">
        <v>12.5</v>
      </c>
      <c r="P165" s="10" t="s">
        <v>109</v>
      </c>
      <c r="Q165" s="21">
        <v>0.18</v>
      </c>
      <c r="R165" s="10" t="s">
        <v>109</v>
      </c>
      <c r="S165" s="10" t="s">
        <v>102</v>
      </c>
      <c r="T165" s="81"/>
      <c r="U165" s="21">
        <v>1</v>
      </c>
      <c r="V165" s="10">
        <v>0</v>
      </c>
      <c r="W165" s="21">
        <v>0</v>
      </c>
      <c r="X165" s="10" t="s">
        <v>102</v>
      </c>
      <c r="Y165" s="21">
        <v>0</v>
      </c>
      <c r="Z165" s="21">
        <v>4</v>
      </c>
      <c r="AA165" s="10">
        <v>0</v>
      </c>
      <c r="AB165" s="10" t="s">
        <v>109</v>
      </c>
      <c r="AC165" s="10" t="s">
        <v>102</v>
      </c>
      <c r="AD165" s="10" t="s">
        <v>103</v>
      </c>
      <c r="AE165" s="10" t="s">
        <v>104</v>
      </c>
      <c r="AF165" s="20">
        <f t="shared" si="25"/>
        <v>5.333333333333333</v>
      </c>
      <c r="AG165" s="13">
        <f t="shared" si="18"/>
        <v>0</v>
      </c>
      <c r="AH165" s="7">
        <f t="shared" si="19"/>
        <v>5</v>
      </c>
      <c r="AI165" s="7">
        <f t="shared" si="20"/>
        <v>0</v>
      </c>
      <c r="AJ165" s="7">
        <f t="shared" si="21"/>
        <v>0</v>
      </c>
      <c r="AK165" s="7">
        <f t="shared" si="22"/>
        <v>6</v>
      </c>
      <c r="AL165" s="12">
        <f t="shared" si="24"/>
        <v>11</v>
      </c>
      <c r="AM165" s="14" t="str">
        <f t="shared" si="23"/>
        <v>Passable</v>
      </c>
      <c r="AP165" s="10" t="s">
        <v>449</v>
      </c>
    </row>
    <row r="166" spans="1:42" ht="16">
      <c r="A166" s="53">
        <v>45204</v>
      </c>
      <c r="C166" s="10">
        <v>13900015</v>
      </c>
      <c r="D166" s="10" t="s">
        <v>147</v>
      </c>
      <c r="E166" s="11">
        <v>10</v>
      </c>
      <c r="F166" s="37">
        <v>688844</v>
      </c>
      <c r="G166" s="37">
        <v>5909209</v>
      </c>
      <c r="H166" s="11" t="s">
        <v>348</v>
      </c>
      <c r="I166" s="11" t="s">
        <v>450</v>
      </c>
      <c r="K166" s="11" t="s">
        <v>350</v>
      </c>
      <c r="L166" s="10" t="s">
        <v>100</v>
      </c>
      <c r="M166" s="10" t="s">
        <v>101</v>
      </c>
      <c r="N166" s="21">
        <v>3.7</v>
      </c>
      <c r="O166" s="21">
        <v>30</v>
      </c>
      <c r="P166" s="10" t="s">
        <v>109</v>
      </c>
      <c r="Q166" s="21">
        <v>0.2</v>
      </c>
      <c r="R166" s="10" t="s">
        <v>109</v>
      </c>
      <c r="S166" s="10" t="s">
        <v>102</v>
      </c>
      <c r="T166" s="81"/>
      <c r="U166" s="21">
        <v>2</v>
      </c>
      <c r="V166" s="10">
        <v>0</v>
      </c>
      <c r="W166" s="21">
        <v>0</v>
      </c>
      <c r="X166" s="10" t="s">
        <v>102</v>
      </c>
      <c r="Y166" s="21">
        <v>1</v>
      </c>
      <c r="Z166" s="21">
        <v>3.4</v>
      </c>
      <c r="AA166" s="10">
        <v>0</v>
      </c>
      <c r="AB166" s="10" t="s">
        <v>102</v>
      </c>
      <c r="AC166" s="10" t="s">
        <v>102</v>
      </c>
      <c r="AD166" s="10" t="s">
        <v>103</v>
      </c>
      <c r="AE166" s="10" t="s">
        <v>126</v>
      </c>
      <c r="AF166" s="20">
        <f t="shared" si="25"/>
        <v>0.91891891891891886</v>
      </c>
      <c r="AG166" s="13">
        <f t="shared" si="18"/>
        <v>6</v>
      </c>
      <c r="AH166" s="7">
        <f t="shared" si="19"/>
        <v>5</v>
      </c>
      <c r="AI166" s="7">
        <f t="shared" si="20"/>
        <v>0</v>
      </c>
      <c r="AJ166" s="7">
        <f t="shared" si="21"/>
        <v>5</v>
      </c>
      <c r="AK166" s="7">
        <f t="shared" si="22"/>
        <v>0</v>
      </c>
      <c r="AL166" s="12">
        <f t="shared" si="24"/>
        <v>16</v>
      </c>
      <c r="AM166" s="14" t="str">
        <f t="shared" si="23"/>
        <v>Potential</v>
      </c>
      <c r="AN166" s="10" t="s">
        <v>105</v>
      </c>
      <c r="AO166" s="21">
        <v>15</v>
      </c>
      <c r="AP166" s="10" t="s">
        <v>451</v>
      </c>
    </row>
    <row r="167" spans="1:42" ht="16">
      <c r="A167" s="53">
        <v>45204</v>
      </c>
      <c r="C167" s="10">
        <v>13900073</v>
      </c>
      <c r="D167" s="10" t="s">
        <v>147</v>
      </c>
      <c r="E167" s="11">
        <v>10</v>
      </c>
      <c r="F167" s="37">
        <v>693145</v>
      </c>
      <c r="G167" s="37">
        <v>5907919</v>
      </c>
      <c r="H167" s="11" t="s">
        <v>452</v>
      </c>
      <c r="I167" s="11" t="s">
        <v>453</v>
      </c>
      <c r="K167" s="11" t="s">
        <v>112</v>
      </c>
      <c r="L167" s="10" t="s">
        <v>100</v>
      </c>
      <c r="M167" s="10" t="s">
        <v>101</v>
      </c>
      <c r="N167" s="21">
        <v>2.5</v>
      </c>
      <c r="O167" s="21">
        <v>20</v>
      </c>
      <c r="P167" s="10" t="s">
        <v>109</v>
      </c>
      <c r="Q167" s="21">
        <v>0.3</v>
      </c>
      <c r="R167" s="10" t="s">
        <v>109</v>
      </c>
      <c r="S167" s="10" t="s">
        <v>102</v>
      </c>
      <c r="T167" s="81"/>
      <c r="U167" s="21">
        <v>1.5</v>
      </c>
      <c r="V167" s="10">
        <v>0</v>
      </c>
      <c r="W167" s="21">
        <v>0.5</v>
      </c>
      <c r="X167" s="10" t="s">
        <v>102</v>
      </c>
      <c r="Y167" s="21">
        <v>1</v>
      </c>
      <c r="Z167" s="21">
        <v>3.1</v>
      </c>
      <c r="AA167" s="10">
        <v>0</v>
      </c>
      <c r="AB167" s="10" t="s">
        <v>102</v>
      </c>
      <c r="AC167" s="10" t="s">
        <v>102</v>
      </c>
      <c r="AD167" s="10" t="s">
        <v>103</v>
      </c>
      <c r="AE167" s="10" t="s">
        <v>104</v>
      </c>
      <c r="AF167" s="20">
        <f t="shared" si="25"/>
        <v>1.24</v>
      </c>
      <c r="AG167" s="13">
        <f t="shared" si="18"/>
        <v>3</v>
      </c>
      <c r="AH167" s="7">
        <f t="shared" si="19"/>
        <v>5</v>
      </c>
      <c r="AI167" s="7">
        <f t="shared" si="20"/>
        <v>0</v>
      </c>
      <c r="AJ167" s="7">
        <f t="shared" si="21"/>
        <v>5</v>
      </c>
      <c r="AK167" s="7">
        <f t="shared" si="22"/>
        <v>3</v>
      </c>
      <c r="AL167" s="12">
        <f t="shared" si="24"/>
        <v>16</v>
      </c>
      <c r="AM167" s="14" t="str">
        <f t="shared" si="23"/>
        <v>Potential</v>
      </c>
      <c r="AN167" s="10" t="s">
        <v>105</v>
      </c>
      <c r="AO167" s="21">
        <v>15</v>
      </c>
      <c r="AP167" s="10" t="s">
        <v>454</v>
      </c>
    </row>
    <row r="168" spans="1:42" ht="16">
      <c r="A168" s="53">
        <v>45204</v>
      </c>
      <c r="C168" s="10">
        <v>13900012</v>
      </c>
      <c r="D168" s="10" t="s">
        <v>147</v>
      </c>
      <c r="E168" s="11">
        <v>10</v>
      </c>
      <c r="F168" s="37">
        <v>693878</v>
      </c>
      <c r="G168" s="37">
        <v>5908064</v>
      </c>
      <c r="H168" s="11" t="s">
        <v>452</v>
      </c>
      <c r="I168" s="11" t="s">
        <v>98</v>
      </c>
      <c r="K168" s="11" t="s">
        <v>99</v>
      </c>
      <c r="L168" s="10" t="s">
        <v>100</v>
      </c>
      <c r="M168" s="10" t="s">
        <v>101</v>
      </c>
      <c r="N168" s="21">
        <v>2.5</v>
      </c>
      <c r="O168" s="21">
        <v>32</v>
      </c>
      <c r="P168" s="10" t="s">
        <v>109</v>
      </c>
      <c r="Q168" s="21">
        <v>0.2</v>
      </c>
      <c r="R168" s="10" t="s">
        <v>109</v>
      </c>
      <c r="S168" s="10" t="s">
        <v>102</v>
      </c>
      <c r="T168" s="81"/>
      <c r="U168" s="21">
        <v>2.2000000000000002</v>
      </c>
      <c r="V168" s="10">
        <v>0</v>
      </c>
      <c r="W168" s="21">
        <v>0</v>
      </c>
      <c r="X168" s="10" t="s">
        <v>102</v>
      </c>
      <c r="Y168" s="21">
        <v>1</v>
      </c>
      <c r="Z168" s="21">
        <v>2.8</v>
      </c>
      <c r="AA168" s="10">
        <v>2</v>
      </c>
      <c r="AB168" s="10" t="s">
        <v>102</v>
      </c>
      <c r="AC168" s="10" t="s">
        <v>109</v>
      </c>
      <c r="AD168" s="10" t="s">
        <v>103</v>
      </c>
      <c r="AE168" s="10" t="s">
        <v>104</v>
      </c>
      <c r="AF168" s="20">
        <f t="shared" si="25"/>
        <v>1.1199999999999999</v>
      </c>
      <c r="AG168" s="13">
        <f t="shared" si="18"/>
        <v>6</v>
      </c>
      <c r="AH168" s="7">
        <f t="shared" si="19"/>
        <v>5</v>
      </c>
      <c r="AI168" s="7">
        <f t="shared" si="20"/>
        <v>0</v>
      </c>
      <c r="AJ168" s="7">
        <f t="shared" si="21"/>
        <v>5</v>
      </c>
      <c r="AK168" s="7">
        <f t="shared" si="22"/>
        <v>3</v>
      </c>
      <c r="AL168" s="12">
        <f t="shared" si="24"/>
        <v>19</v>
      </c>
      <c r="AM168" s="14" t="str">
        <f t="shared" si="23"/>
        <v>Potential</v>
      </c>
      <c r="AN168" s="10" t="s">
        <v>105</v>
      </c>
      <c r="AO168" s="21">
        <v>15</v>
      </c>
      <c r="AP168" s="10" t="s">
        <v>455</v>
      </c>
    </row>
    <row r="169" spans="1:42" ht="16">
      <c r="A169" s="53">
        <v>45198</v>
      </c>
      <c r="C169" s="10">
        <v>15600048</v>
      </c>
      <c r="D169" s="10" t="s">
        <v>96</v>
      </c>
      <c r="E169" s="11">
        <v>10</v>
      </c>
      <c r="F169" s="37">
        <v>397528</v>
      </c>
      <c r="G169" s="37">
        <v>5976165</v>
      </c>
      <c r="H169" s="11" t="s">
        <v>389</v>
      </c>
      <c r="I169" s="11" t="s">
        <v>248</v>
      </c>
      <c r="K169" s="11" t="s">
        <v>99</v>
      </c>
      <c r="L169" s="10" t="s">
        <v>100</v>
      </c>
      <c r="M169" s="10" t="s">
        <v>101</v>
      </c>
      <c r="N169" s="21">
        <v>1.8</v>
      </c>
      <c r="O169" s="21">
        <v>17</v>
      </c>
      <c r="P169" s="10" t="s">
        <v>109</v>
      </c>
      <c r="Q169" s="21">
        <v>0.2</v>
      </c>
      <c r="R169" s="10" t="s">
        <v>109</v>
      </c>
      <c r="S169" s="10" t="s">
        <v>109</v>
      </c>
      <c r="T169" s="21">
        <v>100</v>
      </c>
      <c r="U169" s="21">
        <v>1</v>
      </c>
      <c r="V169" s="10">
        <v>0</v>
      </c>
      <c r="W169" s="21">
        <v>0.3</v>
      </c>
      <c r="X169" s="10" t="s">
        <v>102</v>
      </c>
      <c r="Y169" s="21">
        <v>0</v>
      </c>
      <c r="Z169" s="21">
        <v>3</v>
      </c>
      <c r="AA169" s="10">
        <v>0</v>
      </c>
      <c r="AB169" s="10" t="s">
        <v>102</v>
      </c>
      <c r="AC169" s="10" t="s">
        <v>102</v>
      </c>
      <c r="AD169" s="10" t="s">
        <v>103</v>
      </c>
      <c r="AE169" s="10" t="s">
        <v>104</v>
      </c>
      <c r="AF169" s="20">
        <f t="shared" si="25"/>
        <v>1.6666666666666665</v>
      </c>
      <c r="AG169" s="13">
        <f t="shared" si="18"/>
        <v>3</v>
      </c>
      <c r="AH169" s="7">
        <f t="shared" si="19"/>
        <v>5</v>
      </c>
      <c r="AI169" s="7">
        <f t="shared" si="20"/>
        <v>0</v>
      </c>
      <c r="AJ169" s="7">
        <f t="shared" si="21"/>
        <v>0</v>
      </c>
      <c r="AK169" s="7">
        <f t="shared" si="22"/>
        <v>6</v>
      </c>
      <c r="AL169" s="12">
        <f t="shared" si="24"/>
        <v>14</v>
      </c>
      <c r="AM169" s="14" t="str">
        <f t="shared" si="23"/>
        <v>Passable</v>
      </c>
      <c r="AP169" s="10" t="s">
        <v>456</v>
      </c>
    </row>
    <row r="170" spans="1:42" ht="16">
      <c r="A170" s="53">
        <v>45199</v>
      </c>
      <c r="C170" s="10">
        <v>5400201</v>
      </c>
      <c r="D170" s="10" t="s">
        <v>96</v>
      </c>
      <c r="E170" s="11">
        <v>10</v>
      </c>
      <c r="F170" s="37">
        <v>388367</v>
      </c>
      <c r="G170" s="37">
        <v>5996767</v>
      </c>
      <c r="H170" s="11" t="s">
        <v>128</v>
      </c>
      <c r="I170" s="11" t="s">
        <v>457</v>
      </c>
      <c r="K170" s="11" t="s">
        <v>99</v>
      </c>
      <c r="L170" s="10" t="s">
        <v>100</v>
      </c>
      <c r="M170" s="10" t="s">
        <v>101</v>
      </c>
      <c r="N170" s="21">
        <v>1.2</v>
      </c>
      <c r="O170" s="21">
        <v>11</v>
      </c>
      <c r="P170" s="10" t="s">
        <v>109</v>
      </c>
      <c r="Q170" s="21">
        <v>0.5</v>
      </c>
      <c r="R170" s="10" t="s">
        <v>109</v>
      </c>
      <c r="S170" s="10" t="s">
        <v>109</v>
      </c>
      <c r="T170" s="21">
        <v>80</v>
      </c>
      <c r="U170" s="21">
        <v>1.5</v>
      </c>
      <c r="V170" s="10">
        <v>0</v>
      </c>
      <c r="W170" s="21">
        <v>0.05</v>
      </c>
      <c r="X170" s="10" t="s">
        <v>102</v>
      </c>
      <c r="Y170" s="21">
        <v>0.25</v>
      </c>
      <c r="Z170" s="21">
        <v>1.7</v>
      </c>
      <c r="AA170" s="10">
        <v>3</v>
      </c>
      <c r="AB170" s="10" t="s">
        <v>102</v>
      </c>
      <c r="AC170" s="10" t="s">
        <v>102</v>
      </c>
      <c r="AD170" s="10" t="s">
        <v>103</v>
      </c>
      <c r="AE170" s="10" t="s">
        <v>104</v>
      </c>
      <c r="AF170" s="20">
        <f t="shared" si="25"/>
        <v>1.4166666666666667</v>
      </c>
      <c r="AG170" s="13">
        <f t="shared" si="18"/>
        <v>0</v>
      </c>
      <c r="AH170" s="7">
        <f t="shared" si="19"/>
        <v>0</v>
      </c>
      <c r="AI170" s="7">
        <f t="shared" si="20"/>
        <v>0</v>
      </c>
      <c r="AJ170" s="7">
        <f t="shared" si="21"/>
        <v>0</v>
      </c>
      <c r="AK170" s="7">
        <f t="shared" si="22"/>
        <v>6</v>
      </c>
      <c r="AL170" s="12">
        <f t="shared" si="24"/>
        <v>6</v>
      </c>
      <c r="AM170" s="14" t="str">
        <f t="shared" si="23"/>
        <v>Passable</v>
      </c>
      <c r="AP170" s="10" t="s">
        <v>458</v>
      </c>
    </row>
    <row r="171" spans="1:42" ht="32">
      <c r="A171" s="53">
        <v>45202</v>
      </c>
      <c r="C171" s="10">
        <v>24715754</v>
      </c>
      <c r="D171" s="10" t="s">
        <v>96</v>
      </c>
      <c r="E171" s="11">
        <v>10</v>
      </c>
      <c r="F171" s="37">
        <v>576134</v>
      </c>
      <c r="G171" s="37">
        <v>5992813</v>
      </c>
      <c r="H171" s="11" t="s">
        <v>284</v>
      </c>
      <c r="I171" s="11" t="s">
        <v>308</v>
      </c>
      <c r="K171" s="11" t="s">
        <v>99</v>
      </c>
      <c r="L171" s="10" t="s">
        <v>100</v>
      </c>
      <c r="M171" s="10" t="s">
        <v>101</v>
      </c>
      <c r="N171" s="21">
        <v>4.4000000000000004</v>
      </c>
      <c r="O171" s="21">
        <v>35</v>
      </c>
      <c r="P171" s="10" t="s">
        <v>109</v>
      </c>
      <c r="Q171" s="21">
        <v>1.3</v>
      </c>
      <c r="R171" s="10" t="s">
        <v>109</v>
      </c>
      <c r="S171" s="10" t="s">
        <v>109</v>
      </c>
      <c r="T171" s="21">
        <v>100</v>
      </c>
      <c r="U171" s="21">
        <v>2.5</v>
      </c>
      <c r="V171" s="10">
        <v>0</v>
      </c>
      <c r="W171" s="21">
        <v>2</v>
      </c>
      <c r="X171" s="10" t="s">
        <v>102</v>
      </c>
      <c r="Y171" s="21">
        <v>0</v>
      </c>
      <c r="Z171" s="21">
        <v>12</v>
      </c>
      <c r="AA171" s="10">
        <v>0</v>
      </c>
      <c r="AB171" s="10" t="s">
        <v>109</v>
      </c>
      <c r="AC171" s="10" t="s">
        <v>102</v>
      </c>
      <c r="AD171" s="10" t="s">
        <v>103</v>
      </c>
      <c r="AE171" s="10" t="s">
        <v>126</v>
      </c>
      <c r="AF171" s="20">
        <f t="shared" si="25"/>
        <v>2.7272727272727271</v>
      </c>
      <c r="AG171" s="13">
        <f t="shared" si="18"/>
        <v>6</v>
      </c>
      <c r="AH171" s="7">
        <f t="shared" si="19"/>
        <v>0</v>
      </c>
      <c r="AI171" s="7">
        <f t="shared" si="20"/>
        <v>0</v>
      </c>
      <c r="AJ171" s="7">
        <f t="shared" si="21"/>
        <v>0</v>
      </c>
      <c r="AK171" s="7">
        <f t="shared" si="22"/>
        <v>6</v>
      </c>
      <c r="AL171" s="12">
        <f t="shared" si="24"/>
        <v>12</v>
      </c>
      <c r="AM171" s="14" t="str">
        <f t="shared" si="23"/>
        <v>Passable</v>
      </c>
      <c r="AP171" s="10" t="s">
        <v>459</v>
      </c>
    </row>
    <row r="172" spans="1:42" ht="16">
      <c r="A172" s="53">
        <v>45197</v>
      </c>
      <c r="C172" s="10">
        <v>5400159</v>
      </c>
      <c r="D172" s="10" t="s">
        <v>96</v>
      </c>
      <c r="E172" s="11">
        <v>10</v>
      </c>
      <c r="F172" s="37">
        <v>319797</v>
      </c>
      <c r="G172" s="37">
        <v>6012952</v>
      </c>
      <c r="H172" s="11" t="s">
        <v>433</v>
      </c>
      <c r="I172" s="11" t="s">
        <v>460</v>
      </c>
      <c r="K172" s="11" t="s">
        <v>237</v>
      </c>
      <c r="L172" s="10" t="s">
        <v>461</v>
      </c>
      <c r="M172" s="10" t="s">
        <v>462</v>
      </c>
      <c r="N172" s="21">
        <v>4</v>
      </c>
      <c r="O172" s="21">
        <v>11</v>
      </c>
      <c r="P172" s="80"/>
      <c r="Q172" s="81"/>
      <c r="R172" s="80"/>
      <c r="S172" s="80"/>
      <c r="T172" s="81"/>
      <c r="U172" s="81"/>
      <c r="V172" s="80"/>
      <c r="W172" s="81"/>
      <c r="X172" s="80"/>
      <c r="Y172" s="81"/>
      <c r="Z172" s="81"/>
      <c r="AA172" s="80"/>
      <c r="AD172" s="80"/>
      <c r="AE172" s="80"/>
      <c r="AF172" s="20">
        <f t="shared" si="25"/>
        <v>0</v>
      </c>
      <c r="AG172" s="13">
        <f t="shared" si="18"/>
        <v>0</v>
      </c>
      <c r="AH172" s="7">
        <f t="shared" si="19"/>
        <v>0</v>
      </c>
      <c r="AI172" s="7">
        <f t="shared" si="20"/>
        <v>0</v>
      </c>
      <c r="AJ172" s="7">
        <f t="shared" si="21"/>
        <v>0</v>
      </c>
      <c r="AK172" s="7">
        <f t="shared" si="22"/>
        <v>0</v>
      </c>
      <c r="AL172" s="12">
        <f t="shared" si="24"/>
        <v>0</v>
      </c>
      <c r="AM172" s="14" t="str">
        <f t="shared" si="23"/>
        <v>Passable</v>
      </c>
      <c r="AN172" s="80"/>
      <c r="AO172" s="81"/>
      <c r="AP172" s="10" t="s">
        <v>463</v>
      </c>
    </row>
    <row r="173" spans="1:42" ht="16">
      <c r="A173" s="53">
        <v>45198</v>
      </c>
      <c r="C173" s="10">
        <v>5400180</v>
      </c>
      <c r="D173" s="10" t="s">
        <v>96</v>
      </c>
      <c r="E173" s="11">
        <v>10</v>
      </c>
      <c r="F173" s="37">
        <v>321069</v>
      </c>
      <c r="G173" s="37">
        <v>6011579</v>
      </c>
      <c r="H173" s="11" t="s">
        <v>232</v>
      </c>
      <c r="I173" s="11" t="s">
        <v>464</v>
      </c>
      <c r="K173" s="11" t="s">
        <v>237</v>
      </c>
      <c r="L173" s="10" t="s">
        <v>461</v>
      </c>
      <c r="M173" s="10" t="s">
        <v>465</v>
      </c>
      <c r="N173" s="21">
        <v>2.65</v>
      </c>
      <c r="O173" s="21">
        <v>12.5</v>
      </c>
      <c r="P173" s="80"/>
      <c r="Q173" s="81"/>
      <c r="R173" s="80"/>
      <c r="S173" s="80"/>
      <c r="T173" s="81"/>
      <c r="U173" s="81"/>
      <c r="V173" s="80"/>
      <c r="W173" s="81"/>
      <c r="X173" s="80"/>
      <c r="Y173" s="81"/>
      <c r="Z173" s="81"/>
      <c r="AA173" s="80"/>
      <c r="AD173" s="80"/>
      <c r="AE173" s="80"/>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0"/>
      <c r="AO173" s="81"/>
      <c r="AP173" s="10" t="s">
        <v>466</v>
      </c>
    </row>
    <row r="174" spans="1:42" ht="32">
      <c r="A174" s="53">
        <v>45199</v>
      </c>
      <c r="C174" s="10">
        <v>15604870</v>
      </c>
      <c r="D174" s="10" t="s">
        <v>96</v>
      </c>
      <c r="E174" s="11">
        <v>10</v>
      </c>
      <c r="F174" s="37">
        <v>396140</v>
      </c>
      <c r="G174" s="37">
        <v>5997722</v>
      </c>
      <c r="H174" s="11" t="s">
        <v>130</v>
      </c>
      <c r="I174" s="11" t="s">
        <v>467</v>
      </c>
      <c r="K174" s="11" t="s">
        <v>134</v>
      </c>
      <c r="L174" s="10" t="s">
        <v>461</v>
      </c>
      <c r="M174" s="10" t="s">
        <v>462</v>
      </c>
      <c r="N174" s="21">
        <v>13</v>
      </c>
      <c r="O174" s="21">
        <v>5</v>
      </c>
      <c r="P174" s="80"/>
      <c r="Q174" s="81"/>
      <c r="R174" s="80"/>
      <c r="S174" s="80"/>
      <c r="T174" s="81"/>
      <c r="U174" s="81"/>
      <c r="V174" s="80"/>
      <c r="W174" s="81"/>
      <c r="X174" s="80"/>
      <c r="Y174" s="81"/>
      <c r="Z174" s="81"/>
      <c r="AA174" s="80"/>
      <c r="AD174" s="80"/>
      <c r="AE174" s="80"/>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0"/>
      <c r="AO174" s="81"/>
      <c r="AP174" s="10" t="s">
        <v>468</v>
      </c>
    </row>
    <row r="175" spans="1:42" ht="32">
      <c r="A175" s="53">
        <v>45199</v>
      </c>
      <c r="C175" s="10">
        <v>15604704</v>
      </c>
      <c r="D175" s="10" t="s">
        <v>96</v>
      </c>
      <c r="E175" s="11">
        <v>10</v>
      </c>
      <c r="F175" s="37">
        <v>395496</v>
      </c>
      <c r="G175" s="37">
        <v>6003141</v>
      </c>
      <c r="H175" s="11" t="s">
        <v>469</v>
      </c>
      <c r="I175" s="11" t="s">
        <v>470</v>
      </c>
      <c r="K175" s="11" t="s">
        <v>471</v>
      </c>
      <c r="L175" s="10" t="s">
        <v>461</v>
      </c>
      <c r="M175" s="10" t="s">
        <v>462</v>
      </c>
      <c r="N175" s="21">
        <v>20</v>
      </c>
      <c r="O175" s="21">
        <v>5</v>
      </c>
      <c r="P175" s="80"/>
      <c r="Q175" s="81"/>
      <c r="R175" s="80"/>
      <c r="S175" s="80"/>
      <c r="T175" s="81"/>
      <c r="U175" s="81"/>
      <c r="V175" s="80"/>
      <c r="W175" s="81"/>
      <c r="X175" s="80"/>
      <c r="Y175" s="81"/>
      <c r="Z175" s="81"/>
      <c r="AA175" s="80"/>
      <c r="AD175" s="80"/>
      <c r="AE175" s="80"/>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0"/>
      <c r="AO175" s="81"/>
      <c r="AP175" s="10" t="s">
        <v>472</v>
      </c>
    </row>
    <row r="176" spans="1:42" ht="16">
      <c r="A176" s="53">
        <v>45180</v>
      </c>
      <c r="C176" s="10">
        <v>15600065</v>
      </c>
      <c r="D176" s="10" t="s">
        <v>147</v>
      </c>
      <c r="E176" s="11">
        <v>10</v>
      </c>
      <c r="F176" s="37">
        <v>441140</v>
      </c>
      <c r="G176" s="37">
        <v>5989596</v>
      </c>
      <c r="H176" s="11" t="s">
        <v>163</v>
      </c>
      <c r="I176" s="11" t="s">
        <v>473</v>
      </c>
      <c r="K176" s="11" t="s">
        <v>112</v>
      </c>
      <c r="L176" s="10" t="s">
        <v>461</v>
      </c>
      <c r="M176" s="10" t="s">
        <v>462</v>
      </c>
      <c r="N176" s="21">
        <v>13</v>
      </c>
      <c r="O176" s="21">
        <v>4.5</v>
      </c>
      <c r="P176" s="80"/>
      <c r="Q176" s="81"/>
      <c r="R176" s="80"/>
      <c r="S176" s="80"/>
      <c r="T176" s="81"/>
      <c r="U176" s="81"/>
      <c r="V176" s="80"/>
      <c r="W176" s="81"/>
      <c r="X176" s="80"/>
      <c r="Y176" s="81"/>
      <c r="Z176" s="81"/>
      <c r="AA176" s="80"/>
      <c r="AD176" s="80"/>
      <c r="AE176" s="80"/>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0"/>
      <c r="AO176" s="81"/>
      <c r="AP176" s="10" t="s">
        <v>474</v>
      </c>
    </row>
    <row r="177" spans="1:42" ht="16">
      <c r="A177" s="53">
        <v>45202</v>
      </c>
      <c r="C177" s="10">
        <v>24715750</v>
      </c>
      <c r="D177" s="10" t="s">
        <v>147</v>
      </c>
      <c r="E177" s="11">
        <v>10</v>
      </c>
      <c r="F177" s="37">
        <v>613206</v>
      </c>
      <c r="G177" s="37">
        <v>5966880</v>
      </c>
      <c r="H177" s="11" t="s">
        <v>475</v>
      </c>
      <c r="I177" s="11" t="s">
        <v>476</v>
      </c>
      <c r="K177" s="11" t="s">
        <v>112</v>
      </c>
      <c r="L177" s="10" t="s">
        <v>461</v>
      </c>
      <c r="M177" s="10" t="s">
        <v>462</v>
      </c>
      <c r="N177" s="21">
        <v>12</v>
      </c>
      <c r="O177" s="21">
        <v>5</v>
      </c>
      <c r="P177" s="80"/>
      <c r="Q177" s="81"/>
      <c r="R177" s="80"/>
      <c r="S177" s="80"/>
      <c r="T177" s="81"/>
      <c r="U177" s="81"/>
      <c r="V177" s="80"/>
      <c r="W177" s="81"/>
      <c r="X177" s="80"/>
      <c r="Y177" s="81"/>
      <c r="Z177" s="81"/>
      <c r="AA177" s="80"/>
      <c r="AD177" s="80"/>
      <c r="AE177" s="80"/>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0"/>
      <c r="AO177" s="81"/>
      <c r="AP177" s="10" t="s">
        <v>477</v>
      </c>
    </row>
    <row r="178" spans="1:42" ht="16">
      <c r="A178" s="53">
        <v>45200</v>
      </c>
      <c r="C178" s="10">
        <v>9904385</v>
      </c>
      <c r="D178" s="10" t="s">
        <v>478</v>
      </c>
      <c r="E178" s="11">
        <v>10</v>
      </c>
      <c r="F178" s="37">
        <v>485546</v>
      </c>
      <c r="G178" s="37">
        <v>5954833</v>
      </c>
      <c r="H178" s="11" t="s">
        <v>479</v>
      </c>
      <c r="I178" s="11" t="s">
        <v>480</v>
      </c>
      <c r="K178" s="11" t="s">
        <v>481</v>
      </c>
      <c r="L178" s="10" t="s">
        <v>482</v>
      </c>
      <c r="M178" s="10" t="s">
        <v>494</v>
      </c>
      <c r="N178" s="81"/>
      <c r="O178" s="81"/>
      <c r="P178" s="80"/>
      <c r="Q178" s="81"/>
      <c r="R178" s="80"/>
      <c r="S178" s="80"/>
      <c r="T178" s="81"/>
      <c r="U178" s="81"/>
      <c r="V178" s="80"/>
      <c r="W178" s="81"/>
      <c r="X178" s="80"/>
      <c r="Y178" s="81"/>
      <c r="Z178" s="81"/>
      <c r="AA178" s="80"/>
      <c r="AD178" s="80"/>
      <c r="AE178" s="80"/>
      <c r="AF178" s="20">
        <f t="shared" si="25"/>
        <v>0</v>
      </c>
      <c r="AG178" s="13">
        <f t="shared" si="18"/>
        <v>0</v>
      </c>
      <c r="AH178" s="7">
        <f t="shared" si="19"/>
        <v>0</v>
      </c>
      <c r="AI178" s="7">
        <f t="shared" si="20"/>
        <v>0</v>
      </c>
      <c r="AJ178" s="7">
        <f t="shared" si="21"/>
        <v>0</v>
      </c>
      <c r="AK178" s="7">
        <f t="shared" si="22"/>
        <v>0</v>
      </c>
      <c r="AL178" s="12">
        <f t="shared" si="24"/>
        <v>0</v>
      </c>
      <c r="AM178" s="14" t="str">
        <f t="shared" si="23"/>
        <v>Unknown</v>
      </c>
      <c r="AP178" s="10" t="s">
        <v>483</v>
      </c>
    </row>
    <row r="179" spans="1:42" ht="16">
      <c r="A179" s="53">
        <v>45179</v>
      </c>
      <c r="C179" s="10">
        <v>15600486</v>
      </c>
      <c r="D179" s="10" t="s">
        <v>147</v>
      </c>
      <c r="E179" s="11">
        <v>10</v>
      </c>
      <c r="F179" s="37">
        <v>420111</v>
      </c>
      <c r="G179" s="37">
        <v>5994723</v>
      </c>
      <c r="H179" s="11" t="s">
        <v>181</v>
      </c>
      <c r="I179" s="11" t="s">
        <v>473</v>
      </c>
      <c r="K179" s="11" t="s">
        <v>484</v>
      </c>
      <c r="L179" s="10" t="s">
        <v>482</v>
      </c>
      <c r="M179" s="10" t="s">
        <v>494</v>
      </c>
      <c r="N179" s="81"/>
      <c r="O179" s="81"/>
      <c r="P179" s="80"/>
      <c r="Q179" s="81"/>
      <c r="R179" s="80"/>
      <c r="S179" s="80"/>
      <c r="T179" s="81"/>
      <c r="U179" s="81"/>
      <c r="V179" s="80"/>
      <c r="W179" s="81"/>
      <c r="X179" s="80"/>
      <c r="Y179" s="81"/>
      <c r="Z179" s="81"/>
      <c r="AA179" s="80"/>
      <c r="AD179" s="80"/>
      <c r="AE179" s="80"/>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P179" s="10" t="s">
        <v>485</v>
      </c>
    </row>
    <row r="180" spans="1:42" ht="32">
      <c r="A180" s="53">
        <v>45180</v>
      </c>
      <c r="C180" s="10">
        <v>15604176</v>
      </c>
      <c r="D180" s="10" t="s">
        <v>147</v>
      </c>
      <c r="E180" s="11">
        <v>10</v>
      </c>
      <c r="F180" s="37">
        <v>412266</v>
      </c>
      <c r="G180" s="37">
        <v>6001835</v>
      </c>
      <c r="H180" s="11" t="s">
        <v>130</v>
      </c>
      <c r="I180" s="11" t="s">
        <v>473</v>
      </c>
      <c r="K180" s="11" t="s">
        <v>486</v>
      </c>
      <c r="L180" s="10" t="s">
        <v>482</v>
      </c>
      <c r="M180" s="10" t="s">
        <v>494</v>
      </c>
      <c r="N180" s="81"/>
      <c r="O180" s="81"/>
      <c r="P180" s="80"/>
      <c r="Q180" s="81"/>
      <c r="R180" s="80"/>
      <c r="S180" s="80"/>
      <c r="T180" s="81"/>
      <c r="U180" s="81"/>
      <c r="V180" s="80"/>
      <c r="W180" s="81"/>
      <c r="X180" s="80"/>
      <c r="Y180" s="81"/>
      <c r="Z180" s="81"/>
      <c r="AA180" s="80"/>
      <c r="AD180" s="80"/>
      <c r="AE180" s="80"/>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P180" s="10" t="s">
        <v>487</v>
      </c>
    </row>
    <row r="181" spans="1:42" ht="16">
      <c r="A181" s="53">
        <v>45198</v>
      </c>
      <c r="C181" s="10">
        <v>5401513</v>
      </c>
      <c r="D181" s="10" t="s">
        <v>147</v>
      </c>
      <c r="E181" s="11">
        <v>10</v>
      </c>
      <c r="F181" s="37">
        <v>330328</v>
      </c>
      <c r="G181" s="37">
        <v>6009420</v>
      </c>
      <c r="H181" s="11" t="s">
        <v>440</v>
      </c>
      <c r="I181" s="11" t="s">
        <v>236</v>
      </c>
      <c r="K181" s="11" t="s">
        <v>484</v>
      </c>
      <c r="L181" s="10" t="s">
        <v>482</v>
      </c>
      <c r="M181" s="10" t="s">
        <v>494</v>
      </c>
      <c r="N181" s="81"/>
      <c r="O181" s="81"/>
      <c r="P181" s="80"/>
      <c r="Q181" s="81"/>
      <c r="R181" s="80"/>
      <c r="S181" s="80"/>
      <c r="T181" s="81"/>
      <c r="U181" s="81"/>
      <c r="V181" s="80"/>
      <c r="W181" s="81"/>
      <c r="X181" s="80"/>
      <c r="Y181" s="81"/>
      <c r="Z181" s="81"/>
      <c r="AA181" s="80"/>
      <c r="AD181" s="80"/>
      <c r="AE181" s="80"/>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P181" s="10" t="s">
        <v>488</v>
      </c>
    </row>
    <row r="182" spans="1:42">
      <c r="A182" s="53"/>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42">
      <c r="A183" s="53"/>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3"/>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3"/>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3"/>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3"/>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3"/>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3"/>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3"/>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3"/>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3"/>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3"/>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3"/>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3"/>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3"/>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3"/>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3"/>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3"/>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3"/>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3"/>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3"/>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3"/>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3"/>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3"/>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3"/>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3"/>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3"/>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3"/>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3"/>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3"/>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3"/>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3"/>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3"/>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3"/>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3"/>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3"/>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3"/>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3"/>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3"/>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3"/>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3"/>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3"/>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3"/>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3"/>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3"/>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3"/>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3"/>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3"/>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3"/>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3"/>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3"/>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3"/>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3"/>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3"/>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3"/>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3"/>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3"/>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3"/>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3"/>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3"/>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3"/>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3"/>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3"/>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3"/>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3"/>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3"/>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3"/>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3"/>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3"/>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3"/>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3"/>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3"/>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3"/>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3"/>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3"/>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3"/>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3"/>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3"/>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3"/>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3"/>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3"/>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3"/>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3"/>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3"/>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3"/>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3"/>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3"/>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3"/>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3"/>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3"/>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3"/>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3"/>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3"/>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3"/>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3"/>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3"/>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3"/>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3"/>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3"/>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3"/>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3"/>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3"/>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3"/>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3"/>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3"/>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3"/>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3"/>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3"/>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3"/>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3"/>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3"/>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3"/>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3"/>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3"/>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3"/>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3"/>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3"/>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3"/>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3"/>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3"/>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3"/>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3"/>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3"/>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3"/>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3"/>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3"/>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3"/>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3"/>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3"/>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3"/>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3"/>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3"/>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3"/>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3"/>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3"/>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3"/>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3"/>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3"/>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3"/>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3"/>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3"/>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3"/>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3"/>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3"/>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3"/>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3"/>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3"/>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3"/>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3"/>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3"/>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3"/>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3"/>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3"/>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3"/>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3"/>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3"/>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3"/>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3"/>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3"/>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3"/>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3"/>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3"/>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3"/>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3"/>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3"/>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3"/>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3"/>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3"/>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3"/>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3"/>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3"/>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3"/>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3"/>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3"/>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3"/>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3"/>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3"/>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3"/>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3"/>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3"/>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3"/>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3"/>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3"/>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3"/>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3"/>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3"/>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3"/>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3"/>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3"/>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3"/>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3"/>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3"/>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3"/>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3"/>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3"/>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3"/>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3"/>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3"/>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3"/>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3"/>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3"/>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3"/>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3"/>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3"/>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3"/>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3"/>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3"/>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3"/>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3"/>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3"/>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3"/>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3"/>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3"/>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3"/>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3"/>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3"/>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3"/>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3"/>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3"/>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3"/>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3"/>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3"/>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3"/>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3"/>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3"/>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3"/>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3"/>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3"/>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3"/>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3"/>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3"/>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3"/>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3"/>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3"/>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3"/>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3"/>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3"/>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3"/>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3"/>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3"/>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3"/>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3"/>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3"/>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3"/>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3"/>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3"/>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3"/>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3"/>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3"/>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3"/>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3"/>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3"/>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3"/>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3"/>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3"/>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3"/>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3"/>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3"/>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3"/>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3"/>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3"/>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3"/>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3"/>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3"/>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3"/>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3"/>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3"/>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3"/>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3"/>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3"/>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3"/>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3"/>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3"/>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3"/>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3"/>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3"/>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3"/>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3"/>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3"/>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3"/>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3"/>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3"/>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3"/>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3"/>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3"/>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3"/>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3"/>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3"/>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3"/>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3"/>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3"/>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3"/>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3"/>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3"/>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3"/>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3"/>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3"/>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3"/>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3"/>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3"/>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3"/>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3"/>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3"/>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3"/>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3"/>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3"/>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3"/>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3"/>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3"/>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3"/>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3"/>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3"/>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3"/>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3"/>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3"/>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3"/>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3"/>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3"/>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3"/>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3"/>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3"/>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3"/>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3"/>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3"/>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3"/>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3"/>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3"/>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3"/>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3"/>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3"/>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3"/>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3"/>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3"/>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3"/>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3"/>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3"/>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3"/>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3"/>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3"/>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3"/>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3"/>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3"/>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3"/>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3"/>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3"/>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3"/>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3"/>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3"/>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3"/>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3"/>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3"/>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3"/>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3"/>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3"/>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3"/>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3"/>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3"/>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3"/>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3"/>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3"/>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3"/>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3"/>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3"/>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3"/>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3"/>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3"/>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3"/>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3"/>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3"/>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3"/>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3"/>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3"/>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3"/>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3"/>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3"/>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3"/>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3"/>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3"/>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3"/>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3"/>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3"/>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3"/>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3"/>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3"/>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3"/>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3"/>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3"/>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3"/>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3"/>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3"/>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3"/>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3"/>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3"/>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3"/>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3"/>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3"/>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3"/>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3"/>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3"/>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3"/>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3"/>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3"/>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3"/>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3"/>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3"/>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3"/>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3"/>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3"/>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3"/>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3"/>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3"/>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3"/>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3"/>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3"/>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3"/>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3"/>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3"/>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3"/>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3"/>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3"/>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3"/>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3"/>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3"/>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3"/>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3"/>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3"/>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3"/>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3"/>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3"/>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3"/>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3"/>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3"/>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3"/>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3"/>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3"/>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3"/>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3"/>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3"/>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3"/>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3"/>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3"/>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3"/>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3"/>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3"/>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3"/>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3"/>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3"/>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3"/>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3"/>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3"/>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3"/>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3"/>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3"/>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3"/>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3"/>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3"/>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3"/>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3"/>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3"/>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3"/>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3"/>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3"/>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3"/>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3"/>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3"/>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3"/>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3"/>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3"/>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3"/>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3"/>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3"/>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3"/>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3"/>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3"/>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3"/>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3"/>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3"/>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3"/>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3"/>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3"/>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3"/>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3"/>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3"/>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3"/>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3"/>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3"/>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3"/>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3"/>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3"/>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3"/>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3"/>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3"/>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3"/>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3"/>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3"/>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3"/>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3"/>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3"/>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3"/>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3"/>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3"/>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3"/>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3"/>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3"/>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3"/>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3"/>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3"/>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3"/>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3"/>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3"/>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3"/>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3"/>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3"/>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3"/>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3"/>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3"/>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3"/>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3"/>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3"/>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3"/>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3"/>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3"/>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3"/>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3"/>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3"/>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3"/>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3"/>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3"/>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3"/>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3"/>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3"/>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3"/>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3"/>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3"/>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3"/>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3"/>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3"/>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3"/>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3"/>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3"/>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3"/>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3"/>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3"/>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3"/>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3"/>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3"/>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3"/>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3"/>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3"/>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3"/>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3"/>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3"/>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3"/>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3"/>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3"/>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3"/>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3"/>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3"/>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3"/>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3"/>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3"/>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3"/>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3"/>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3"/>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3"/>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3"/>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3"/>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3"/>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3"/>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3"/>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3"/>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3"/>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3"/>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3"/>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3"/>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3"/>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3"/>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3"/>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3"/>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3"/>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3"/>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3"/>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3"/>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3"/>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3"/>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3"/>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3"/>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3"/>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3"/>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3"/>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3"/>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3"/>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3"/>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3"/>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3"/>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3"/>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3"/>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3"/>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3"/>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3"/>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3"/>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3"/>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3"/>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3"/>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3"/>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3"/>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3"/>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3"/>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3"/>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3"/>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3"/>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3"/>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3"/>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3"/>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3"/>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3"/>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3"/>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3"/>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3"/>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3"/>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3"/>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3"/>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3"/>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3"/>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3"/>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3"/>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3"/>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3"/>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3"/>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3"/>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3"/>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3"/>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3"/>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3"/>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3"/>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3"/>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3"/>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3"/>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3"/>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3"/>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3"/>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3"/>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3"/>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3"/>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3"/>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3"/>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3"/>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3"/>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3"/>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3"/>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3"/>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3"/>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3"/>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3"/>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3"/>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3"/>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3"/>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3"/>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3"/>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3"/>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3"/>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3"/>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3"/>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3"/>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3"/>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3"/>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3"/>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3"/>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3"/>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3"/>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3"/>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3"/>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3"/>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3"/>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3"/>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3"/>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3"/>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3"/>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3"/>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3"/>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3"/>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3"/>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3"/>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3"/>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3"/>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3"/>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3"/>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3"/>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3"/>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3"/>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3"/>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3"/>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3"/>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3"/>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3"/>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3"/>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3"/>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3"/>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3"/>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3"/>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3"/>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3"/>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3"/>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3"/>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3"/>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3"/>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3"/>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3"/>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3"/>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3"/>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3"/>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3"/>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3"/>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3"/>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3"/>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3"/>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3"/>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3"/>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3"/>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3"/>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3"/>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3"/>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3"/>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3"/>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3"/>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3"/>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3"/>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3"/>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3"/>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3"/>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3"/>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3"/>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3"/>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3"/>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3"/>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3"/>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3"/>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3"/>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3"/>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3"/>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3"/>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3"/>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3"/>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3"/>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3"/>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3"/>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3"/>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3"/>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3"/>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3"/>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3"/>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3"/>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3"/>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3"/>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3"/>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3"/>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3"/>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3"/>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3"/>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3"/>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3"/>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3"/>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3"/>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3"/>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3"/>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3"/>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3"/>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3"/>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3"/>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3"/>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3"/>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3"/>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3"/>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3"/>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3"/>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3"/>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3"/>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3"/>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3"/>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3"/>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3"/>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3"/>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3"/>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3"/>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3"/>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3"/>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3"/>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3"/>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3"/>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3"/>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3"/>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3"/>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3"/>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3"/>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3"/>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3"/>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3"/>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3"/>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3"/>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3"/>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3"/>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3"/>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3"/>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3"/>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3"/>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3"/>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3"/>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3"/>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3"/>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3"/>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3"/>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3"/>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3"/>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3"/>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3"/>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3"/>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3"/>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3"/>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3"/>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3"/>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3"/>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3"/>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3"/>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3"/>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3"/>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3"/>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3"/>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ku2JO/FCKmFo+nkcO5tQOXdVZRldS4ajm/LDmZUkIoHRz5n6rRgJ4pCupVeR7IQ0V+KVSh2WLqsPoFkVCR4icQ==" saltValue="AUJsoFX5WxlVuUjD3q8rm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88">
    <dataValidation type="list" allowBlank="1" showInputMessage="1" showErrorMessage="1" sqref="AM5284:AM65536" xr:uid="{00000000-0002-0000-0200-000000000000}">
      <formula1>"Passable, Potential, Barrier, Unkown"</formula1>
    </dataValidation>
    <dataValidation type="list" allowBlank="1" showInputMessage="1" showErrorMessage="1" sqref="M18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71" xr:uid="{5708B34E-8D5E-AD47-99A7-71589A0BA366}">
      <formula1>"Round Culvert,Oval Culvert,Concrete Box"</formula1>
    </dataValidation>
    <dataValidation type="decimal" allowBlank="1" showInputMessage="1" showErrorMessage="1" errorTitle="Invalid Diamter or Span" error="The Diameter or Span entered is invalid. Diameter or Span must be &gt; 0 and &lt; 300" sqref="N5:N171" xr:uid="{15AE028E-76E0-7D41-862B-8BD55E48DD10}">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6 Q131 Q42" xr:uid="{A7990FF5-DD52-C24F-8B81-C56413A8C1BE}">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 Q169 Q82:Q83 Q66 Q25" xr:uid="{B61AC32C-9C40-CA4E-BDD1-8887F5DD92AE}">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8 Q121 Q106:Q108 Q90 Q88 Q80 Q76:Q77 Q35 Q12" xr:uid="{57E794C2-8069-2345-B71A-DD993D066644}">
      <formula1>0.01</formula1>
      <formula2>0.59</formula2>
    </dataValidation>
    <dataValidation type="decimal" allowBlank="1" showInputMessage="1" showErrorMessage="1" errorTitle="Invalid value entered" error="The Average Depth Embededdment you entered is invalid. The Average Depth Embededdment must be &lt;= 1.54 and &gt;= 0.01" sqref="Q9" xr:uid="{E6DF0DC8-93D4-764A-9331-39222BBF05E9}">
      <formula1>0.01</formula1>
      <formula2>1.54</formula2>
    </dataValidation>
    <dataValidation type="decimal" allowBlank="1" showInputMessage="1" showErrorMessage="1" errorTitle="Invalid value entered" error="The Average Depth Embededdment you entered is invalid. The Average Depth Embededdment must be &lt;= 0.89 and &gt;= 0.01" sqref="Q10 Q157 Q154 Q147 Q141 Q117 Q92:Q93 Q85:Q86 Q75 Q64 Q48 Q44 Q37:Q38 Q18" xr:uid="{BBEE478F-0AF0-6B40-954D-96041724D496}">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11 Q133 Q120 Q116 Q67 Q65 Q60 Q34 Q19" xr:uid="{1F8B0F2D-5931-314F-A575-10AA2EB56F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3 Q160" xr:uid="{A5BF9AF1-D850-274C-8E21-C79988917ADC}">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14 Q127 Q101 Q97" xr:uid="{F9F1E244-FA44-884E-A93D-A6A3F2B91619}">
      <formula1>0.01</formula1>
      <formula2>1.09</formula2>
    </dataValidation>
    <dataValidation type="decimal" allowBlank="1" showInputMessage="1" showErrorMessage="1" errorTitle="Invalid value entered" error="The Average Depth Embededdment you entered is invalid. The Average Depth Embededdment must be &lt;= 0.94 and &gt;= 0.01" sqref="Q15 Q96 Q30" xr:uid="{E86D97BA-99C1-0D42-B77F-B193F8F8117A}">
      <formula1>0.01</formula1>
      <formula2>0.94</formula2>
    </dataValidation>
    <dataValidation type="decimal" allowBlank="1" showInputMessage="1" showErrorMessage="1" errorTitle="Invalid value entered" error="The Average Depth Embededdment you entered is invalid. The Average Depth Embededdment must be &lt;= 1.44 and &gt;= 0.01" sqref="Q16 Q40" xr:uid="{DED82C97-60CF-994E-9475-D0F99C8A1AA9}">
      <formula1>0.01</formula1>
      <formula2>1.44</formula2>
    </dataValidation>
    <dataValidation type="decimal" allowBlank="1" showInputMessage="1" showErrorMessage="1" errorTitle="Invalid value entered" error="The Average Depth Embededdment you entered is invalid. The Average Depth Embededdment must be &lt;= 1.19 and &gt;= 0.01" sqref="Q17 Q170 Q155 Q105 Q102:Q103 Q99:Q100 Q62 Q59 Q54 Q43" xr:uid="{42BFFF18-C241-3B45-9ED6-F14F2CECF13B}">
      <formula1>0.01</formula1>
      <formula2>1.19</formula2>
    </dataValidation>
    <dataValidation type="decimal" allowBlank="1" showInputMessage="1" showErrorMessage="1" errorTitle="Invalid value entered" error="The Average Depth Embededdment you entered is invalid. The Average Depth Embededdment must be &lt;= 4.49 and &gt;= 0.01" sqref="Q20 Q158 Q134 Q115" xr:uid="{8F648283-C525-2F46-8BA1-311DC03D40FB}">
      <formula1>0.01</formula1>
      <formula2>4.49</formula2>
    </dataValidation>
    <dataValidation type="decimal" allowBlank="1" showInputMessage="1" showErrorMessage="1" errorTitle="Invalid value entered" error="The Average Depth Embededdment you entered is invalid. The Average Depth Embededdment must be &lt;= 4.99 and &gt;= 0.01" sqref="Q21 Q112 Q104" xr:uid="{DA6D7B49-48A4-BF48-BBDB-90521D8586E0}">
      <formula1>0.01</formula1>
      <formula2>4.99</formula2>
    </dataValidation>
    <dataValidation type="decimal" allowBlank="1" showInputMessage="1" showErrorMessage="1" errorTitle="Invalid value entered" error="The Average Depth Embededdment you entered is invalid. The Average Depth Embededdment must be &lt;= 2.19 and &gt;= 0.01" sqref="Q22 Q142 Q135 Q71 Q52" xr:uid="{AF67E010-C6DE-8845-9ED6-4389AD21F1F2}">
      <formula1>0.01</formula1>
      <formula2>2.19</formula2>
    </dataValidation>
    <dataValidation type="decimal" allowBlank="1" showInputMessage="1" showErrorMessage="1" errorTitle="Invalid value entered" error="The Average Depth Embededdment you entered is invalid. The Average Depth Embededdment must be &lt;= 3.19 and &gt;= 0.01" sqref="Q23" xr:uid="{3534A5C8-2E4C-8240-891E-8DD43896FE60}">
      <formula1>0.01</formula1>
      <formula2>3.19</formula2>
    </dataValidation>
    <dataValidation type="decimal" allowBlank="1" showInputMessage="1" showErrorMessage="1" errorTitle="Invalid value entered" error="The Average Depth Embededdment you entered is invalid. The Average Depth Embededdment must be &lt;= 2.49 and &gt;= 0.01" sqref="Q24 Q167:Q168 Q137 Q124 Q78 Q69 Q58 Q49" xr:uid="{BD158CAA-C70A-B24A-9A85-6BD019D4E63E}">
      <formula1>0.01</formula1>
      <formula2>2.49</formula2>
    </dataValidation>
    <dataValidation type="decimal" allowBlank="1" showInputMessage="1" showErrorMessage="1" errorTitle="Invalid value entered" error="The Average Depth Embededdment you entered is invalid. The Average Depth Embededdment must be &lt;= 0.49 and &gt;= 0.01" sqref="Q26" xr:uid="{C03C98FB-B4DF-8B41-94BC-B2A2DA1E2AA5}">
      <formula1>0.01</formula1>
      <formula2>0.49</formula2>
    </dataValidation>
    <dataValidation type="decimal" allowBlank="1" showInputMessage="1" showErrorMessage="1" errorTitle="Invalid value entered" error="The Average Depth Embededdment you entered is invalid. The Average Depth Embededdment must be &lt;= 1.69 and &gt;= 0.01" sqref="Q27 Q145 Q130 Q123 Q119 Q72 Q32" xr:uid="{E61A70A6-B83B-AF4D-9B2D-F3A9CC704C7F}">
      <formula1>0.01</formula1>
      <formula2>1.69</formula2>
    </dataValidation>
    <dataValidation type="decimal" allowBlank="1" showInputMessage="1" showErrorMessage="1" errorTitle="Invalid value entered" error="The Average Depth Embededdment you entered is invalid. The Average Depth Embededdment must be &lt;= 2.99 and &gt;= 0.01" sqref="Q28 Q164 Q46 Q39" xr:uid="{D94E8B8E-6857-DC4F-B1B7-4BE26D16CE19}">
      <formula1>0.01</formula1>
      <formula2>2.99</formula2>
    </dataValidation>
    <dataValidation type="decimal" allowBlank="1" showInputMessage="1" showErrorMessage="1" errorTitle="Invalid value entered" error="The Average Depth Embededdment you entered is invalid. The Average Depth Embededdment must be &lt;= 3.89 and &gt;= 0.01" sqref="Q29" xr:uid="{9E128249-3029-0E40-90D0-BFC8EB1C1CA2}">
      <formula1>0.01</formula1>
      <formula2>3.89</formula2>
    </dataValidation>
    <dataValidation type="decimal" allowBlank="1" showInputMessage="1" showErrorMessage="1" errorTitle="Invalid value entered" error="The Average Depth Embededdment you entered is invalid. The Average Depth Embededdment must be &lt;= 1.59 and &gt;= 0.01" sqref="Q31 Q33" xr:uid="{C43B6152-BAB3-D741-9109-10F36DAD1BD4}">
      <formula1>0.01</formula1>
      <formula2>1.59</formula2>
    </dataValidation>
    <dataValidation type="decimal" allowBlank="1" showInputMessage="1" showErrorMessage="1" errorTitle="Invalid value entered" error="The Average Depth Embededdment you entered is invalid. The Average Depth Embededdment must be &lt;= 0.79 and &gt;= 0.01" sqref="Q36 Q151 Q144 Q140 Q94 Q91 Q87" xr:uid="{80EAA721-D46A-E144-9D8F-9E7EE39BEE19}">
      <formula1>0.01</formula1>
      <formula2>0.79</formula2>
    </dataValidation>
    <dataValidation type="decimal" allowBlank="1" showInputMessage="1" showErrorMessage="1" errorTitle="Invalid value entered" error="The Average Depth Embededdment you entered is invalid. The Average Depth Embededdment must be &lt;= 1.39 and &gt;= 0.01" sqref="Q41 Q148 Q125 Q61" xr:uid="{99C7F670-AFC0-3A4D-BA5F-06032CD2D443}">
      <formula1>0.01</formula1>
      <formula2>1.39</formula2>
    </dataValidation>
    <dataValidation type="decimal" allowBlank="1" showInputMessage="1" showErrorMessage="1" errorTitle="Invalid value entered" error="The Average Depth Embededdment you entered is invalid. The Average Depth Embededdment must be &lt;= 2.59 and &gt;= 0.01" sqref="Q45 Q126 Q57 Q53 Q50" xr:uid="{728DC903-DC86-BC44-A5AA-A650DEBA3AF2}">
      <formula1>0.01</formula1>
      <formula2>2.59</formula2>
    </dataValidation>
    <dataValidation type="decimal" allowBlank="1" showInputMessage="1" showErrorMessage="1" errorTitle="Invalid value entered" error="The Average Depth Embededdment you entered is invalid. The Average Depth Embededdment must be &lt;= 1.99 and &gt;= 0.01" sqref="Q47 Q163 Q152 Q149 Q84 Q70" xr:uid="{824330F4-5A03-F14C-8AD8-B7BD3D7C11FF}">
      <formula1>0.01</formula1>
      <formula2>1.99</formula2>
    </dataValidation>
    <dataValidation type="decimal" allowBlank="1" showInputMessage="1" showErrorMessage="1" errorTitle="Invalid value entered" error="The Average Depth Embededdment you entered is invalid. The Average Depth Embededdment must be &lt;= 2.29 and &gt;= 0.01" sqref="Q51" xr:uid="{976D0FBF-92C3-E146-AF65-7E0ECD7A7D37}">
      <formula1>0.01</formula1>
      <formula2>2.29</formula2>
    </dataValidation>
    <dataValidation type="decimal" allowBlank="1" showInputMessage="1" showErrorMessage="1" errorTitle="Invalid value entered" error="The Average Depth Embededdment you entered is invalid. The Average Depth Embededdment must be &lt;= 3.99 and &gt;= 0.01" sqref="Q55 Q172 Q146 Q63" xr:uid="{37CDD96D-379E-EA4F-8094-7DB495021E88}">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56" xr:uid="{9CF84E09-75CD-0144-BAA6-6AA723082C8A}">
      <formula1>0.01</formula1>
      <formula2>3.49</formula2>
    </dataValidation>
    <dataValidation type="decimal" allowBlank="1" showInputMessage="1" showErrorMessage="1" errorTitle="Invalid value entered" error="The Average Depth Embededdment you entered is invalid. The Average Depth Embededdment must be &lt;= 2.39 and &gt;= 0.01" sqref="Q68 Q109:Q110" xr:uid="{4165210A-5957-6E43-827B-18E39A3AAE68}">
      <formula1>0.01</formula1>
      <formula2>2.39</formula2>
    </dataValidation>
    <dataValidation type="decimal" allowBlank="1" showInputMessage="1" showErrorMessage="1" errorTitle="Invalid value entered" error="The Average Depth Embededdment you entered is invalid. The Average Depth Embededdment must be &lt;= 2.79 and &gt;= 0.01" sqref="Q73 Q118" xr:uid="{BF3FB674-801F-F04D-A799-37AF2C05C724}">
      <formula1>0.01</formula1>
      <formula2>2.79</formula2>
    </dataValidation>
    <dataValidation type="decimal" allowBlank="1" showInputMessage="1" showErrorMessage="1" errorTitle="Invalid value entered" error="The Average Depth Embededdment you entered is invalid. The Average Depth Embededdment must be &lt;= 6.49 and &gt;= 0.01" sqref="Q74" xr:uid="{D5197D2F-6691-6544-967D-0AFDFD76BF54}">
      <formula1>0.01</formula1>
      <formula2>6.49</formula2>
    </dataValidation>
    <dataValidation type="decimal" allowBlank="1" showInputMessage="1" showErrorMessage="1" errorTitle="Invalid value entered" error="The Average Depth Embededdment you entered is invalid. The Average Depth Embededdment must be &lt;= 3.09 and &gt;= 0.01" sqref="Q79 Q136" xr:uid="{80EDDAC1-DC42-D34F-B715-457E094AEE0C}">
      <formula1>0.01</formula1>
      <formula2>3.09</formula2>
    </dataValidation>
    <dataValidation type="decimal" allowBlank="1" showInputMessage="1" showErrorMessage="1" errorTitle="Invalid value entered" error="The Average Depth Embededdment you entered is invalid. The Average Depth Embededdment must be &lt;= 2.69 and &gt;= 0.01" sqref="Q81 Q159 Q114" xr:uid="{625E135D-0D63-6C4E-821B-214DD791AB7C}">
      <formula1>0.01</formula1>
      <formula2>2.69</formula2>
    </dataValidation>
    <dataValidation type="decimal" allowBlank="1" showInputMessage="1" showErrorMessage="1" errorTitle="Invalid value entered" error="The Average Depth Embededdment you entered is invalid. The Average Depth Embededdment must be &lt;= 1.29 and &gt;= 0.01" sqref="Q89 Q138 Q111" xr:uid="{C5E2A141-DC71-3446-A9E9-E112100C54BF}">
      <formula1>0.01</formula1>
      <formula2>1.29</formula2>
    </dataValidation>
    <dataValidation type="decimal" allowBlank="1" showInputMessage="1" showErrorMessage="1" errorTitle="Invalid value entered" error="The Average Depth Embededdment you entered is invalid. The Average Depth Embededdment must be &lt;= 1.04 and &gt;= 0.01" sqref="Q95 Q156 Q122" xr:uid="{99063213-943D-C847-8BD3-5AC4F42D6DF3}">
      <formula1>0.01</formula1>
      <formula2>1.04</formula2>
    </dataValidation>
    <dataValidation type="decimal" allowBlank="1" showInputMessage="1" showErrorMessage="1" errorTitle="Invalid value entered" error="The Average Depth Embededdment you entered is invalid. The Average Depth Embededdment must be &lt;= 4.69 and &gt;= 0.01" sqref="Q98" xr:uid="{AFD333FF-B7CE-E04C-A468-CAB00C6EB4DD}">
      <formula1>0.01</formula1>
      <formula2>4.69</formula2>
    </dataValidation>
    <dataValidation type="decimal" allowBlank="1" showInputMessage="1" showErrorMessage="1" errorTitle="Invalid value entered" error="The Average Depth Embededdment you entered is invalid. The Average Depth Embededdment must be &lt;= 4.09 and &gt;= 0.01" sqref="Q113" xr:uid="{A9373914-1E9D-8A41-B6C7-E48197A295DB}">
      <formula1>0.01</formula1>
      <formula2>4.09</formula2>
    </dataValidation>
    <dataValidation type="decimal" allowBlank="1" showInputMessage="1" showErrorMessage="1" errorTitle="Invalid value entered" error="The Average Depth Embededdment you entered is invalid. The Average Depth Embededdment must be &lt;= 3.64 and &gt;= 0.01" sqref="Q128" xr:uid="{CE6D0619-C59E-2648-9629-0A488A498E4C}">
      <formula1>0.01</formula1>
      <formula2>3.64</formula2>
    </dataValidation>
    <dataValidation type="decimal" allowBlank="1" showInputMessage="1" showErrorMessage="1" errorTitle="Invalid value entered" error="The Average Depth Embededdment you entered is invalid. The Average Depth Embededdment must be &lt;= 2.24 and &gt;= 0.01" sqref="Q129" xr:uid="{F801D9B1-61D5-DE4E-82B0-66B80C2C9598}">
      <formula1>0.01</formula1>
      <formula2>2.24</formula2>
    </dataValidation>
    <dataValidation type="decimal" allowBlank="1" showInputMessage="1" showErrorMessage="1" errorTitle="Invalid value entered" error="The Average Depth Embededdment you entered is invalid. The Average Depth Embededdment must be &lt;= 11.99 and &gt;= 0.01" sqref="Q132 Q177" xr:uid="{9EEFB8C9-3DE6-6044-9A3A-AD9BE998E6DA}">
      <formula1>0.01</formula1>
      <formula2>11.99</formula2>
    </dataValidation>
    <dataValidation type="decimal" allowBlank="1" showInputMessage="1" showErrorMessage="1" errorTitle="Invalid value entered" error="The Average Depth Embededdment you entered is invalid. The Average Depth Embededdment must be &lt;= 2.34 and &gt;= 0.01" sqref="Q139" xr:uid="{21127289-ADD0-6342-B028-62A57A4433C4}">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143" xr:uid="{26394667-BAF3-D74F-BB5A-FFEF80B018C5}">
      <formula1>0.01</formula1>
      <formula2>2.09</formula2>
    </dataValidation>
    <dataValidation type="decimal" allowBlank="1" showInputMessage="1" showErrorMessage="1" errorTitle="Invalid value entered" error="The Average Depth Embededdment you entered is invalid. The Average Depth Embededdment must be &lt;= 3.29 and &gt;= 0.01" sqref="Q150" xr:uid="{15AD1DD3-A3BD-024E-8941-9D062D15E5B2}">
      <formula1>0.01</formula1>
      <formula2>3.29</formula2>
    </dataValidation>
    <dataValidation type="decimal" allowBlank="1" showInputMessage="1" showErrorMessage="1" errorTitle="Invalid value entered" error="The Average Depth Embededdment you entered is invalid. The Average Depth Embededdment must be &lt;= 0.69 and &gt;= 0.01" sqref="Q153" xr:uid="{7960A5C3-2C68-064E-B1A0-FAFA58D03D04}">
      <formula1>0.01</formula1>
      <formula2>0.69</formula2>
    </dataValidation>
    <dataValidation type="decimal" allowBlank="1" showInputMessage="1" showErrorMessage="1" errorTitle="Invalid value entered" error="The Average Depth Embededdment you entered is invalid. The Average Depth Embededdment must be &lt;= 3.79 and &gt;= 0.01" sqref="Q161" xr:uid="{E665D40B-978D-384C-A808-D0E44B303E0F}">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62" xr:uid="{122FD96F-B88F-B340-8FC2-BA864B846F13}">
      <formula1>0.01</formula1>
      <formula2>4.79</formula2>
    </dataValidation>
    <dataValidation type="decimal" allowBlank="1" showInputMessage="1" showErrorMessage="1" errorTitle="Invalid value entered" error="The Average Depth Embededdment you entered is invalid. The Average Depth Embededdment must be &lt;= 0.74 and &gt;= 0.01" sqref="Q165" xr:uid="{AA218E34-F9AD-1D45-AF9C-16569DD57403}">
      <formula1>0.01</formula1>
      <formula2>0.74</formula2>
    </dataValidation>
    <dataValidation type="decimal" allowBlank="1" showInputMessage="1" showErrorMessage="1" errorTitle="Invalid value entered" error="The Average Depth Embededdment you entered is invalid. The Average Depth Embededdment must be &lt;= 3.69 and &gt;= 0.01" sqref="Q166" xr:uid="{BF6B1875-D82D-4949-8617-C84470DD9CE4}">
      <formula1>0.01</formula1>
      <formula2>3.69</formula2>
    </dataValidation>
    <dataValidation type="decimal" allowBlank="1" showInputMessage="1" showErrorMessage="1" errorTitle="Invalid value entered" error="The Average Depth Embededdment you entered is invalid. The Average Depth Embededdment must be &lt;= 4.39 and &gt;= 0.01" sqref="Q171" xr:uid="{046F0F00-2972-BB40-9706-F184A1830A8C}">
      <formula1>0.01</formula1>
      <formula2>4.39</formula2>
    </dataValidation>
    <dataValidation type="list" allowBlank="1" showInputMessage="1" showErrorMessage="1" errorTitle="Invalid value entered" error="The crossing subtype is not compatible with a crossing type of Open Bottom Structure" sqref="M172:M177" xr:uid="{B3C7E0EF-46B9-9B49-8AD7-F6652DFEB7BE}">
      <formula1>"Bridge, Pipe Arch, Wood Box Culvert"</formula1>
    </dataValidation>
    <dataValidation type="decimal" allowBlank="1" showInputMessage="1" showErrorMessage="1" errorTitle="Invalid Diamter or Span" error="The Diameter or Span entered is invalid. Diameter or Span must be &gt; 0 and &lt; 100" sqref="N172:N177" xr:uid="{F86C7E9A-ECA0-834E-8CDF-2EB5D00F6232}">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3" xr:uid="{23ACCCBD-9B7E-7C44-BCD0-3A6A9E459765}">
      <formula1>0.01</formula1>
      <formula2>2.64</formula2>
    </dataValidation>
    <dataValidation type="decimal" allowBlank="1" showInputMessage="1" showErrorMessage="1" errorTitle="Invalid value entered" error="The Average Depth Embededdment you entered is invalid. The Average Depth Embededdment must be &lt;= 12.99 and &gt;= 0.01" sqref="Q174 Q176" xr:uid="{41841A0F-1272-E24D-927E-299B2B3A814C}">
      <formula1>0.01</formula1>
      <formula2>12.99</formula2>
    </dataValidation>
    <dataValidation type="decimal" allowBlank="1" showInputMessage="1" showErrorMessage="1" errorTitle="Invalid value entered" error="The Average Depth Embededdment you entered is invalid. The Average Depth Embededdment must be &lt;= 19.99 and &gt;= 0.01" sqref="Q175" xr:uid="{C925C875-743F-D542-969D-4C99FF758DAE}">
      <formula1>0.01</formula1>
      <formula2>19.99</formula2>
    </dataValidation>
    <dataValidation type="list" allowBlank="1" showInputMessage="1" showErrorMessage="1" errorTitle="Invalid value entered" error="The crossing subtype is not compatible with a crossing type of Other" sqref="M178:M181" xr:uid="{1D87CE9A-7B9D-0946-A075-1F6AC099735C}">
      <formula1>"Ford"</formula1>
    </dataValidation>
    <dataValidation type="decimal" allowBlank="1" showInputMessage="1" showErrorMessage="1" errorTitle="Invalid value entered" error="The Average Depth Embededdment you entered is invalid. The Average Depth Embededdment must be &lt;= 7.09 and &gt;= 0.01" sqref="Q5" xr:uid="{10619869-8ACA-CB43-8BAB-87D8640C9212}">
      <formula1>0.01</formula1>
      <formula2>7.09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3"/>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489</v>
      </c>
      <c r="B1" s="5" t="s">
        <v>490</v>
      </c>
      <c r="C1" s="15" t="s">
        <v>491</v>
      </c>
    </row>
    <row r="2" spans="1:3" ht="32">
      <c r="A2" s="16" t="s">
        <v>492</v>
      </c>
      <c r="B2" s="16">
        <v>18</v>
      </c>
      <c r="C2" s="17" t="s">
        <v>493</v>
      </c>
    </row>
    <row r="3" spans="1:3" ht="32">
      <c r="A3" s="16" t="s">
        <v>492</v>
      </c>
      <c r="B3" s="16">
        <v>18</v>
      </c>
      <c r="C3" s="17" t="s">
        <v>493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Dylan Hemsworth</dc:creator>
  <cp:keywords/>
  <dc:description/>
  <cp:lastModifiedBy>Lucy Schick</cp:lastModifiedBy>
  <cp:revision/>
  <dcterms:created xsi:type="dcterms:W3CDTF">2011-03-01T02:31:49Z</dcterms:created>
  <dcterms:modified xsi:type="dcterms:W3CDTF">2024-10-28T16:45:07Z</dcterms:modified>
  <cp:category/>
  <cp:contentStatus/>
</cp:coreProperties>
</file>