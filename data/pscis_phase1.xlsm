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airvine/Projects/repo/fish_passage_fraser_2023_reporting/data/"/>
    </mc:Choice>
  </mc:AlternateContent>
  <xr:revisionPtr revIDLastSave="0" documentId="13_ncr:1_{2FDD946F-5DC7-3E44-9C2D-3F01828FD397}" xr6:coauthVersionLast="47" xr6:coauthVersionMax="47" xr10:uidLastSave="{00000000-0000-0000-0000-000000000000}"/>
  <bookViews>
    <workbookView xWindow="0" yWindow="740" windowWidth="30240" windowHeight="189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34"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c r="AJ5188" i="2"/>
  <c r="AI5188" i="2"/>
  <c r="AH5188" i="2"/>
  <c r="AG5188" i="2"/>
  <c r="AF5188" i="2"/>
  <c r="AK5188" i="2" s="1"/>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L5166" i="2"/>
  <c r="AH5166" i="2"/>
  <c r="AG5166" i="2"/>
  <c r="AF5166" i="2"/>
  <c r="AK5166" i="2"/>
  <c r="AJ5165" i="2"/>
  <c r="AI5165" i="2"/>
  <c r="AH5165" i="2"/>
  <c r="AG5165" i="2"/>
  <c r="AF5165" i="2"/>
  <c r="AK5165" i="2"/>
  <c r="AJ5164" i="2"/>
  <c r="AI5164" i="2"/>
  <c r="AH5164" i="2"/>
  <c r="AG5164" i="2"/>
  <c r="AF5164" i="2"/>
  <c r="AK5164" i="2" s="1"/>
  <c r="AJ5163" i="2"/>
  <c r="AI5163" i="2"/>
  <c r="AH5163" i="2"/>
  <c r="AG5163" i="2"/>
  <c r="AF5163" i="2"/>
  <c r="AK5163" i="2" s="1"/>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s="1"/>
  <c r="AL5131" i="2" s="1"/>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s="1"/>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s="1"/>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L5057" i="2" s="1"/>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s="1"/>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c r="AJ5030" i="2"/>
  <c r="AI5030" i="2"/>
  <c r="AH5030" i="2"/>
  <c r="AG5030" i="2"/>
  <c r="AF5030" i="2"/>
  <c r="AK5030" i="2"/>
  <c r="AJ5029" i="2"/>
  <c r="AI5029" i="2"/>
  <c r="AH5029" i="2"/>
  <c r="AG5029" i="2"/>
  <c r="AF5029" i="2"/>
  <c r="AK5029" i="2"/>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c r="AG11" i="2"/>
  <c r="AL11" i="2" s="1"/>
  <c r="AM11" i="2" s="1"/>
  <c r="AH11" i="2"/>
  <c r="AI11" i="2"/>
  <c r="AJ11" i="2"/>
  <c r="AF12" i="2"/>
  <c r="AK12" i="2" s="1"/>
  <c r="AG12" i="2"/>
  <c r="AH12" i="2"/>
  <c r="AI12" i="2"/>
  <c r="AJ12" i="2"/>
  <c r="AF13" i="2"/>
  <c r="AK13" i="2" s="1"/>
  <c r="AL13" i="2" s="1"/>
  <c r="AM13" i="2" s="1"/>
  <c r="AG13" i="2"/>
  <c r="AH13" i="2"/>
  <c r="AI13" i="2"/>
  <c r="AJ13" i="2"/>
  <c r="AF14" i="2"/>
  <c r="AK14" i="2"/>
  <c r="AG14" i="2"/>
  <c r="AL14" i="2" s="1"/>
  <c r="AM14" i="2" s="1"/>
  <c r="AH14" i="2"/>
  <c r="AI14" i="2"/>
  <c r="AJ14" i="2"/>
  <c r="AF15" i="2"/>
  <c r="AK15" i="2" s="1"/>
  <c r="AG15" i="2"/>
  <c r="AH15" i="2"/>
  <c r="AI15" i="2"/>
  <c r="AJ15" i="2"/>
  <c r="AF16" i="2"/>
  <c r="AK16" i="2" s="1"/>
  <c r="AL16" i="2" s="1"/>
  <c r="AM16" i="2" s="1"/>
  <c r="AG16" i="2"/>
  <c r="AH16" i="2"/>
  <c r="AI16" i="2"/>
  <c r="AJ16" i="2"/>
  <c r="AF17" i="2"/>
  <c r="AK17" i="2"/>
  <c r="AG17" i="2"/>
  <c r="AH17" i="2"/>
  <c r="AI17" i="2"/>
  <c r="AJ17" i="2"/>
  <c r="AF18" i="2"/>
  <c r="AK18" i="2" s="1"/>
  <c r="AG18" i="2"/>
  <c r="AL18" i="2" s="1"/>
  <c r="AM18" i="2" s="1"/>
  <c r="AH18" i="2"/>
  <c r="AI18" i="2"/>
  <c r="AJ18" i="2"/>
  <c r="AF19" i="2"/>
  <c r="AK19" i="2" s="1"/>
  <c r="AG19" i="2"/>
  <c r="AH19" i="2"/>
  <c r="AL19" i="2" s="1"/>
  <c r="AM19" i="2" s="1"/>
  <c r="AI19" i="2"/>
  <c r="AJ19" i="2"/>
  <c r="AF20" i="2"/>
  <c r="AK20" i="2" s="1"/>
  <c r="AL20" i="2" s="1"/>
  <c r="AM20" i="2" s="1"/>
  <c r="AG20" i="2"/>
  <c r="AH20" i="2"/>
  <c r="AI20" i="2"/>
  <c r="AJ20" i="2"/>
  <c r="AF21" i="2"/>
  <c r="AK21" i="2" s="1"/>
  <c r="AG21" i="2"/>
  <c r="AH21" i="2"/>
  <c r="AI21" i="2"/>
  <c r="AJ21" i="2"/>
  <c r="AF22" i="2"/>
  <c r="AK22" i="2" s="1"/>
  <c r="AL22" i="2" s="1"/>
  <c r="AM22" i="2" s="1"/>
  <c r="AG22" i="2"/>
  <c r="AH22" i="2"/>
  <c r="AI22" i="2"/>
  <c r="AJ22" i="2"/>
  <c r="AF23" i="2"/>
  <c r="AK23" i="2"/>
  <c r="AG23" i="2"/>
  <c r="AL23" i="2" s="1"/>
  <c r="AM23" i="2" s="1"/>
  <c r="AH23" i="2"/>
  <c r="AI23" i="2"/>
  <c r="AJ23" i="2"/>
  <c r="AF24" i="2"/>
  <c r="AK24" i="2" s="1"/>
  <c r="AG24" i="2"/>
  <c r="AH24" i="2"/>
  <c r="AI24" i="2"/>
  <c r="AJ24" i="2"/>
  <c r="AF25" i="2"/>
  <c r="AK25" i="2" s="1"/>
  <c r="AG25" i="2"/>
  <c r="AL25" i="2" s="1"/>
  <c r="AM25" i="2" s="1"/>
  <c r="AH25" i="2"/>
  <c r="AI25" i="2"/>
  <c r="AJ25" i="2"/>
  <c r="AF26" i="2"/>
  <c r="AK26" i="2"/>
  <c r="AG26" i="2"/>
  <c r="AH26" i="2"/>
  <c r="AI26" i="2"/>
  <c r="AL26" i="2" s="1"/>
  <c r="AM26" i="2" s="1"/>
  <c r="AJ26" i="2"/>
  <c r="AF27" i="2"/>
  <c r="AK27" i="2" s="1"/>
  <c r="AL27" i="2" s="1"/>
  <c r="AM27" i="2" s="1"/>
  <c r="AG27" i="2"/>
  <c r="AH27" i="2"/>
  <c r="AI27" i="2"/>
  <c r="AJ27" i="2"/>
  <c r="AF28" i="2"/>
  <c r="AK28" i="2" s="1"/>
  <c r="AL28" i="2" s="1"/>
  <c r="AM28" i="2" s="1"/>
  <c r="AG28" i="2"/>
  <c r="AH28" i="2"/>
  <c r="AI28" i="2"/>
  <c r="AJ28" i="2"/>
  <c r="AF29" i="2"/>
  <c r="AK29" i="2" s="1"/>
  <c r="AL29" i="2" s="1"/>
  <c r="AM29" i="2" s="1"/>
  <c r="AG29" i="2"/>
  <c r="AH29" i="2"/>
  <c r="AI29" i="2"/>
  <c r="AJ29" i="2"/>
  <c r="AF30" i="2"/>
  <c r="AK30" i="2" s="1"/>
  <c r="AG30" i="2"/>
  <c r="AL30" i="2" s="1"/>
  <c r="AM30" i="2" s="1"/>
  <c r="AH30" i="2"/>
  <c r="AI30" i="2"/>
  <c r="AJ30" i="2"/>
  <c r="AF31" i="2"/>
  <c r="AK31" i="2" s="1"/>
  <c r="AG31" i="2"/>
  <c r="AH31" i="2"/>
  <c r="AI31" i="2"/>
  <c r="AJ31" i="2"/>
  <c r="AF32" i="2"/>
  <c r="AK32" i="2" s="1"/>
  <c r="AL32" i="2" s="1"/>
  <c r="AM32" i="2" s="1"/>
  <c r="AG32" i="2"/>
  <c r="AH32" i="2"/>
  <c r="AI32" i="2"/>
  <c r="AJ32" i="2"/>
  <c r="AF33" i="2"/>
  <c r="AK33" i="2" s="1"/>
  <c r="AG33" i="2"/>
  <c r="AH33" i="2"/>
  <c r="AI33" i="2"/>
  <c r="AJ33" i="2"/>
  <c r="AL33" i="2" s="1"/>
  <c r="AM33" i="2" s="1"/>
  <c r="AF34" i="2"/>
  <c r="AK34" i="2"/>
  <c r="AG34" i="2"/>
  <c r="AL34" i="2" s="1"/>
  <c r="AM34" i="2" s="1"/>
  <c r="AH34" i="2"/>
  <c r="AI34" i="2"/>
  <c r="AJ34" i="2"/>
  <c r="AF35" i="2"/>
  <c r="AK35" i="2" s="1"/>
  <c r="AG35" i="2"/>
  <c r="AH35" i="2"/>
  <c r="AI35" i="2"/>
  <c r="AJ35" i="2"/>
  <c r="AF36" i="2"/>
  <c r="AK36" i="2" s="1"/>
  <c r="AG36" i="2"/>
  <c r="AL36" i="2" s="1"/>
  <c r="AM36" i="2" s="1"/>
  <c r="AH36" i="2"/>
  <c r="AI36" i="2"/>
  <c r="AJ36" i="2"/>
  <c r="AF37" i="2"/>
  <c r="AK37" i="2" s="1"/>
  <c r="AG37" i="2"/>
  <c r="AH37" i="2"/>
  <c r="AI37" i="2"/>
  <c r="AJ37" i="2"/>
  <c r="AF38" i="2"/>
  <c r="AK38" i="2" s="1"/>
  <c r="AL38" i="2" s="1"/>
  <c r="AM38" i="2" s="1"/>
  <c r="AG38" i="2"/>
  <c r="AH38" i="2"/>
  <c r="AI38" i="2"/>
  <c r="AJ38" i="2"/>
  <c r="AF39" i="2"/>
  <c r="AK39" i="2"/>
  <c r="AG39" i="2"/>
  <c r="AL39" i="2" s="1"/>
  <c r="AM39" i="2" s="1"/>
  <c r="AH39" i="2"/>
  <c r="AI39" i="2"/>
  <c r="AJ39" i="2"/>
  <c r="AF40" i="2"/>
  <c r="AK40" i="2" s="1"/>
  <c r="AG40" i="2"/>
  <c r="AH40" i="2"/>
  <c r="AI40" i="2"/>
  <c r="AJ40" i="2"/>
  <c r="AF41" i="2"/>
  <c r="AK41" i="2" s="1"/>
  <c r="AG41" i="2"/>
  <c r="AH41" i="2"/>
  <c r="AI41" i="2"/>
  <c r="AJ41" i="2"/>
  <c r="AF42" i="2"/>
  <c r="AK42" i="2"/>
  <c r="AG42" i="2"/>
  <c r="AH42" i="2"/>
  <c r="AI42" i="2"/>
  <c r="AL42" i="2" s="1"/>
  <c r="AM42" i="2" s="1"/>
  <c r="AJ42" i="2"/>
  <c r="AF43" i="2"/>
  <c r="AK43" i="2" s="1"/>
  <c r="AG43" i="2"/>
  <c r="AH43" i="2"/>
  <c r="AI43" i="2"/>
  <c r="AJ43" i="2"/>
  <c r="AF44" i="2"/>
  <c r="AK44" i="2" s="1"/>
  <c r="AG44" i="2"/>
  <c r="AH44" i="2"/>
  <c r="AL44" i="2" s="1"/>
  <c r="AM44" i="2" s="1"/>
  <c r="AI44" i="2"/>
  <c r="AJ44" i="2"/>
  <c r="AF45" i="2"/>
  <c r="AK45" i="2" s="1"/>
  <c r="AL45" i="2" s="1"/>
  <c r="AM45" i="2" s="1"/>
  <c r="AG45" i="2"/>
  <c r="AH45" i="2"/>
  <c r="AI45" i="2"/>
  <c r="AJ45" i="2"/>
  <c r="AF46" i="2"/>
  <c r="AK46" i="2" s="1"/>
  <c r="AG46" i="2"/>
  <c r="AL46" i="2" s="1"/>
  <c r="AM46" i="2" s="1"/>
  <c r="AH46" i="2"/>
  <c r="AI46" i="2"/>
  <c r="AJ46" i="2"/>
  <c r="AF47" i="2"/>
  <c r="AK47" i="2" s="1"/>
  <c r="AL47" i="2" s="1"/>
  <c r="AM47" i="2" s="1"/>
  <c r="AG47" i="2"/>
  <c r="AH47" i="2"/>
  <c r="AI47" i="2"/>
  <c r="AJ47" i="2"/>
  <c r="AF48" i="2"/>
  <c r="AK48" i="2" s="1"/>
  <c r="AG48" i="2"/>
  <c r="AH48" i="2"/>
  <c r="AI48" i="2"/>
  <c r="AJ48" i="2"/>
  <c r="AF49" i="2"/>
  <c r="AK49" i="2" s="1"/>
  <c r="AG49" i="2"/>
  <c r="AH49" i="2"/>
  <c r="AI49" i="2"/>
  <c r="AJ49" i="2"/>
  <c r="AF50" i="2"/>
  <c r="AK50" i="2" s="1"/>
  <c r="AG50" i="2"/>
  <c r="AL50" i="2" s="1"/>
  <c r="AM50" i="2" s="1"/>
  <c r="AH50" i="2"/>
  <c r="AI50" i="2"/>
  <c r="AJ50" i="2"/>
  <c r="AF51" i="2"/>
  <c r="AK51" i="2"/>
  <c r="AG51" i="2"/>
  <c r="AH51" i="2"/>
  <c r="AI51" i="2"/>
  <c r="AJ51" i="2"/>
  <c r="AF52" i="2"/>
  <c r="AK52" i="2" s="1"/>
  <c r="AL52" i="2" s="1"/>
  <c r="AM52" i="2" s="1"/>
  <c r="AG52" i="2"/>
  <c r="AH52" i="2"/>
  <c r="AI52" i="2"/>
  <c r="AJ52" i="2"/>
  <c r="AF53" i="2"/>
  <c r="AK53" i="2" s="1"/>
  <c r="AG53" i="2"/>
  <c r="AH53" i="2"/>
  <c r="AL53" i="2" s="1"/>
  <c r="AM53" i="2" s="1"/>
  <c r="AI53" i="2"/>
  <c r="AJ53" i="2"/>
  <c r="AF54" i="2"/>
  <c r="AK54" i="2" s="1"/>
  <c r="AL54" i="2" s="1"/>
  <c r="AM54" i="2" s="1"/>
  <c r="AG54" i="2"/>
  <c r="AH54" i="2"/>
  <c r="AI54" i="2"/>
  <c r="AJ54" i="2"/>
  <c r="AF55" i="2"/>
  <c r="AK55" i="2" s="1"/>
  <c r="AL55" i="2" s="1"/>
  <c r="AM55" i="2" s="1"/>
  <c r="AG55" i="2"/>
  <c r="AH55" i="2"/>
  <c r="AI55" i="2"/>
  <c r="AJ55" i="2"/>
  <c r="AF56" i="2"/>
  <c r="AK56" i="2" s="1"/>
  <c r="AL56" i="2" s="1"/>
  <c r="AM56" i="2" s="1"/>
  <c r="AG56" i="2"/>
  <c r="AH56" i="2"/>
  <c r="AI56" i="2"/>
  <c r="AJ56" i="2"/>
  <c r="AF57" i="2"/>
  <c r="AK57" i="2" s="1"/>
  <c r="AL57" i="2" s="1"/>
  <c r="AM57" i="2" s="1"/>
  <c r="AG57" i="2"/>
  <c r="AH57" i="2"/>
  <c r="AI57" i="2"/>
  <c r="AJ57" i="2"/>
  <c r="AF58" i="2"/>
  <c r="AK58" i="2" s="1"/>
  <c r="AG58" i="2"/>
  <c r="AH58" i="2"/>
  <c r="AI58" i="2"/>
  <c r="AJ58" i="2"/>
  <c r="AL58" i="2" s="1"/>
  <c r="AM58" i="2" s="1"/>
  <c r="AF59" i="2"/>
  <c r="AK59" i="2" s="1"/>
  <c r="AG59" i="2"/>
  <c r="AL59" i="2" s="1"/>
  <c r="AM59" i="2" s="1"/>
  <c r="AH59" i="2"/>
  <c r="AI59" i="2"/>
  <c r="AJ59" i="2"/>
  <c r="AF60" i="2"/>
  <c r="AK60" i="2"/>
  <c r="AG60" i="2"/>
  <c r="AH60" i="2"/>
  <c r="AI60" i="2"/>
  <c r="AJ60" i="2"/>
  <c r="AF61" i="2"/>
  <c r="AK61" i="2" s="1"/>
  <c r="AL61" i="2" s="1"/>
  <c r="AM61" i="2" s="1"/>
  <c r="AG61" i="2"/>
  <c r="AH61" i="2"/>
  <c r="AI61" i="2"/>
  <c r="AJ61" i="2"/>
  <c r="AF62" i="2"/>
  <c r="AK62" i="2" s="1"/>
  <c r="AG62" i="2"/>
  <c r="AH62" i="2"/>
  <c r="AI62" i="2"/>
  <c r="AJ62" i="2"/>
  <c r="AF63" i="2"/>
  <c r="AK63" i="2" s="1"/>
  <c r="AG63" i="2"/>
  <c r="AH63" i="2"/>
  <c r="AI63" i="2"/>
  <c r="AJ63" i="2"/>
  <c r="AF64" i="2"/>
  <c r="AK64" i="2"/>
  <c r="AG64" i="2"/>
  <c r="AH64" i="2"/>
  <c r="AI64" i="2"/>
  <c r="AJ64" i="2"/>
  <c r="AF65" i="2"/>
  <c r="AK65" i="2" s="1"/>
  <c r="AL65" i="2" s="1"/>
  <c r="AM65" i="2" s="1"/>
  <c r="AG65" i="2"/>
  <c r="AH65" i="2"/>
  <c r="AI65" i="2"/>
  <c r="AJ65" i="2"/>
  <c r="AF66" i="2"/>
  <c r="AK66" i="2" s="1"/>
  <c r="AL66" i="2" s="1"/>
  <c r="AM66" i="2" s="1"/>
  <c r="AG66" i="2"/>
  <c r="AH66" i="2"/>
  <c r="AI66" i="2"/>
  <c r="AJ66" i="2"/>
  <c r="AF67" i="2"/>
  <c r="AK67" i="2" s="1"/>
  <c r="AG67" i="2"/>
  <c r="AH67" i="2"/>
  <c r="AI67" i="2"/>
  <c r="AJ67" i="2"/>
  <c r="AL67" i="2" s="1"/>
  <c r="AM67" i="2" s="1"/>
  <c r="AF68" i="2"/>
  <c r="AK68" i="2"/>
  <c r="AG68" i="2"/>
  <c r="AH68" i="2"/>
  <c r="AI68" i="2"/>
  <c r="AJ68" i="2"/>
  <c r="AF69" i="2"/>
  <c r="AK69" i="2" s="1"/>
  <c r="AG69" i="2"/>
  <c r="AH69" i="2"/>
  <c r="AL69" i="2" s="1"/>
  <c r="AM69" i="2" s="1"/>
  <c r="AI69" i="2"/>
  <c r="AJ69" i="2"/>
  <c r="AF70" i="2"/>
  <c r="AK70" i="2" s="1"/>
  <c r="AL70" i="2" s="1"/>
  <c r="AM70" i="2" s="1"/>
  <c r="AG70" i="2"/>
  <c r="AH70" i="2"/>
  <c r="AI70" i="2"/>
  <c r="AJ70" i="2"/>
  <c r="AF71" i="2"/>
  <c r="AK71" i="2" s="1"/>
  <c r="AG71" i="2"/>
  <c r="AH71" i="2"/>
  <c r="AI71" i="2"/>
  <c r="AJ71" i="2"/>
  <c r="AF72" i="2"/>
  <c r="AK72" i="2" s="1"/>
  <c r="AL72" i="2" s="1"/>
  <c r="AM72" i="2" s="1"/>
  <c r="AG72" i="2"/>
  <c r="AH72" i="2"/>
  <c r="AI72" i="2"/>
  <c r="AJ72" i="2"/>
  <c r="AF73" i="2"/>
  <c r="AK73" i="2" s="1"/>
  <c r="AL73" i="2" s="1"/>
  <c r="AM73" i="2" s="1"/>
  <c r="AG73" i="2"/>
  <c r="AH73" i="2"/>
  <c r="AI73" i="2"/>
  <c r="AJ73" i="2"/>
  <c r="AF74" i="2"/>
  <c r="AK74" i="2"/>
  <c r="AG74" i="2"/>
  <c r="AH74" i="2"/>
  <c r="AI74" i="2"/>
  <c r="AL74" i="2" s="1"/>
  <c r="AM74" i="2" s="1"/>
  <c r="AJ74" i="2"/>
  <c r="AF75" i="2"/>
  <c r="AK75" i="2" s="1"/>
  <c r="AL75" i="2" s="1"/>
  <c r="AM75" i="2" s="1"/>
  <c r="AG75" i="2"/>
  <c r="AH75" i="2"/>
  <c r="AI75" i="2"/>
  <c r="AJ75" i="2"/>
  <c r="AF76" i="2"/>
  <c r="AK76" i="2" s="1"/>
  <c r="AG76" i="2"/>
  <c r="AH76" i="2"/>
  <c r="AL76" i="2" s="1"/>
  <c r="AM76" i="2" s="1"/>
  <c r="AI76" i="2"/>
  <c r="AJ76" i="2"/>
  <c r="AF77" i="2"/>
  <c r="AK77" i="2" s="1"/>
  <c r="AL77" i="2" s="1"/>
  <c r="AM77" i="2" s="1"/>
  <c r="AG77" i="2"/>
  <c r="AH77" i="2"/>
  <c r="AI77" i="2"/>
  <c r="AJ77" i="2"/>
  <c r="AF78" i="2"/>
  <c r="AK78" i="2" s="1"/>
  <c r="AL78" i="2" s="1"/>
  <c r="AM78" i="2" s="1"/>
  <c r="AG78" i="2"/>
  <c r="AH78" i="2"/>
  <c r="AI78" i="2"/>
  <c r="AJ78" i="2"/>
  <c r="AF79" i="2"/>
  <c r="AK79" i="2" s="1"/>
  <c r="AL79" i="2" s="1"/>
  <c r="AM79" i="2" s="1"/>
  <c r="AG79" i="2"/>
  <c r="AH79" i="2"/>
  <c r="AI79" i="2"/>
  <c r="AJ79" i="2"/>
  <c r="AF80" i="2"/>
  <c r="AK80" i="2" s="1"/>
  <c r="AL80" i="2" s="1"/>
  <c r="AM80" i="2" s="1"/>
  <c r="AG80" i="2"/>
  <c r="AH80" i="2"/>
  <c r="AI80" i="2"/>
  <c r="AJ80" i="2"/>
  <c r="AF81" i="2"/>
  <c r="AK81" i="2"/>
  <c r="AG81" i="2"/>
  <c r="AH81" i="2"/>
  <c r="AI81" i="2"/>
  <c r="AL81" i="2" s="1"/>
  <c r="AM81" i="2" s="1"/>
  <c r="AJ81" i="2"/>
  <c r="AF82" i="2"/>
  <c r="AK82" i="2" s="1"/>
  <c r="AG82" i="2"/>
  <c r="AH82" i="2"/>
  <c r="AI82" i="2"/>
  <c r="AJ82" i="2"/>
  <c r="AF83" i="2"/>
  <c r="AK83" i="2" s="1"/>
  <c r="AG83" i="2"/>
  <c r="AH83" i="2"/>
  <c r="AI83" i="2"/>
  <c r="AJ83" i="2"/>
  <c r="AF84" i="2"/>
  <c r="AK84" i="2" s="1"/>
  <c r="AL84" i="2" s="1"/>
  <c r="AM84" i="2" s="1"/>
  <c r="AG84" i="2"/>
  <c r="AH84" i="2"/>
  <c r="AI84" i="2"/>
  <c r="AJ84" i="2"/>
  <c r="AF85" i="2"/>
  <c r="AK85" i="2" s="1"/>
  <c r="AG85" i="2"/>
  <c r="AH85" i="2"/>
  <c r="AI85" i="2"/>
  <c r="AJ85" i="2"/>
  <c r="AF86" i="2"/>
  <c r="AK86" i="2" s="1"/>
  <c r="AL86" i="2" s="1"/>
  <c r="AM86" i="2" s="1"/>
  <c r="AG86" i="2"/>
  <c r="AH86" i="2"/>
  <c r="AI86" i="2"/>
  <c r="AJ86" i="2"/>
  <c r="AF87" i="2"/>
  <c r="AK87" i="2" s="1"/>
  <c r="AG87" i="2"/>
  <c r="AL87" i="2" s="1"/>
  <c r="AM87" i="2" s="1"/>
  <c r="AH87" i="2"/>
  <c r="AI87" i="2"/>
  <c r="AJ87" i="2"/>
  <c r="AF88" i="2"/>
  <c r="AK88" i="2" s="1"/>
  <c r="AL88" i="2" s="1"/>
  <c r="AM88" i="2" s="1"/>
  <c r="AG88" i="2"/>
  <c r="AH88" i="2"/>
  <c r="AI88" i="2"/>
  <c r="AJ88" i="2"/>
  <c r="AF89" i="2"/>
  <c r="AK89" i="2" s="1"/>
  <c r="AG89" i="2"/>
  <c r="AL89" i="2" s="1"/>
  <c r="AM89" i="2" s="1"/>
  <c r="AH89" i="2"/>
  <c r="AI89" i="2"/>
  <c r="AJ89" i="2"/>
  <c r="AF90" i="2"/>
  <c r="AK90" i="2"/>
  <c r="AG90" i="2"/>
  <c r="AH90" i="2"/>
  <c r="AI90" i="2"/>
  <c r="AJ90" i="2"/>
  <c r="AF91" i="2"/>
  <c r="AK91" i="2" s="1"/>
  <c r="AL91" i="2" s="1"/>
  <c r="AM91" i="2" s="1"/>
  <c r="AG91" i="2"/>
  <c r="AH91" i="2"/>
  <c r="AI91" i="2"/>
  <c r="AJ91" i="2"/>
  <c r="AF92" i="2"/>
  <c r="AK92" i="2" s="1"/>
  <c r="AG92" i="2"/>
  <c r="AH92" i="2"/>
  <c r="AI92" i="2"/>
  <c r="AJ92" i="2"/>
  <c r="AF93" i="2"/>
  <c r="AK93" i="2" s="1"/>
  <c r="AL93" i="2" s="1"/>
  <c r="AM93" i="2" s="1"/>
  <c r="AG93" i="2"/>
  <c r="AH93" i="2"/>
  <c r="AI93" i="2"/>
  <c r="AJ93" i="2"/>
  <c r="AF94" i="2"/>
  <c r="AK94" i="2" s="1"/>
  <c r="AG94" i="2"/>
  <c r="AL94" i="2" s="1"/>
  <c r="AM94" i="2" s="1"/>
  <c r="AH94" i="2"/>
  <c r="AI94" i="2"/>
  <c r="AJ94" i="2"/>
  <c r="AF95" i="2"/>
  <c r="AK95" i="2" s="1"/>
  <c r="AL95" i="2" s="1"/>
  <c r="AM95" i="2" s="1"/>
  <c r="AG95" i="2"/>
  <c r="AH95" i="2"/>
  <c r="AI95" i="2"/>
  <c r="AJ95" i="2"/>
  <c r="AF96" i="2"/>
  <c r="AK96" i="2" s="1"/>
  <c r="AL96" i="2" s="1"/>
  <c r="AM96" i="2" s="1"/>
  <c r="AG96" i="2"/>
  <c r="AH96" i="2"/>
  <c r="AI96" i="2"/>
  <c r="AJ96" i="2"/>
  <c r="AF97" i="2"/>
  <c r="AK97" i="2"/>
  <c r="AG97" i="2"/>
  <c r="AH97" i="2"/>
  <c r="AI97" i="2"/>
  <c r="AL97" i="2" s="1"/>
  <c r="AM97" i="2" s="1"/>
  <c r="AJ97" i="2"/>
  <c r="AF98" i="2"/>
  <c r="AK98" i="2" s="1"/>
  <c r="AL98" i="2" s="1"/>
  <c r="AM98" i="2" s="1"/>
  <c r="AG98" i="2"/>
  <c r="AH98" i="2"/>
  <c r="AI98" i="2"/>
  <c r="AJ98" i="2"/>
  <c r="AF99" i="2"/>
  <c r="AK99" i="2" s="1"/>
  <c r="AG99" i="2"/>
  <c r="AH99" i="2"/>
  <c r="AI99" i="2"/>
  <c r="AJ99" i="2"/>
  <c r="AF100" i="2"/>
  <c r="AK100" i="2" s="1"/>
  <c r="AL100" i="2" s="1"/>
  <c r="AM100" i="2" s="1"/>
  <c r="AG100" i="2"/>
  <c r="AH100" i="2"/>
  <c r="AI100" i="2"/>
  <c r="AJ100" i="2"/>
  <c r="AF101" i="2"/>
  <c r="AK101" i="2"/>
  <c r="AG101" i="2"/>
  <c r="AL101" i="2" s="1"/>
  <c r="AM101" i="2" s="1"/>
  <c r="AH101" i="2"/>
  <c r="AI101" i="2"/>
  <c r="AJ101" i="2"/>
  <c r="AF102" i="2"/>
  <c r="AK102" i="2" s="1"/>
  <c r="AG102" i="2"/>
  <c r="AH102" i="2"/>
  <c r="AI102" i="2"/>
  <c r="AJ102" i="2"/>
  <c r="AL102" i="2" s="1"/>
  <c r="AM102" i="2" s="1"/>
  <c r="AF103" i="2"/>
  <c r="AK103" i="2"/>
  <c r="AG103" i="2"/>
  <c r="AH103" i="2"/>
  <c r="AI103" i="2"/>
  <c r="AJ103" i="2"/>
  <c r="AF104" i="2"/>
  <c r="AK104" i="2" s="1"/>
  <c r="AG104" i="2"/>
  <c r="AH104" i="2"/>
  <c r="AI104" i="2"/>
  <c r="AL104" i="2" s="1"/>
  <c r="AM104" i="2" s="1"/>
  <c r="AJ104" i="2"/>
  <c r="AF105" i="2"/>
  <c r="AK105" i="2" s="1"/>
  <c r="AL105" i="2" s="1"/>
  <c r="AM105" i="2" s="1"/>
  <c r="AG105" i="2"/>
  <c r="AH105" i="2"/>
  <c r="AI105" i="2"/>
  <c r="AJ105" i="2"/>
  <c r="AF106" i="2"/>
  <c r="AK106" i="2" s="1"/>
  <c r="AG106" i="2"/>
  <c r="AL106" i="2" s="1"/>
  <c r="AM106" i="2" s="1"/>
  <c r="AH106" i="2"/>
  <c r="AI106" i="2"/>
  <c r="AJ106" i="2"/>
  <c r="AF107" i="2"/>
  <c r="AK107" i="2" s="1"/>
  <c r="AG107" i="2"/>
  <c r="AH107" i="2"/>
  <c r="AI107" i="2"/>
  <c r="AJ107" i="2"/>
  <c r="AF108" i="2"/>
  <c r="AK108" i="2"/>
  <c r="AG108" i="2"/>
  <c r="AL108" i="2" s="1"/>
  <c r="AM108" i="2" s="1"/>
  <c r="AH108" i="2"/>
  <c r="AI108" i="2"/>
  <c r="AJ108" i="2"/>
  <c r="AF109" i="2"/>
  <c r="AK109" i="2" s="1"/>
  <c r="AG109" i="2"/>
  <c r="AH109" i="2"/>
  <c r="AI109" i="2"/>
  <c r="AJ109" i="2"/>
  <c r="AF110" i="2"/>
  <c r="AK110" i="2"/>
  <c r="AG110" i="2"/>
  <c r="AL110" i="2" s="1"/>
  <c r="AM110" i="2" s="1"/>
  <c r="AH110" i="2"/>
  <c r="AI110" i="2"/>
  <c r="AJ110" i="2"/>
  <c r="AF111" i="2"/>
  <c r="AK111" i="2" s="1"/>
  <c r="AG111" i="2"/>
  <c r="AH111" i="2"/>
  <c r="AI111" i="2"/>
  <c r="AL111" i="2" s="1"/>
  <c r="AM111" i="2" s="1"/>
  <c r="AJ111" i="2"/>
  <c r="AF112" i="2"/>
  <c r="AK112" i="2" s="1"/>
  <c r="AL112" i="2" s="1"/>
  <c r="AM112" i="2" s="1"/>
  <c r="AG112" i="2"/>
  <c r="AH112" i="2"/>
  <c r="AI112" i="2"/>
  <c r="AJ112" i="2"/>
  <c r="AF113" i="2"/>
  <c r="AK113" i="2" s="1"/>
  <c r="AG113" i="2"/>
  <c r="AH113" i="2"/>
  <c r="AL113" i="2" s="1"/>
  <c r="AM113" i="2" s="1"/>
  <c r="AI113" i="2"/>
  <c r="AJ113" i="2"/>
  <c r="AF114" i="2"/>
  <c r="AK114" i="2" s="1"/>
  <c r="AL114" i="2" s="1"/>
  <c r="AM114" i="2" s="1"/>
  <c r="AG114" i="2"/>
  <c r="AH114" i="2"/>
  <c r="AI114" i="2"/>
  <c r="AJ114" i="2"/>
  <c r="AF115" i="2"/>
  <c r="AK115" i="2"/>
  <c r="AG115" i="2"/>
  <c r="AL115" i="2" s="1"/>
  <c r="AM115" i="2" s="1"/>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c r="AG119" i="2"/>
  <c r="AL119" i="2" s="1"/>
  <c r="AM119" i="2" s="1"/>
  <c r="AH119" i="2"/>
  <c r="AI119" i="2"/>
  <c r="AJ119" i="2"/>
  <c r="AF120" i="2"/>
  <c r="AK120" i="2" s="1"/>
  <c r="AG120" i="2"/>
  <c r="AH120" i="2"/>
  <c r="AL120" i="2" s="1"/>
  <c r="AM120" i="2" s="1"/>
  <c r="AI120" i="2"/>
  <c r="AJ120" i="2"/>
  <c r="AF121" i="2"/>
  <c r="AK121" i="2" s="1"/>
  <c r="AG121" i="2"/>
  <c r="AH121" i="2"/>
  <c r="AI121" i="2"/>
  <c r="AJ121" i="2"/>
  <c r="AF122" i="2"/>
  <c r="AK122" i="2" s="1"/>
  <c r="AG122" i="2"/>
  <c r="AH122" i="2"/>
  <c r="AI122" i="2"/>
  <c r="AJ122" i="2"/>
  <c r="AF123" i="2"/>
  <c r="AK123" i="2" s="1"/>
  <c r="AL123" i="2" s="1"/>
  <c r="AM123" i="2" s="1"/>
  <c r="AG123" i="2"/>
  <c r="AH123" i="2"/>
  <c r="AI123" i="2"/>
  <c r="AJ123" i="2"/>
  <c r="AF124" i="2"/>
  <c r="AK124" i="2"/>
  <c r="AG124" i="2"/>
  <c r="AH124" i="2"/>
  <c r="AI124" i="2"/>
  <c r="AJ124" i="2"/>
  <c r="AF125" i="2"/>
  <c r="AK125" i="2" s="1"/>
  <c r="AL125" i="2" s="1"/>
  <c r="AM125" i="2" s="1"/>
  <c r="AG125" i="2"/>
  <c r="AH125" i="2"/>
  <c r="AI125" i="2"/>
  <c r="AJ125" i="2"/>
  <c r="AF126" i="2"/>
  <c r="AK126" i="2" s="1"/>
  <c r="AG126" i="2"/>
  <c r="AH126" i="2"/>
  <c r="AI126" i="2"/>
  <c r="AJ126" i="2"/>
  <c r="AF127" i="2"/>
  <c r="AK127" i="2" s="1"/>
  <c r="AG127" i="2"/>
  <c r="AH127" i="2"/>
  <c r="AI127" i="2"/>
  <c r="AJ127" i="2"/>
  <c r="AL127" i="2" s="1"/>
  <c r="AM127" i="2" s="1"/>
  <c r="AF128" i="2"/>
  <c r="AK128" i="2" s="1"/>
  <c r="AG128" i="2"/>
  <c r="AH128" i="2"/>
  <c r="AI128" i="2"/>
  <c r="AJ128" i="2"/>
  <c r="AF129" i="2"/>
  <c r="AK129" i="2"/>
  <c r="AG129" i="2"/>
  <c r="AH129" i="2"/>
  <c r="AI129" i="2"/>
  <c r="AJ129" i="2"/>
  <c r="AF130" i="2"/>
  <c r="AK130" i="2" s="1"/>
  <c r="AL130" i="2" s="1"/>
  <c r="AM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L133" i="2" s="1"/>
  <c r="AM133" i="2" s="1"/>
  <c r="AF134" i="2"/>
  <c r="AK134" i="2" s="1"/>
  <c r="AG134" i="2"/>
  <c r="AH134" i="2"/>
  <c r="AI134" i="2"/>
  <c r="AJ134" i="2"/>
  <c r="AF135" i="2"/>
  <c r="AK135" i="2"/>
  <c r="AG135" i="2"/>
  <c r="AH135" i="2"/>
  <c r="AI135" i="2"/>
  <c r="AL135" i="2" s="1"/>
  <c r="AM135" i="2" s="1"/>
  <c r="AJ135" i="2"/>
  <c r="AF136" i="2"/>
  <c r="AK136" i="2" s="1"/>
  <c r="AL136" i="2" s="1"/>
  <c r="AM136" i="2" s="1"/>
  <c r="AG136" i="2"/>
  <c r="AH136" i="2"/>
  <c r="AI136" i="2"/>
  <c r="AJ136" i="2"/>
  <c r="AF137" i="2"/>
  <c r="AK137" i="2"/>
  <c r="AG137" i="2"/>
  <c r="AL137" i="2" s="1"/>
  <c r="AM137" i="2" s="1"/>
  <c r="AH137" i="2"/>
  <c r="AI137" i="2"/>
  <c r="AJ137" i="2"/>
  <c r="AF138" i="2"/>
  <c r="AK138" i="2" s="1"/>
  <c r="AG138" i="2"/>
  <c r="AH138" i="2"/>
  <c r="AI138" i="2"/>
  <c r="AL138" i="2" s="1"/>
  <c r="AM138" i="2" s="1"/>
  <c r="AJ138" i="2"/>
  <c r="AF139" i="2"/>
  <c r="AK139" i="2" s="1"/>
  <c r="AG139" i="2"/>
  <c r="AL139" i="2" s="1"/>
  <c r="AM139" i="2" s="1"/>
  <c r="AH139" i="2"/>
  <c r="AI139" i="2"/>
  <c r="AJ139" i="2"/>
  <c r="AF140" i="2"/>
  <c r="AK140" i="2" s="1"/>
  <c r="AG140" i="2"/>
  <c r="AH140" i="2"/>
  <c r="AI140" i="2"/>
  <c r="AJ140" i="2"/>
  <c r="AF141" i="2"/>
  <c r="AK141" i="2" s="1"/>
  <c r="AL141" i="2" s="1"/>
  <c r="AM141" i="2" s="1"/>
  <c r="AG141" i="2"/>
  <c r="AH141" i="2"/>
  <c r="AI141" i="2"/>
  <c r="AJ141" i="2"/>
  <c r="AF142" i="2"/>
  <c r="AK142" i="2" s="1"/>
  <c r="AG142" i="2"/>
  <c r="AL142" i="2" s="1"/>
  <c r="AM142" i="2" s="1"/>
  <c r="AH142" i="2"/>
  <c r="AI142" i="2"/>
  <c r="AJ142" i="2"/>
  <c r="AF143" i="2"/>
  <c r="AK143" i="2" s="1"/>
  <c r="AG143" i="2"/>
  <c r="AH143" i="2"/>
  <c r="AI143" i="2"/>
  <c r="AJ143" i="2"/>
  <c r="AF144" i="2"/>
  <c r="AK144" i="2"/>
  <c r="AG144" i="2"/>
  <c r="AL144" i="2" s="1"/>
  <c r="AM144" i="2" s="1"/>
  <c r="AH144" i="2"/>
  <c r="AI144" i="2"/>
  <c r="AJ144" i="2"/>
  <c r="AF145" i="2"/>
  <c r="AK145" i="2" s="1"/>
  <c r="AG145" i="2"/>
  <c r="AH145" i="2"/>
  <c r="AI145" i="2"/>
  <c r="AJ145" i="2"/>
  <c r="AF146" i="2"/>
  <c r="AK146" i="2"/>
  <c r="AG146" i="2"/>
  <c r="AL146" i="2" s="1"/>
  <c r="AM146" i="2" s="1"/>
  <c r="AH146" i="2"/>
  <c r="AI146" i="2"/>
  <c r="AJ146" i="2"/>
  <c r="AF147" i="2"/>
  <c r="AK147" i="2" s="1"/>
  <c r="AG147" i="2"/>
  <c r="AH147" i="2"/>
  <c r="AI147" i="2"/>
  <c r="AJ147" i="2"/>
  <c r="AF148" i="2"/>
  <c r="AK148" i="2" s="1"/>
  <c r="AL148" i="2" s="1"/>
  <c r="AM148" i="2" s="1"/>
  <c r="AG148" i="2"/>
  <c r="AH148" i="2"/>
  <c r="AI148" i="2"/>
  <c r="AJ148" i="2"/>
  <c r="AF149" i="2"/>
  <c r="AK149" i="2"/>
  <c r="AG149" i="2"/>
  <c r="AL149" i="2" s="1"/>
  <c r="AM149" i="2" s="1"/>
  <c r="AH149" i="2"/>
  <c r="AI149" i="2"/>
  <c r="AJ149" i="2"/>
  <c r="AF150" i="2"/>
  <c r="AK150" i="2" s="1"/>
  <c r="AL150" i="2" s="1"/>
  <c r="AM150" i="2" s="1"/>
  <c r="AG150" i="2"/>
  <c r="AH150" i="2"/>
  <c r="AI150" i="2"/>
  <c r="AJ150" i="2"/>
  <c r="AF151" i="2"/>
  <c r="AK151" i="2" s="1"/>
  <c r="AG151" i="2"/>
  <c r="AH151" i="2"/>
  <c r="AI151" i="2"/>
  <c r="AJ151" i="2"/>
  <c r="AF152" i="2"/>
  <c r="AK152" i="2" s="1"/>
  <c r="AG152" i="2"/>
  <c r="AH152" i="2"/>
  <c r="AI152" i="2"/>
  <c r="AJ152" i="2"/>
  <c r="AL152" i="2" s="1"/>
  <c r="AM152" i="2" s="1"/>
  <c r="AF153" i="2"/>
  <c r="AK153" i="2"/>
  <c r="AG153" i="2"/>
  <c r="AL153" i="2" s="1"/>
  <c r="AM153" i="2" s="1"/>
  <c r="AH153" i="2"/>
  <c r="AI153" i="2"/>
  <c r="AJ153" i="2"/>
  <c r="AF154" i="2"/>
  <c r="AK154" i="2" s="1"/>
  <c r="AL154" i="2" s="1"/>
  <c r="AM154" i="2" s="1"/>
  <c r="AG154" i="2"/>
  <c r="AH154" i="2"/>
  <c r="AI154" i="2"/>
  <c r="AJ154" i="2"/>
  <c r="AF155" i="2"/>
  <c r="AK155" i="2" s="1"/>
  <c r="AL155" i="2" s="1"/>
  <c r="AM155" i="2" s="1"/>
  <c r="AG155" i="2"/>
  <c r="AH155" i="2"/>
  <c r="AI155" i="2"/>
  <c r="AJ155" i="2"/>
  <c r="AF156" i="2"/>
  <c r="AK156" i="2" s="1"/>
  <c r="AG156" i="2"/>
  <c r="AL156" i="2" s="1"/>
  <c r="AM156" i="2" s="1"/>
  <c r="AH156" i="2"/>
  <c r="AI156" i="2"/>
  <c r="AJ156" i="2"/>
  <c r="AF157" i="2"/>
  <c r="AK157" i="2" s="1"/>
  <c r="AG157" i="2"/>
  <c r="AH157" i="2"/>
  <c r="AI157" i="2"/>
  <c r="AJ157" i="2"/>
  <c r="AF158" i="2"/>
  <c r="AK158" i="2"/>
  <c r="AG158" i="2"/>
  <c r="AH158" i="2"/>
  <c r="AI158" i="2"/>
  <c r="AL158" i="2" s="1"/>
  <c r="AM158" i="2" s="1"/>
  <c r="AJ158" i="2"/>
  <c r="AF159" i="2"/>
  <c r="AK159" i="2" s="1"/>
  <c r="AG159" i="2"/>
  <c r="AH159" i="2"/>
  <c r="AI159" i="2"/>
  <c r="AJ159" i="2"/>
  <c r="AL159" i="2" s="1"/>
  <c r="AM159" i="2" s="1"/>
  <c r="AF160" i="2"/>
  <c r="AK160" i="2"/>
  <c r="AG160" i="2"/>
  <c r="AH160" i="2"/>
  <c r="AI160" i="2"/>
  <c r="AJ160" i="2"/>
  <c r="AF161" i="2"/>
  <c r="AK161" i="2"/>
  <c r="AG161" i="2"/>
  <c r="AH161" i="2"/>
  <c r="AL161" i="2" s="1"/>
  <c r="AM161" i="2" s="1"/>
  <c r="AI161" i="2"/>
  <c r="AJ161" i="2"/>
  <c r="AF162" i="2"/>
  <c r="AK162" i="2" s="1"/>
  <c r="AL162" i="2" s="1"/>
  <c r="AM162" i="2" s="1"/>
  <c r="AG162" i="2"/>
  <c r="AH162" i="2"/>
  <c r="AI162" i="2"/>
  <c r="AJ162" i="2"/>
  <c r="AF163" i="2"/>
  <c r="AK163" i="2"/>
  <c r="AG163" i="2"/>
  <c r="AH163" i="2"/>
  <c r="AI163" i="2"/>
  <c r="AJ163" i="2"/>
  <c r="AF164" i="2"/>
  <c r="AK164" i="2" s="1"/>
  <c r="AG164" i="2"/>
  <c r="AH164" i="2"/>
  <c r="AI164" i="2"/>
  <c r="AJ164" i="2"/>
  <c r="AF165" i="2"/>
  <c r="AK165" i="2"/>
  <c r="AG165" i="2"/>
  <c r="AL165" i="2" s="1"/>
  <c r="AM165" i="2" s="1"/>
  <c r="AH165" i="2"/>
  <c r="AI165" i="2"/>
  <c r="AJ165" i="2"/>
  <c r="AF166" i="2"/>
  <c r="AK166" i="2"/>
  <c r="AG166" i="2"/>
  <c r="AH166" i="2"/>
  <c r="AI166" i="2"/>
  <c r="AJ166" i="2"/>
  <c r="AF167" i="2"/>
  <c r="AK167" i="2" s="1"/>
  <c r="AL167" i="2" s="1"/>
  <c r="AM167" i="2" s="1"/>
  <c r="AG167" i="2"/>
  <c r="AH167" i="2"/>
  <c r="AI167" i="2"/>
  <c r="AJ167" i="2"/>
  <c r="AF168" i="2"/>
  <c r="AK168" i="2" s="1"/>
  <c r="AG168" i="2"/>
  <c r="AH168" i="2"/>
  <c r="AI168" i="2"/>
  <c r="AJ168" i="2"/>
  <c r="AF169" i="2"/>
  <c r="AK169" i="2" s="1"/>
  <c r="AG169" i="2"/>
  <c r="AH169" i="2"/>
  <c r="AI169" i="2"/>
  <c r="AJ169" i="2"/>
  <c r="AF170" i="2"/>
  <c r="AK170" i="2" s="1"/>
  <c r="AG170" i="2"/>
  <c r="AH170" i="2"/>
  <c r="AI170" i="2"/>
  <c r="AJ170" i="2"/>
  <c r="AF171" i="2"/>
  <c r="AK171" i="2" s="1"/>
  <c r="AG171" i="2"/>
  <c r="AH171" i="2"/>
  <c r="AI171" i="2"/>
  <c r="AJ171" i="2"/>
  <c r="AL171" i="2" s="1"/>
  <c r="AM171" i="2" s="1"/>
  <c r="AF172" i="2"/>
  <c r="AK172" i="2" s="1"/>
  <c r="AG172" i="2"/>
  <c r="AH172" i="2"/>
  <c r="AI172" i="2"/>
  <c r="AJ172" i="2"/>
  <c r="AF173" i="2"/>
  <c r="AK173" i="2"/>
  <c r="AG173" i="2"/>
  <c r="AH173" i="2"/>
  <c r="AI173" i="2"/>
  <c r="AJ173" i="2"/>
  <c r="AF174" i="2"/>
  <c r="AK174" i="2" s="1"/>
  <c r="AG174" i="2"/>
  <c r="AH174" i="2"/>
  <c r="AI174" i="2"/>
  <c r="AJ174" i="2"/>
  <c r="AF175" i="2"/>
  <c r="AK175" i="2" s="1"/>
  <c r="AL175" i="2" s="1"/>
  <c r="AG175" i="2"/>
  <c r="AH175" i="2"/>
  <c r="AI175" i="2"/>
  <c r="AJ175" i="2"/>
  <c r="AF176" i="2"/>
  <c r="AK176" i="2" s="1"/>
  <c r="AG176" i="2"/>
  <c r="AH176" i="2"/>
  <c r="AI176" i="2"/>
  <c r="AJ176" i="2"/>
  <c r="AF177" i="2"/>
  <c r="AK177" i="2" s="1"/>
  <c r="AG177" i="2"/>
  <c r="AL177" i="2" s="1"/>
  <c r="AH177" i="2"/>
  <c r="AI177" i="2"/>
  <c r="AJ177" i="2"/>
  <c r="AF178" i="2"/>
  <c r="AK178" i="2" s="1"/>
  <c r="AG178" i="2"/>
  <c r="AH178" i="2"/>
  <c r="AI178" i="2"/>
  <c r="AJ178" i="2"/>
  <c r="AF179" i="2"/>
  <c r="AK179" i="2" s="1"/>
  <c r="AG179" i="2"/>
  <c r="AH179" i="2"/>
  <c r="AI179" i="2"/>
  <c r="AJ179" i="2"/>
  <c r="AF180" i="2"/>
  <c r="AK180" i="2" s="1"/>
  <c r="AG180" i="2"/>
  <c r="AH180" i="2"/>
  <c r="AI180" i="2"/>
  <c r="AJ180" i="2"/>
  <c r="AF181" i="2"/>
  <c r="AK181" i="2" s="1"/>
  <c r="AL181" i="2" s="1"/>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s="1"/>
  <c r="AG238" i="2"/>
  <c r="AH238" i="2"/>
  <c r="AI238" i="2"/>
  <c r="AJ238" i="2"/>
  <c r="AF239" i="2"/>
  <c r="AK239" i="2" s="1"/>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s="1"/>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s="1"/>
  <c r="AG296" i="2"/>
  <c r="AH296" i="2"/>
  <c r="AI296" i="2"/>
  <c r="AJ296" i="2"/>
  <c r="AF297" i="2"/>
  <c r="AK297" i="2"/>
  <c r="AL297" i="2" s="1"/>
  <c r="AG297" i="2"/>
  <c r="AH297" i="2"/>
  <c r="AI297" i="2"/>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c r="AG324" i="2"/>
  <c r="AH324" i="2"/>
  <c r="AI324" i="2"/>
  <c r="AJ324" i="2"/>
  <c r="AL324" i="2"/>
  <c r="AF325" i="2"/>
  <c r="AK325" i="2" s="1"/>
  <c r="AG325" i="2"/>
  <c r="AH325" i="2"/>
  <c r="AI325" i="2"/>
  <c r="AJ325" i="2"/>
  <c r="AF326" i="2"/>
  <c r="AK326" i="2" s="1"/>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s="1"/>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c r="AG445" i="2"/>
  <c r="AH445" i="2"/>
  <c r="AI445" i="2"/>
  <c r="AL445" i="2" s="1"/>
  <c r="AJ445" i="2"/>
  <c r="AF446" i="2"/>
  <c r="AK446" i="2"/>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s="1"/>
  <c r="AG581" i="2"/>
  <c r="AH581" i="2"/>
  <c r="AI581" i="2"/>
  <c r="AJ581" i="2"/>
  <c r="AF582" i="2"/>
  <c r="AK582" i="2" s="1"/>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s="1"/>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H597" i="2"/>
  <c r="AL597" i="2" s="1"/>
  <c r="AI597" i="2"/>
  <c r="AJ597" i="2"/>
  <c r="AF598" i="2"/>
  <c r="AK598" i="2" s="1"/>
  <c r="AG598" i="2"/>
  <c r="AH598" i="2"/>
  <c r="AI598" i="2"/>
  <c r="AJ598" i="2"/>
  <c r="AF599" i="2"/>
  <c r="AK599" i="2"/>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c r="AG705" i="2"/>
  <c r="AH705" i="2"/>
  <c r="AI705" i="2"/>
  <c r="AJ705" i="2"/>
  <c r="AF706" i="2"/>
  <c r="AK706" i="2"/>
  <c r="AG706" i="2"/>
  <c r="AH706" i="2"/>
  <c r="AI706" i="2"/>
  <c r="AJ706" i="2"/>
  <c r="AF707" i="2"/>
  <c r="AK707" i="2" s="1"/>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s="1"/>
  <c r="AG947" i="2"/>
  <c r="AH947" i="2"/>
  <c r="AI947" i="2"/>
  <c r="AL947" i="2" s="1"/>
  <c r="AJ947" i="2"/>
  <c r="AF948" i="2"/>
  <c r="AK948" i="2"/>
  <c r="AG948" i="2"/>
  <c r="AH948" i="2"/>
  <c r="AI948" i="2"/>
  <c r="AJ948" i="2"/>
  <c r="AF949" i="2"/>
  <c r="AK949" i="2"/>
  <c r="AG949" i="2"/>
  <c r="AH949" i="2"/>
  <c r="AI949" i="2"/>
  <c r="AJ949" i="2"/>
  <c r="AF950" i="2"/>
  <c r="AK950" i="2"/>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c r="AG967" i="2"/>
  <c r="AL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c r="AG1088" i="2"/>
  <c r="AH1088" i="2"/>
  <c r="AI1088" i="2"/>
  <c r="AJ1088" i="2"/>
  <c r="AF1089" i="2"/>
  <c r="AK1089" i="2" s="1"/>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s="1"/>
  <c r="AG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L1103" i="2" s="1"/>
  <c r="AI1103" i="2"/>
  <c r="AJ1103" i="2"/>
  <c r="AF1104" i="2"/>
  <c r="AK1104" i="2"/>
  <c r="AG1104" i="2"/>
  <c r="AH1104" i="2"/>
  <c r="AI1104" i="2"/>
  <c r="AJ1104" i="2"/>
  <c r="AF1105" i="2"/>
  <c r="AK1105" i="2"/>
  <c r="AG1105" i="2"/>
  <c r="AH1105" i="2"/>
  <c r="AI1105" i="2"/>
  <c r="AJ1105" i="2"/>
  <c r="AF1106" i="2"/>
  <c r="AK1106" i="2" s="1"/>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s="1"/>
  <c r="AG1132" i="2"/>
  <c r="AH1132" i="2"/>
  <c r="AI1132" i="2"/>
  <c r="AJ1132" i="2"/>
  <c r="AF1133" i="2"/>
  <c r="AK1133" i="2" s="1"/>
  <c r="AG1133" i="2"/>
  <c r="AH1133" i="2"/>
  <c r="AI1133" i="2"/>
  <c r="AJ1133" i="2"/>
  <c r="AF1134" i="2"/>
  <c r="AK1134" i="2"/>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I1173" i="2"/>
  <c r="AL1173" i="2" s="1"/>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s="1"/>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s="1"/>
  <c r="AG1183" i="2"/>
  <c r="AL1183" i="2" s="1"/>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L1275" i="2" s="1"/>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s="1"/>
  <c r="AG1341" i="2"/>
  <c r="AH1341" i="2"/>
  <c r="AI1341" i="2"/>
  <c r="AJ1341" i="2"/>
  <c r="AF1342" i="2"/>
  <c r="AK1342" i="2"/>
  <c r="AG1342" i="2"/>
  <c r="AH1342" i="2"/>
  <c r="AI1342" i="2"/>
  <c r="AJ1342" i="2"/>
  <c r="AF1343" i="2"/>
  <c r="AK1343" i="2"/>
  <c r="AG1343" i="2"/>
  <c r="AL1343" i="2"/>
  <c r="AH1343" i="2"/>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c r="AL1356" i="2"/>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L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s="1"/>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s="1"/>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s="1"/>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s="1"/>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L1544" i="2" s="1"/>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s="1"/>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s="1"/>
  <c r="AG1882" i="2"/>
  <c r="AH1882" i="2"/>
  <c r="AI1882" i="2"/>
  <c r="AJ1882" i="2"/>
  <c r="AF1883" i="2"/>
  <c r="AK1883" i="2" s="1"/>
  <c r="AL1883" i="2" s="1"/>
  <c r="AG1883" i="2"/>
  <c r="AH1883" i="2"/>
  <c r="AI1883" i="2"/>
  <c r="AJ1883" i="2"/>
  <c r="AF1884" i="2"/>
  <c r="AK1884" i="2" s="1"/>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s="1"/>
  <c r="AG1970" i="2"/>
  <c r="AH1970" i="2"/>
  <c r="AI1970" i="2"/>
  <c r="AJ1970" i="2"/>
  <c r="AF1971" i="2"/>
  <c r="AK1971" i="2"/>
  <c r="AG1971" i="2"/>
  <c r="AH1971" i="2"/>
  <c r="AL1971" i="2"/>
  <c r="AI1971" i="2"/>
  <c r="AJ1971" i="2"/>
  <c r="AF1972" i="2"/>
  <c r="AK1972" i="2"/>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s="1"/>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L2004" i="2"/>
  <c r="AG2004" i="2"/>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c r="AG2014" i="2"/>
  <c r="AH2014" i="2"/>
  <c r="AI2014" i="2"/>
  <c r="AJ2014" i="2"/>
  <c r="AF2015" i="2"/>
  <c r="AK2015" i="2" s="1"/>
  <c r="AG2015" i="2"/>
  <c r="AL2015" i="2" s="1"/>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c r="AG2090" i="2"/>
  <c r="AH2090" i="2"/>
  <c r="AI2090" i="2"/>
  <c r="AJ2090" i="2"/>
  <c r="AF2091" i="2"/>
  <c r="AK2091" i="2" s="1"/>
  <c r="AL2091" i="2"/>
  <c r="AG2091" i="2"/>
  <c r="AH2091" i="2"/>
  <c r="AI2091" i="2"/>
  <c r="AJ2091" i="2"/>
  <c r="AF2092" i="2"/>
  <c r="AK2092" i="2"/>
  <c r="AG2092" i="2"/>
  <c r="AH2092" i="2"/>
  <c r="AI2092" i="2"/>
  <c r="AJ2092" i="2"/>
  <c r="AF2093" i="2"/>
  <c r="AK2093" i="2" s="1"/>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s="1"/>
  <c r="AG2124" i="2"/>
  <c r="AL2124" i="2" s="1"/>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F2150" i="2"/>
  <c r="AK2150" i="2" s="1"/>
  <c r="AG2150" i="2"/>
  <c r="AH2150" i="2"/>
  <c r="AI2150" i="2"/>
  <c r="AJ2150" i="2"/>
  <c r="AF2151" i="2"/>
  <c r="AK2151" i="2" s="1"/>
  <c r="AL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c r="AG2175" i="2"/>
  <c r="AH2175" i="2"/>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c r="AL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c r="AG2204" i="2"/>
  <c r="AL2204" i="2" s="1"/>
  <c r="AH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L2224" i="2" s="1"/>
  <c r="AG2224" i="2"/>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s="1"/>
  <c r="AG2230" i="2"/>
  <c r="AH2230" i="2"/>
  <c r="AI2230" i="2"/>
  <c r="AJ2230" i="2"/>
  <c r="AF2231" i="2"/>
  <c r="AK2231" i="2" s="1"/>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c r="AG2253" i="2"/>
  <c r="AH2253" i="2"/>
  <c r="AI2253" i="2"/>
  <c r="AJ2253" i="2"/>
  <c r="AF2254" i="2"/>
  <c r="AK2254" i="2"/>
  <c r="AG2254" i="2"/>
  <c r="AH2254" i="2"/>
  <c r="AI2254" i="2"/>
  <c r="AJ2254" i="2"/>
  <c r="AF2255" i="2"/>
  <c r="AK2255" i="2" s="1"/>
  <c r="AG2255" i="2"/>
  <c r="AL2255" i="2" s="1"/>
  <c r="AH2255" i="2"/>
  <c r="AI2255" i="2"/>
  <c r="AJ2255" i="2"/>
  <c r="AF2256" i="2"/>
  <c r="AK2256" i="2" s="1"/>
  <c r="AG2256" i="2"/>
  <c r="AH2256" i="2"/>
  <c r="AI2256" i="2"/>
  <c r="AJ2256" i="2"/>
  <c r="AF2257" i="2"/>
  <c r="AK2257" i="2"/>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c r="AG2262" i="2"/>
  <c r="AH2262" i="2"/>
  <c r="AI2262" i="2"/>
  <c r="AJ2262" i="2"/>
  <c r="AF2263" i="2"/>
  <c r="AK2263" i="2"/>
  <c r="AG2263" i="2"/>
  <c r="AH2263" i="2"/>
  <c r="AL2263" i="2" s="1"/>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L2277" i="2"/>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s="1"/>
  <c r="AG2281" i="2"/>
  <c r="AH2281" i="2"/>
  <c r="AI2281" i="2"/>
  <c r="AJ2281" i="2"/>
  <c r="AF2282" i="2"/>
  <c r="AK2282" i="2"/>
  <c r="AG2282" i="2"/>
  <c r="AH2282" i="2"/>
  <c r="AI2282" i="2"/>
  <c r="AL2282" i="2" s="1"/>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L2295" i="2" s="1"/>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c r="AL2314" i="2"/>
  <c r="AG2314" i="2"/>
  <c r="AH2314" i="2"/>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L2320" i="2" s="1"/>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c r="AG2334" i="2"/>
  <c r="AL2334" i="2" s="1"/>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G2353" i="2"/>
  <c r="AH2353" i="2"/>
  <c r="AI2353" i="2"/>
  <c r="AJ2353" i="2"/>
  <c r="AL2353" i="2" s="1"/>
  <c r="AF2354" i="2"/>
  <c r="AK2354" i="2"/>
  <c r="AG2354" i="2"/>
  <c r="AH2354" i="2"/>
  <c r="AI2354" i="2"/>
  <c r="AJ2354" i="2"/>
  <c r="AF2355" i="2"/>
  <c r="AK2355" i="2"/>
  <c r="AG2355" i="2"/>
  <c r="AL2355" i="2"/>
  <c r="AH2355" i="2"/>
  <c r="AI2355" i="2"/>
  <c r="AJ2355" i="2"/>
  <c r="AF2356" i="2"/>
  <c r="AK2356" i="2"/>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L2364" i="2" s="1"/>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L2379" i="2"/>
  <c r="AF2380" i="2"/>
  <c r="AK2380" i="2"/>
  <c r="AG2380" i="2"/>
  <c r="AH2380" i="2"/>
  <c r="AI2380" i="2"/>
  <c r="AJ2380" i="2"/>
  <c r="AF2381" i="2"/>
  <c r="AK2381" i="2" s="1"/>
  <c r="AG2381" i="2"/>
  <c r="AH2381" i="2"/>
  <c r="AI2381" i="2"/>
  <c r="AJ2381" i="2"/>
  <c r="AF2382" i="2"/>
  <c r="AK2382" i="2"/>
  <c r="AG2382" i="2"/>
  <c r="AH2382" i="2"/>
  <c r="AI2382" i="2"/>
  <c r="AJ2382" i="2"/>
  <c r="AF2383" i="2"/>
  <c r="AK2383" i="2"/>
  <c r="AL2383" i="2" s="1"/>
  <c r="AG2383" i="2"/>
  <c r="AH2383" i="2"/>
  <c r="AI2383" i="2"/>
  <c r="AJ2383" i="2"/>
  <c r="AF2384" i="2"/>
  <c r="AK2384" i="2" s="1"/>
  <c r="AG2384" i="2"/>
  <c r="AL2384" i="2" s="1"/>
  <c r="AH2384" i="2"/>
  <c r="AI2384" i="2"/>
  <c r="AJ2384" i="2"/>
  <c r="AF2385" i="2"/>
  <c r="AK2385" i="2"/>
  <c r="AG2385" i="2"/>
  <c r="AH2385" i="2"/>
  <c r="AI2385" i="2"/>
  <c r="AJ2385" i="2"/>
  <c r="AF2386" i="2"/>
  <c r="AK2386" i="2"/>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c r="AL2390" i="2" s="1"/>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s="1"/>
  <c r="AG2397" i="2"/>
  <c r="AH2397" i="2"/>
  <c r="AI2397" i="2"/>
  <c r="AJ2397" i="2"/>
  <c r="AF2398" i="2"/>
  <c r="AK2398" i="2" s="1"/>
  <c r="AG2398" i="2"/>
  <c r="AH2398" i="2"/>
  <c r="AI2398" i="2"/>
  <c r="AJ2398" i="2"/>
  <c r="AL2398" i="2" s="1"/>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c r="AG2414" i="2"/>
  <c r="AH2414" i="2"/>
  <c r="AI2414" i="2"/>
  <c r="AJ2414" i="2"/>
  <c r="AF2415" i="2"/>
  <c r="AK2415" i="2"/>
  <c r="AG2415" i="2"/>
  <c r="AH2415" i="2"/>
  <c r="AI2415" i="2"/>
  <c r="AJ2415" i="2"/>
  <c r="AF2416" i="2"/>
  <c r="AK2416" i="2"/>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s="1"/>
  <c r="AG2429" i="2"/>
  <c r="AH2429" i="2"/>
  <c r="AI2429" i="2"/>
  <c r="AJ2429" i="2"/>
  <c r="AF2430" i="2"/>
  <c r="AK2430" i="2"/>
  <c r="AG2430" i="2"/>
  <c r="AH2430" i="2"/>
  <c r="AI2430" i="2"/>
  <c r="AJ2430" i="2"/>
  <c r="AL2430" i="2"/>
  <c r="AF2431" i="2"/>
  <c r="AK2431" i="2" s="1"/>
  <c r="AG2431" i="2"/>
  <c r="AH2431" i="2"/>
  <c r="AI2431" i="2"/>
  <c r="AJ2431" i="2"/>
  <c r="AF2432" i="2"/>
  <c r="AK2432" i="2" s="1"/>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L2454" i="2"/>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H2463" i="2"/>
  <c r="AI2463" i="2"/>
  <c r="AL2463" i="2" s="1"/>
  <c r="AJ2463" i="2"/>
  <c r="AF2464" i="2"/>
  <c r="AK2464" i="2"/>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c r="AG2475" i="2"/>
  <c r="AH2475" i="2"/>
  <c r="AI2475" i="2"/>
  <c r="AJ2475" i="2"/>
  <c r="AF2476" i="2"/>
  <c r="AK2476" i="2" s="1"/>
  <c r="AL2476" i="2"/>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J2479" i="2"/>
  <c r="AF2480" i="2"/>
  <c r="AK2480" i="2"/>
  <c r="AG2480" i="2"/>
  <c r="AH2480" i="2"/>
  <c r="AI2480" i="2"/>
  <c r="AJ2480" i="2"/>
  <c r="AF2481" i="2"/>
  <c r="AK2481" i="2"/>
  <c r="AG2481" i="2"/>
  <c r="AH2481" i="2"/>
  <c r="AI2481" i="2"/>
  <c r="AJ2481" i="2"/>
  <c r="AF2482" i="2"/>
  <c r="AK2482" i="2" s="1"/>
  <c r="AL2482" i="2" s="1"/>
  <c r="AG2482" i="2"/>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s="1"/>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L2522" i="2" s="1"/>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s="1"/>
  <c r="AG2528" i="2"/>
  <c r="AH2528" i="2"/>
  <c r="AI2528" i="2"/>
  <c r="AJ2528" i="2"/>
  <c r="AF2529" i="2"/>
  <c r="AK2529" i="2"/>
  <c r="AG2529" i="2"/>
  <c r="AH2529" i="2"/>
  <c r="AI2529" i="2"/>
  <c r="AJ2529" i="2"/>
  <c r="AF2530" i="2"/>
  <c r="AK2530" i="2" s="1"/>
  <c r="AG2530" i="2"/>
  <c r="AH2530" i="2"/>
  <c r="AI2530" i="2"/>
  <c r="AJ2530" i="2"/>
  <c r="AF2531" i="2"/>
  <c r="AK2531" i="2"/>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L2542" i="2" s="1"/>
  <c r="AJ2542" i="2"/>
  <c r="AF2543" i="2"/>
  <c r="AK2543" i="2" s="1"/>
  <c r="AG2543" i="2"/>
  <c r="AH2543" i="2"/>
  <c r="AI2543" i="2"/>
  <c r="AJ2543" i="2"/>
  <c r="AF2544" i="2"/>
  <c r="AK2544" i="2"/>
  <c r="AG2544" i="2"/>
  <c r="AL2544" i="2" s="1"/>
  <c r="AH2544" i="2"/>
  <c r="AI2544" i="2"/>
  <c r="AJ2544" i="2"/>
  <c r="AF2545" i="2"/>
  <c r="AK2545" i="2"/>
  <c r="AG2545" i="2"/>
  <c r="AL2545" i="2" s="1"/>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s="1"/>
  <c r="AG2605" i="2"/>
  <c r="AH2605" i="2"/>
  <c r="AI2605" i="2"/>
  <c r="AL2605" i="2" s="1"/>
  <c r="AJ2605" i="2"/>
  <c r="AF2606" i="2"/>
  <c r="AK2606" i="2"/>
  <c r="AG2606" i="2"/>
  <c r="AL2606" i="2" s="1"/>
  <c r="AH2606" i="2"/>
  <c r="AI2606" i="2"/>
  <c r="AJ2606" i="2"/>
  <c r="AF2607" i="2"/>
  <c r="AK2607" i="2"/>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I2622" i="2"/>
  <c r="AL2622" i="2" s="1"/>
  <c r="AJ2622" i="2"/>
  <c r="AF2623" i="2"/>
  <c r="AK2623" i="2" s="1"/>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c r="AG2629" i="2"/>
  <c r="AH2629" i="2"/>
  <c r="AI2629" i="2"/>
  <c r="AJ2629" i="2"/>
  <c r="AF2630" i="2"/>
  <c r="AK2630" i="2"/>
  <c r="AL2630" i="2" s="1"/>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s="1"/>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s="1"/>
  <c r="AG2653" i="2"/>
  <c r="AL2653" i="2" s="1"/>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s="1"/>
  <c r="AG2661" i="2"/>
  <c r="AH2661" i="2"/>
  <c r="AI2661" i="2"/>
  <c r="AJ2661" i="2"/>
  <c r="AF2662" i="2"/>
  <c r="AK2662" i="2" s="1"/>
  <c r="AG2662" i="2"/>
  <c r="AH2662" i="2"/>
  <c r="AI2662" i="2"/>
  <c r="AJ2662" i="2"/>
  <c r="AF2663" i="2"/>
  <c r="AK2663" i="2" s="1"/>
  <c r="AG2663" i="2"/>
  <c r="AH2663" i="2"/>
  <c r="AL2663" i="2"/>
  <c r="AI2663" i="2"/>
  <c r="AJ2663" i="2"/>
  <c r="AF2664" i="2"/>
  <c r="AK2664" i="2"/>
  <c r="AG2664" i="2"/>
  <c r="AH2664" i="2"/>
  <c r="AI2664" i="2"/>
  <c r="AJ2664" i="2"/>
  <c r="AF2665" i="2"/>
  <c r="AK2665" i="2"/>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s="1"/>
  <c r="AG2671" i="2"/>
  <c r="AH2671" i="2"/>
  <c r="AI2671" i="2"/>
  <c r="AJ2671" i="2"/>
  <c r="AF2672" i="2"/>
  <c r="AK2672" i="2" s="1"/>
  <c r="AG2672" i="2"/>
  <c r="AH2672" i="2"/>
  <c r="AI2672" i="2"/>
  <c r="AJ2672" i="2"/>
  <c r="AF2673" i="2"/>
  <c r="AK2673" i="2" s="1"/>
  <c r="AG2673" i="2"/>
  <c r="AH2673" i="2"/>
  <c r="AL2673" i="2" s="1"/>
  <c r="AI2673" i="2"/>
  <c r="AJ2673" i="2"/>
  <c r="AF2674" i="2"/>
  <c r="AK2674" i="2"/>
  <c r="AG2674" i="2"/>
  <c r="AL2674" i="2" s="1"/>
  <c r="AH2674" i="2"/>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c r="AL2679" i="2"/>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L2689" i="2" s="1"/>
  <c r="AH2689" i="2"/>
  <c r="AI2689" i="2"/>
  <c r="AJ2689" i="2"/>
  <c r="AF2690" i="2"/>
  <c r="AK2690" i="2" s="1"/>
  <c r="AG2690" i="2"/>
  <c r="AH2690" i="2"/>
  <c r="AL2690" i="2" s="1"/>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s="1"/>
  <c r="AG2704" i="2"/>
  <c r="AH2704" i="2"/>
  <c r="AI2704" i="2"/>
  <c r="AJ2704" i="2"/>
  <c r="AF2705" i="2"/>
  <c r="AK2705" i="2"/>
  <c r="AG2705" i="2"/>
  <c r="AL2705" i="2"/>
  <c r="AH2705" i="2"/>
  <c r="AI2705" i="2"/>
  <c r="AJ2705" i="2"/>
  <c r="AF2706" i="2"/>
  <c r="AK2706" i="2" s="1"/>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s="1"/>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s="1"/>
  <c r="AG2727" i="2"/>
  <c r="AL2727" i="2" s="1"/>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L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L2759" i="2" s="1"/>
  <c r="AI2759" i="2"/>
  <c r="AJ2759" i="2"/>
  <c r="AF2760" i="2"/>
  <c r="AK2760" i="2"/>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c r="AG2766" i="2"/>
  <c r="AH2766" i="2"/>
  <c r="AI2766" i="2"/>
  <c r="AJ2766" i="2"/>
  <c r="AF2767" i="2"/>
  <c r="AK2767" i="2" s="1"/>
  <c r="AG2767" i="2"/>
  <c r="AL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c r="AG2835" i="2"/>
  <c r="AL2835" i="2"/>
  <c r="AH2835" i="2"/>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s="1"/>
  <c r="AG2865" i="2"/>
  <c r="AH2865" i="2"/>
  <c r="AI2865" i="2"/>
  <c r="AJ2865" i="2"/>
  <c r="AF2866" i="2"/>
  <c r="AK2866" i="2" s="1"/>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s="1"/>
  <c r="AG2875" i="2"/>
  <c r="AH2875" i="2"/>
  <c r="AL2875" i="2" s="1"/>
  <c r="AI2875" i="2"/>
  <c r="AJ2875" i="2"/>
  <c r="AF2876" i="2"/>
  <c r="AK2876" i="2" s="1"/>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c r="AG2889" i="2"/>
  <c r="AH2889" i="2"/>
  <c r="AI2889" i="2"/>
  <c r="AJ2889" i="2"/>
  <c r="AF2890" i="2"/>
  <c r="AK2890" i="2"/>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s="1"/>
  <c r="AG2911" i="2"/>
  <c r="AH2911" i="2"/>
  <c r="AI2911" i="2"/>
  <c r="AJ2911" i="2"/>
  <c r="AF2912" i="2"/>
  <c r="AK2912" i="2" s="1"/>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s="1"/>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s="1"/>
  <c r="AG2938" i="2"/>
  <c r="AH2938" i="2"/>
  <c r="AI2938" i="2"/>
  <c r="AJ2938" i="2"/>
  <c r="AF2939" i="2"/>
  <c r="AK2939" i="2" s="1"/>
  <c r="AG2939" i="2"/>
  <c r="AL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G2967" i="2"/>
  <c r="AH2967" i="2"/>
  <c r="AI2967" i="2"/>
  <c r="AJ2967" i="2"/>
  <c r="AF2968" i="2"/>
  <c r="AK2968" i="2" s="1"/>
  <c r="AG2968" i="2"/>
  <c r="AH2968" i="2"/>
  <c r="AL2968" i="2" s="1"/>
  <c r="AI2968" i="2"/>
  <c r="AJ2968" i="2"/>
  <c r="AF2969" i="2"/>
  <c r="AK2969" i="2"/>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L2975" i="2" s="1"/>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s="1"/>
  <c r="AL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L2995" i="2" s="1"/>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s="1"/>
  <c r="AG3017" i="2"/>
  <c r="AH3017" i="2"/>
  <c r="AI3017" i="2"/>
  <c r="AJ3017" i="2"/>
  <c r="AF3018" i="2"/>
  <c r="AK3018" i="2" s="1"/>
  <c r="AL3018" i="2" s="1"/>
  <c r="AG3018" i="2"/>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L3099" i="2"/>
  <c r="AH3099" i="2"/>
  <c r="AI3099" i="2"/>
  <c r="AJ3099" i="2"/>
  <c r="AF3100" i="2"/>
  <c r="AK3100" i="2" s="1"/>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c r="AG3111" i="2"/>
  <c r="AH3111" i="2"/>
  <c r="AI3111" i="2"/>
  <c r="AJ3111" i="2"/>
  <c r="AF3112" i="2"/>
  <c r="AK3112" i="2"/>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L3122" i="2" s="1"/>
  <c r="AI3122" i="2"/>
  <c r="AJ3122" i="2"/>
  <c r="AF3123" i="2"/>
  <c r="AK3123" i="2"/>
  <c r="AG3123" i="2"/>
  <c r="AL3123" i="2" s="1"/>
  <c r="AH3123" i="2"/>
  <c r="AI3123" i="2"/>
  <c r="AJ3123" i="2"/>
  <c r="AF3124" i="2"/>
  <c r="AK3124" i="2"/>
  <c r="AL3124" i="2" s="1"/>
  <c r="AG3124" i="2"/>
  <c r="AH3124" i="2"/>
  <c r="AI3124" i="2"/>
  <c r="AJ3124" i="2"/>
  <c r="AF3125" i="2"/>
  <c r="AG3125" i="2"/>
  <c r="AH3125" i="2"/>
  <c r="AI3125" i="2"/>
  <c r="AJ3125" i="2"/>
  <c r="AK3125" i="2"/>
  <c r="AL3125" i="2" s="1"/>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c r="AG3130" i="2"/>
  <c r="AH3130" i="2"/>
  <c r="AI3130" i="2"/>
  <c r="AJ3130" i="2"/>
  <c r="AF3131" i="2"/>
  <c r="AK3131" i="2" s="1"/>
  <c r="AG3131" i="2"/>
  <c r="AH3131" i="2"/>
  <c r="AI3131" i="2"/>
  <c r="AJ3131" i="2"/>
  <c r="AF3132" i="2"/>
  <c r="AK3132" i="2"/>
  <c r="AG3132" i="2"/>
  <c r="AH3132" i="2"/>
  <c r="AI3132" i="2"/>
  <c r="AJ3132" i="2"/>
  <c r="AF3133" i="2"/>
  <c r="AK3133" i="2" s="1"/>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c r="AG3158" i="2"/>
  <c r="AH3158" i="2"/>
  <c r="AI3158" i="2"/>
  <c r="AJ3158" i="2"/>
  <c r="AL3158" i="2" s="1"/>
  <c r="AF3159" i="2"/>
  <c r="AK3159" i="2"/>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c r="AG3212" i="2"/>
  <c r="AH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c r="AG3221" i="2"/>
  <c r="AH3221" i="2"/>
  <c r="AL3221" i="2" s="1"/>
  <c r="AI3221" i="2"/>
  <c r="AJ3221" i="2"/>
  <c r="AF3222" i="2"/>
  <c r="AK3222" i="2"/>
  <c r="AG3222" i="2"/>
  <c r="AH3222" i="2"/>
  <c r="AI3222" i="2"/>
  <c r="AJ3222" i="2"/>
  <c r="AF3223" i="2"/>
  <c r="AK3223" i="2" s="1"/>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c r="AG3233" i="2"/>
  <c r="AH3233" i="2"/>
  <c r="AI3233" i="2"/>
  <c r="AJ3233" i="2"/>
  <c r="AF3234" i="2"/>
  <c r="AK3234" i="2" s="1"/>
  <c r="AG3234" i="2"/>
  <c r="AH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H3253" i="2"/>
  <c r="AI3253" i="2"/>
  <c r="AJ3253" i="2"/>
  <c r="AF3254" i="2"/>
  <c r="AK3254" i="2" s="1"/>
  <c r="AG3254" i="2"/>
  <c r="AH3254" i="2"/>
  <c r="AI3254" i="2"/>
  <c r="AL3254" i="2"/>
  <c r="AJ3254" i="2"/>
  <c r="AF3255" i="2"/>
  <c r="AK3255" i="2"/>
  <c r="AG3255" i="2"/>
  <c r="AL3255" i="2" s="1"/>
  <c r="AH3255" i="2"/>
  <c r="AI3255" i="2"/>
  <c r="AJ3255" i="2"/>
  <c r="AF3256" i="2"/>
  <c r="AK3256" i="2"/>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s="1"/>
  <c r="AG3272" i="2"/>
  <c r="AH3272" i="2"/>
  <c r="AL3272" i="2" s="1"/>
  <c r="AI3272" i="2"/>
  <c r="AJ3272" i="2"/>
  <c r="AF3273" i="2"/>
  <c r="AK3273" i="2"/>
  <c r="AG3273" i="2"/>
  <c r="AH3273" i="2"/>
  <c r="AI3273" i="2"/>
  <c r="AJ3273" i="2"/>
  <c r="AF3274" i="2"/>
  <c r="AK3274" i="2"/>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L3285" i="2" s="1"/>
  <c r="AJ3285" i="2"/>
  <c r="AF3286" i="2"/>
  <c r="AK3286" i="2"/>
  <c r="AG3286" i="2"/>
  <c r="AH3286" i="2"/>
  <c r="AI3286" i="2"/>
  <c r="AJ3286" i="2"/>
  <c r="AF3287" i="2"/>
  <c r="AK3287" i="2"/>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s="1"/>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L3300" i="2" s="1"/>
  <c r="AH3300" i="2"/>
  <c r="AI3300" i="2"/>
  <c r="AJ3300" i="2"/>
  <c r="AF3301" i="2"/>
  <c r="AK3301" i="2"/>
  <c r="AG3301" i="2"/>
  <c r="AH3301" i="2"/>
  <c r="AI3301" i="2"/>
  <c r="AJ3301" i="2"/>
  <c r="AF3302" i="2"/>
  <c r="AK3302" i="2"/>
  <c r="AG3302" i="2"/>
  <c r="AL3302" i="2" s="1"/>
  <c r="AH3302" i="2"/>
  <c r="AI3302" i="2"/>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s="1"/>
  <c r="AG3306" i="2"/>
  <c r="AL3306" i="2"/>
  <c r="AH3306" i="2"/>
  <c r="AI3306" i="2"/>
  <c r="AJ3306" i="2"/>
  <c r="AF3307" i="2"/>
  <c r="AK3307" i="2"/>
  <c r="AG3307" i="2"/>
  <c r="AH3307" i="2"/>
  <c r="AI3307" i="2"/>
  <c r="AJ3307" i="2"/>
  <c r="AF3308" i="2"/>
  <c r="AK3308" i="2"/>
  <c r="AG3308" i="2"/>
  <c r="AH3308" i="2"/>
  <c r="AI3308" i="2"/>
  <c r="AJ3308" i="2"/>
  <c r="AF3309" i="2"/>
  <c r="AK3309" i="2" s="1"/>
  <c r="AG3309" i="2"/>
  <c r="AL3309" i="2" s="1"/>
  <c r="AH3309" i="2"/>
  <c r="AI3309" i="2"/>
  <c r="AJ3309" i="2"/>
  <c r="AF3310" i="2"/>
  <c r="AK3310" i="2"/>
  <c r="AG3310" i="2"/>
  <c r="AL3310" i="2" s="1"/>
  <c r="AH3310" i="2"/>
  <c r="AI3310" i="2"/>
  <c r="AJ3310" i="2"/>
  <c r="AF3311" i="2"/>
  <c r="AK3311" i="2" s="1"/>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L3320" i="2" s="1"/>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s="1"/>
  <c r="AG3327" i="2"/>
  <c r="AH3327" i="2"/>
  <c r="AL3327" i="2" s="1"/>
  <c r="AI3327" i="2"/>
  <c r="AJ3327" i="2"/>
  <c r="AF3328" i="2"/>
  <c r="AK3328" i="2"/>
  <c r="AG3328" i="2"/>
  <c r="AH3328" i="2"/>
  <c r="AL3328" i="2" s="1"/>
  <c r="AI3328" i="2"/>
  <c r="AJ3328" i="2"/>
  <c r="AF3329" i="2"/>
  <c r="AK3329" i="2" s="1"/>
  <c r="AG3329" i="2"/>
  <c r="AH3329" i="2"/>
  <c r="AI3329" i="2"/>
  <c r="AJ3329" i="2"/>
  <c r="AF3330" i="2"/>
  <c r="AK3330" i="2" s="1"/>
  <c r="AG3330" i="2"/>
  <c r="AL3330" i="2" s="1"/>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c r="AG3360" i="2"/>
  <c r="AL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L3363" i="2" s="1"/>
  <c r="AJ3363" i="2"/>
  <c r="AF3364" i="2"/>
  <c r="AK3364" i="2"/>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c r="AG3378" i="2"/>
  <c r="AL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s="1"/>
  <c r="AG3382" i="2"/>
  <c r="AH3382" i="2"/>
  <c r="AL3382" i="2" s="1"/>
  <c r="AI3382" i="2"/>
  <c r="AJ3382" i="2"/>
  <c r="AF3383" i="2"/>
  <c r="AK3383" i="2"/>
  <c r="AG3383" i="2"/>
  <c r="AH3383" i="2"/>
  <c r="AI3383" i="2"/>
  <c r="AJ3383" i="2"/>
  <c r="AF3384" i="2"/>
  <c r="AK3384" i="2"/>
  <c r="AG3384" i="2"/>
  <c r="AH3384" i="2"/>
  <c r="AI3384" i="2"/>
  <c r="AJ3384" i="2"/>
  <c r="AF3385" i="2"/>
  <c r="AK3385" i="2" s="1"/>
  <c r="AG3385" i="2"/>
  <c r="AH3385" i="2"/>
  <c r="AI3385" i="2"/>
  <c r="AJ3385" i="2"/>
  <c r="AF3386" i="2"/>
  <c r="AK3386" i="2" s="1"/>
  <c r="AG3386" i="2"/>
  <c r="AH3386" i="2"/>
  <c r="AI3386" i="2"/>
  <c r="AJ3386" i="2"/>
  <c r="AF3387" i="2"/>
  <c r="AK3387" i="2"/>
  <c r="AG3387" i="2"/>
  <c r="AL3387" i="2" s="1"/>
  <c r="AH3387" i="2"/>
  <c r="AI3387" i="2"/>
  <c r="AJ3387" i="2"/>
  <c r="AF3388" i="2"/>
  <c r="AK3388" i="2"/>
  <c r="AG3388" i="2"/>
  <c r="AH3388" i="2"/>
  <c r="AI3388" i="2"/>
  <c r="AJ3388" i="2"/>
  <c r="AF3389" i="2"/>
  <c r="AK3389" i="2" s="1"/>
  <c r="AL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c r="AG3415" i="2"/>
  <c r="AH3415" i="2"/>
  <c r="AI3415" i="2"/>
  <c r="AL3415" i="2" s="1"/>
  <c r="AJ3415" i="2"/>
  <c r="AF3416" i="2"/>
  <c r="AK3416" i="2"/>
  <c r="AG3416" i="2"/>
  <c r="AH3416" i="2"/>
  <c r="AI3416" i="2"/>
  <c r="AJ3416" i="2"/>
  <c r="AF3417" i="2"/>
  <c r="AK3417" i="2"/>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L3431" i="2" s="1"/>
  <c r="AF3432" i="2"/>
  <c r="AK3432" i="2" s="1"/>
  <c r="AG3432" i="2"/>
  <c r="AH3432" i="2"/>
  <c r="AI3432" i="2"/>
  <c r="AJ3432" i="2"/>
  <c r="AF3433" i="2"/>
  <c r="AK3433" i="2" s="1"/>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L3439" i="2" s="1"/>
  <c r="AG3439" i="2"/>
  <c r="AH3439" i="2"/>
  <c r="AI3439" i="2"/>
  <c r="AJ3439" i="2"/>
  <c r="AF3440" i="2"/>
  <c r="AK3440" i="2"/>
  <c r="AG3440" i="2"/>
  <c r="AH3440" i="2"/>
  <c r="AI3440" i="2"/>
  <c r="AJ3440" i="2"/>
  <c r="AF3441" i="2"/>
  <c r="AK3441" i="2" s="1"/>
  <c r="AG3441" i="2"/>
  <c r="AH3441" i="2"/>
  <c r="AI3441" i="2"/>
  <c r="AJ3441" i="2"/>
  <c r="AF3442" i="2"/>
  <c r="AK3442" i="2" s="1"/>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c r="AG3463" i="2"/>
  <c r="AH3463" i="2"/>
  <c r="AI3463" i="2"/>
  <c r="AJ3463" i="2"/>
  <c r="AF3464" i="2"/>
  <c r="AK3464" i="2"/>
  <c r="AG3464" i="2"/>
  <c r="AH3464" i="2"/>
  <c r="AI3464" i="2"/>
  <c r="AJ3464" i="2"/>
  <c r="AF3465" i="2"/>
  <c r="AK3465" i="2" s="1"/>
  <c r="AG3465" i="2"/>
  <c r="AH3465" i="2"/>
  <c r="AI3465" i="2"/>
  <c r="AJ3465" i="2"/>
  <c r="AF3466" i="2"/>
  <c r="AK3466" i="2"/>
  <c r="AG3466" i="2"/>
  <c r="AH3466" i="2"/>
  <c r="AI3466" i="2"/>
  <c r="AJ3466" i="2"/>
  <c r="AF3467" i="2"/>
  <c r="AK3467" i="2"/>
  <c r="AG3467" i="2"/>
  <c r="AH3467" i="2"/>
  <c r="AI3467" i="2"/>
  <c r="AJ3467" i="2"/>
  <c r="AL3467" i="2" s="1"/>
  <c r="AF3468" i="2"/>
  <c r="AK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L3492" i="2"/>
  <c r="AG3492" i="2"/>
  <c r="AH3492" i="2"/>
  <c r="AI3492" i="2"/>
  <c r="AJ3492" i="2"/>
  <c r="AF3493" i="2"/>
  <c r="AK3493" i="2"/>
  <c r="AG3493" i="2"/>
  <c r="AH3493" i="2"/>
  <c r="AI3493" i="2"/>
  <c r="AL3493" i="2" s="1"/>
  <c r="AJ3493" i="2"/>
  <c r="AF3494" i="2"/>
  <c r="AG3494" i="2"/>
  <c r="AH3494" i="2"/>
  <c r="AI3494" i="2"/>
  <c r="AJ3494" i="2"/>
  <c r="AL3494" i="2" s="1"/>
  <c r="AK3494" i="2"/>
  <c r="AF3495" i="2"/>
  <c r="AK3495" i="2"/>
  <c r="AG3495" i="2"/>
  <c r="AH3495" i="2"/>
  <c r="AI3495" i="2"/>
  <c r="AJ3495" i="2"/>
  <c r="AF3496" i="2"/>
  <c r="AK3496" i="2"/>
  <c r="AG3496" i="2"/>
  <c r="AH3496" i="2"/>
  <c r="AI3496" i="2"/>
  <c r="AJ3496" i="2"/>
  <c r="AF3497" i="2"/>
  <c r="AK3497" i="2" s="1"/>
  <c r="AG3497" i="2"/>
  <c r="AH3497" i="2"/>
  <c r="AI3497" i="2"/>
  <c r="AL3497" i="2" s="1"/>
  <c r="AJ3497" i="2"/>
  <c r="AF3498" i="2"/>
  <c r="AK3498" i="2"/>
  <c r="AG3498" i="2"/>
  <c r="AH3498" i="2"/>
  <c r="AI3498" i="2"/>
  <c r="AJ3498" i="2"/>
  <c r="AF3499" i="2"/>
  <c r="AG3499" i="2"/>
  <c r="AH3499" i="2"/>
  <c r="AL3499" i="2" s="1"/>
  <c r="AI3499" i="2"/>
  <c r="AJ3499" i="2"/>
  <c r="AK3499" i="2"/>
  <c r="AF3500" i="2"/>
  <c r="AK3500" i="2" s="1"/>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c r="AG3504" i="2"/>
  <c r="AH3504" i="2"/>
  <c r="AI3504" i="2"/>
  <c r="AJ3504" i="2"/>
  <c r="AF3505" i="2"/>
  <c r="AK3505" i="2" s="1"/>
  <c r="AG3505" i="2"/>
  <c r="AH3505" i="2"/>
  <c r="AI3505" i="2"/>
  <c r="AJ3505" i="2"/>
  <c r="AF3506" i="2"/>
  <c r="AK3506" i="2" s="1"/>
  <c r="AG3506" i="2"/>
  <c r="AH3506" i="2"/>
  <c r="AI3506" i="2"/>
  <c r="AL3506" i="2" s="1"/>
  <c r="AJ3506" i="2"/>
  <c r="AF3507" i="2"/>
  <c r="AK3507" i="2"/>
  <c r="AG3507" i="2"/>
  <c r="AH3507" i="2"/>
  <c r="AI3507" i="2"/>
  <c r="AJ3507" i="2"/>
  <c r="AF3508" i="2"/>
  <c r="AK3508" i="2"/>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H3515" i="2"/>
  <c r="AI3515" i="2"/>
  <c r="AJ3515" i="2"/>
  <c r="AL3515" i="2" s="1"/>
  <c r="AF3516" i="2"/>
  <c r="AK3516" i="2"/>
  <c r="AG3516" i="2"/>
  <c r="AH3516" i="2"/>
  <c r="AI3516" i="2"/>
  <c r="AJ3516" i="2"/>
  <c r="AF3517" i="2"/>
  <c r="AK3517" i="2"/>
  <c r="AG3517" i="2"/>
  <c r="AH3517" i="2"/>
  <c r="AI3517" i="2"/>
  <c r="AJ3517" i="2"/>
  <c r="AL3517" i="2" s="1"/>
  <c r="AF3518" i="2"/>
  <c r="AK3518" i="2" s="1"/>
  <c r="AG3518" i="2"/>
  <c r="AH3518" i="2"/>
  <c r="AI3518" i="2"/>
  <c r="AJ3518" i="2"/>
  <c r="AF3519" i="2"/>
  <c r="AK3519" i="2"/>
  <c r="AG3519" i="2"/>
  <c r="AH3519" i="2"/>
  <c r="AI3519" i="2"/>
  <c r="AJ3519" i="2"/>
  <c r="AF3520" i="2"/>
  <c r="AK3520" i="2"/>
  <c r="AG3520" i="2"/>
  <c r="AH3520" i="2"/>
  <c r="AI3520" i="2"/>
  <c r="AJ3520" i="2"/>
  <c r="AF3521" i="2"/>
  <c r="AK3521" i="2"/>
  <c r="AL3521" i="2"/>
  <c r="AG3521" i="2"/>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c r="AG3525" i="2"/>
  <c r="AH3525" i="2"/>
  <c r="AI3525" i="2"/>
  <c r="AJ3525" i="2"/>
  <c r="AF3526" i="2"/>
  <c r="AK3526" i="2"/>
  <c r="AG3526" i="2"/>
  <c r="AL3526" i="2" s="1"/>
  <c r="AH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c r="AG3530" i="2"/>
  <c r="AH3530" i="2"/>
  <c r="AI3530" i="2"/>
  <c r="AJ3530" i="2"/>
  <c r="AL3530" i="2" s="1"/>
  <c r="AF3531" i="2"/>
  <c r="AK3531" i="2" s="1"/>
  <c r="AG3531" i="2"/>
  <c r="AH3531" i="2"/>
  <c r="AI3531" i="2"/>
  <c r="AL3531" i="2" s="1"/>
  <c r="AJ3531" i="2"/>
  <c r="AF3532" i="2"/>
  <c r="AK3532" i="2"/>
  <c r="AG3532" i="2"/>
  <c r="AL3532" i="2" s="1"/>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L3535" i="2" s="1"/>
  <c r="AF3536" i="2"/>
  <c r="AK3536" i="2" s="1"/>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c r="AL3548" i="2"/>
  <c r="AG3548" i="2"/>
  <c r="AH3548" i="2"/>
  <c r="AI3548" i="2"/>
  <c r="AJ3548" i="2"/>
  <c r="AF3549" i="2"/>
  <c r="AK3549" i="2" s="1"/>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c r="AG3553" i="2"/>
  <c r="AH3553" i="2"/>
  <c r="AI3553" i="2"/>
  <c r="AJ3553" i="2"/>
  <c r="AF3554" i="2"/>
  <c r="AK3554" i="2" s="1"/>
  <c r="AG3554" i="2"/>
  <c r="AH3554" i="2"/>
  <c r="AI3554" i="2"/>
  <c r="AJ3554" i="2"/>
  <c r="AF3555" i="2"/>
  <c r="AK3555" i="2"/>
  <c r="AG3555" i="2"/>
  <c r="AL3555" i="2" s="1"/>
  <c r="AH3555" i="2"/>
  <c r="AI3555" i="2"/>
  <c r="AJ3555" i="2"/>
  <c r="AF3556" i="2"/>
  <c r="AK3556" i="2"/>
  <c r="AG3556" i="2"/>
  <c r="AH3556" i="2"/>
  <c r="AI3556" i="2"/>
  <c r="AJ3556" i="2"/>
  <c r="AF3557" i="2"/>
  <c r="AK3557" i="2" s="1"/>
  <c r="AL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s="1"/>
  <c r="AL3568" i="2" s="1"/>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L3571" i="2" s="1"/>
  <c r="AF3572" i="2"/>
  <c r="AK3572" i="2" s="1"/>
  <c r="AG3572" i="2"/>
  <c r="AH3572" i="2"/>
  <c r="AI3572" i="2"/>
  <c r="AJ3572" i="2"/>
  <c r="AF3573" i="2"/>
  <c r="AK3573" i="2"/>
  <c r="AG3573" i="2"/>
  <c r="AH3573" i="2"/>
  <c r="AL3573" i="2" s="1"/>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c r="AG3579" i="2"/>
  <c r="AH3579" i="2"/>
  <c r="AL3579" i="2" s="1"/>
  <c r="AI3579" i="2"/>
  <c r="AJ3579" i="2"/>
  <c r="AF3580" i="2"/>
  <c r="AK3580" i="2" s="1"/>
  <c r="AG3580" i="2"/>
  <c r="AH3580" i="2"/>
  <c r="AI3580" i="2"/>
  <c r="AJ3580" i="2"/>
  <c r="AF3581" i="2"/>
  <c r="AK3581" i="2" s="1"/>
  <c r="AG3581" i="2"/>
  <c r="AH3581" i="2"/>
  <c r="AI3581" i="2"/>
  <c r="AJ3581" i="2"/>
  <c r="AF3582" i="2"/>
  <c r="AK3582" i="2" s="1"/>
  <c r="AL3582" i="2" s="1"/>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s="1"/>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L3628" i="2" s="1"/>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s="1"/>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s="1"/>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s="1"/>
  <c r="AG3650" i="2"/>
  <c r="AH3650" i="2"/>
  <c r="AI3650" i="2"/>
  <c r="AJ3650" i="2"/>
  <c r="AF3651" i="2"/>
  <c r="AK3651" i="2" s="1"/>
  <c r="AG3651" i="2"/>
  <c r="AH3651" i="2"/>
  <c r="AI3651" i="2"/>
  <c r="AJ3651" i="2"/>
  <c r="AF3652" i="2"/>
  <c r="AK3652" i="2"/>
  <c r="AG3652" i="2"/>
  <c r="AH3652" i="2"/>
  <c r="AI3652" i="2"/>
  <c r="AJ3652" i="2"/>
  <c r="AF3653" i="2"/>
  <c r="AK3653" i="2"/>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s="1"/>
  <c r="AG3670" i="2"/>
  <c r="AH3670" i="2"/>
  <c r="AI3670" i="2"/>
  <c r="AJ3670" i="2"/>
  <c r="AF3671" i="2"/>
  <c r="AK3671" i="2" s="1"/>
  <c r="AG3671" i="2"/>
  <c r="AH3671" i="2"/>
  <c r="AI3671" i="2"/>
  <c r="AJ3671" i="2"/>
  <c r="AF3672" i="2"/>
  <c r="AK3672" i="2"/>
  <c r="AG3672" i="2"/>
  <c r="AL3672" i="2" s="1"/>
  <c r="AH3672" i="2"/>
  <c r="AI3672" i="2"/>
  <c r="AJ3672" i="2"/>
  <c r="AF3673" i="2"/>
  <c r="AK3673" i="2"/>
  <c r="AG3673" i="2"/>
  <c r="AH3673" i="2"/>
  <c r="AI3673" i="2"/>
  <c r="AJ3673" i="2"/>
  <c r="AF3674" i="2"/>
  <c r="AK3674" i="2" s="1"/>
  <c r="AG3674" i="2"/>
  <c r="AH3674" i="2"/>
  <c r="AI3674" i="2"/>
  <c r="AJ3674" i="2"/>
  <c r="AF3675" i="2"/>
  <c r="AK3675" i="2"/>
  <c r="AG3675" i="2"/>
  <c r="AH3675" i="2"/>
  <c r="AI3675" i="2"/>
  <c r="AJ3675" i="2"/>
  <c r="AF3676" i="2"/>
  <c r="AK3676" i="2"/>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s="1"/>
  <c r="AG3683" i="2"/>
  <c r="AL3683" i="2" s="1"/>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c r="AG3693" i="2"/>
  <c r="AL3693" i="2" s="1"/>
  <c r="AH3693" i="2"/>
  <c r="AI3693" i="2"/>
  <c r="AJ3693" i="2"/>
  <c r="AF3694" i="2"/>
  <c r="AK3694" i="2"/>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c r="AG3703" i="2"/>
  <c r="AH3703" i="2"/>
  <c r="AI3703" i="2"/>
  <c r="AJ3703" i="2"/>
  <c r="AF3704" i="2"/>
  <c r="AK3704" i="2"/>
  <c r="AG3704" i="2"/>
  <c r="AL3704" i="2" s="1"/>
  <c r="AH3704" i="2"/>
  <c r="AI3704" i="2"/>
  <c r="AJ3704" i="2"/>
  <c r="AF3705" i="2"/>
  <c r="AK3705" i="2"/>
  <c r="AG3705" i="2"/>
  <c r="AH3705" i="2"/>
  <c r="AI3705" i="2"/>
  <c r="AJ3705" i="2"/>
  <c r="AF3706" i="2"/>
  <c r="AK3706" i="2" s="1"/>
  <c r="AG3706" i="2"/>
  <c r="AH3706" i="2"/>
  <c r="AI3706" i="2"/>
  <c r="AJ3706" i="2"/>
  <c r="AF3707" i="2"/>
  <c r="AK3707" i="2" s="1"/>
  <c r="AG3707" i="2"/>
  <c r="AH3707" i="2"/>
  <c r="AI3707" i="2"/>
  <c r="AL3707" i="2" s="1"/>
  <c r="AJ3707" i="2"/>
  <c r="AF3708" i="2"/>
  <c r="AK3708" i="2"/>
  <c r="AG3708" i="2"/>
  <c r="AH3708" i="2"/>
  <c r="AI3708" i="2"/>
  <c r="AJ3708" i="2"/>
  <c r="AF3709" i="2"/>
  <c r="AK3709" i="2"/>
  <c r="AG3709" i="2"/>
  <c r="AL3709" i="2" s="1"/>
  <c r="AH3709" i="2"/>
  <c r="AI3709" i="2"/>
  <c r="AJ3709" i="2"/>
  <c r="AF3710" i="2"/>
  <c r="AK3710" i="2" s="1"/>
  <c r="AL3710" i="2" s="1"/>
  <c r="AG3710" i="2"/>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c r="AG3714" i="2"/>
  <c r="AH3714" i="2"/>
  <c r="AI3714" i="2"/>
  <c r="AJ3714" i="2"/>
  <c r="AF3715" i="2"/>
  <c r="AK3715" i="2"/>
  <c r="AG3715" i="2"/>
  <c r="AH3715" i="2"/>
  <c r="AI3715" i="2"/>
  <c r="AJ3715" i="2"/>
  <c r="AF3716" i="2"/>
  <c r="AK3716" i="2" s="1"/>
  <c r="AL3716" i="2"/>
  <c r="AG3716" i="2"/>
  <c r="AH3716" i="2"/>
  <c r="AI3716" i="2"/>
  <c r="AJ3716" i="2"/>
  <c r="AF3717" i="2"/>
  <c r="AK3717" i="2" s="1"/>
  <c r="AG3717" i="2"/>
  <c r="AH3717" i="2"/>
  <c r="AI3717" i="2"/>
  <c r="AJ3717" i="2"/>
  <c r="AF3718" i="2"/>
  <c r="AK3718" i="2" s="1"/>
  <c r="AG3718" i="2"/>
  <c r="AH3718" i="2"/>
  <c r="AI3718" i="2"/>
  <c r="AJ3718" i="2"/>
  <c r="AF3719" i="2"/>
  <c r="AK3719" i="2"/>
  <c r="AG3719" i="2"/>
  <c r="AH3719" i="2"/>
  <c r="AI3719" i="2"/>
  <c r="AJ3719" i="2"/>
  <c r="AF3720" i="2"/>
  <c r="AK3720" i="2"/>
  <c r="AG3720" i="2"/>
  <c r="AH3720" i="2"/>
  <c r="AI3720" i="2"/>
  <c r="AJ3720" i="2"/>
  <c r="AF3721" i="2"/>
  <c r="AK3721" i="2"/>
  <c r="AG3721" i="2"/>
  <c r="AH3721" i="2"/>
  <c r="AI3721" i="2"/>
  <c r="AJ3721" i="2"/>
  <c r="AF3722" i="2"/>
  <c r="AK3722" i="2"/>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H3726" i="2"/>
  <c r="AI3726" i="2"/>
  <c r="AJ3726" i="2"/>
  <c r="AF3727" i="2"/>
  <c r="AK3727" i="2"/>
  <c r="AG3727" i="2"/>
  <c r="AH3727" i="2"/>
  <c r="AI3727" i="2"/>
  <c r="AJ3727" i="2"/>
  <c r="AF3728" i="2"/>
  <c r="AK3728" i="2"/>
  <c r="AG3728" i="2"/>
  <c r="AL3728" i="2" s="1"/>
  <c r="AH3728" i="2"/>
  <c r="AI3728" i="2"/>
  <c r="AJ3728" i="2"/>
  <c r="AF3729" i="2"/>
  <c r="AK3729" i="2" s="1"/>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c r="AL3735" i="2"/>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L3740" i="2"/>
  <c r="AH3740" i="2"/>
  <c r="AI3740" i="2"/>
  <c r="AJ3740" i="2"/>
  <c r="AF3741" i="2"/>
  <c r="AK3741" i="2"/>
  <c r="AG3741" i="2"/>
  <c r="AH3741" i="2"/>
  <c r="AI3741" i="2"/>
  <c r="AJ3741" i="2"/>
  <c r="AF3742" i="2"/>
  <c r="AK3742" i="2" s="1"/>
  <c r="AG3742" i="2"/>
  <c r="AH3742" i="2"/>
  <c r="AI3742" i="2"/>
  <c r="AJ3742" i="2"/>
  <c r="AF3743" i="2"/>
  <c r="AK3743" i="2"/>
  <c r="AL3743" i="2"/>
  <c r="AG3743" i="2"/>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L3755" i="2" s="1"/>
  <c r="AJ3755" i="2"/>
  <c r="AF3756" i="2"/>
  <c r="AK3756" i="2"/>
  <c r="AG3756" i="2"/>
  <c r="AH3756" i="2"/>
  <c r="AI3756" i="2"/>
  <c r="AJ3756" i="2"/>
  <c r="AF3757" i="2"/>
  <c r="AK3757" i="2"/>
  <c r="AG3757" i="2"/>
  <c r="AH3757" i="2"/>
  <c r="AL3757" i="2" s="1"/>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I3761" i="2"/>
  <c r="AJ3761" i="2"/>
  <c r="AF3762" i="2"/>
  <c r="AK3762" i="2" s="1"/>
  <c r="AL3762" i="2" s="1"/>
  <c r="AG3762" i="2"/>
  <c r="AH3762" i="2"/>
  <c r="AI3762" i="2"/>
  <c r="AJ3762" i="2"/>
  <c r="AF3763" i="2"/>
  <c r="AK3763" i="2"/>
  <c r="AG3763" i="2"/>
  <c r="AH3763" i="2"/>
  <c r="AI3763" i="2"/>
  <c r="AJ3763" i="2"/>
  <c r="AF3764" i="2"/>
  <c r="AK3764" i="2" s="1"/>
  <c r="AG3764" i="2"/>
  <c r="AH3764" i="2"/>
  <c r="AI3764" i="2"/>
  <c r="AJ3764" i="2"/>
  <c r="AF3765" i="2"/>
  <c r="AK3765" i="2" s="1"/>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G3771" i="2"/>
  <c r="AH3771" i="2"/>
  <c r="AL3771" i="2" s="1"/>
  <c r="AI3771" i="2"/>
  <c r="AJ3771" i="2"/>
  <c r="AF3772" i="2"/>
  <c r="AK3772" i="2" s="1"/>
  <c r="AG3772" i="2"/>
  <c r="AH3772" i="2"/>
  <c r="AI3772" i="2"/>
  <c r="AJ3772" i="2"/>
  <c r="AF3773" i="2"/>
  <c r="AK3773" i="2"/>
  <c r="AG3773" i="2"/>
  <c r="AH3773" i="2"/>
  <c r="AI3773" i="2"/>
  <c r="AJ3773" i="2"/>
  <c r="AF3774" i="2"/>
  <c r="AK3774" i="2"/>
  <c r="AG3774" i="2"/>
  <c r="AL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c r="AG3797" i="2"/>
  <c r="AH3797" i="2"/>
  <c r="AI3797" i="2"/>
  <c r="AJ3797" i="2"/>
  <c r="AF3798" i="2"/>
  <c r="AK3798" i="2"/>
  <c r="AG3798" i="2"/>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s="1"/>
  <c r="AG3804" i="2"/>
  <c r="AH3804" i="2"/>
  <c r="AL3804" i="2" s="1"/>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L3819" i="2" s="1"/>
  <c r="AH3819" i="2"/>
  <c r="AI3819" i="2"/>
  <c r="AJ3819" i="2"/>
  <c r="AF3820" i="2"/>
  <c r="AK3820" i="2"/>
  <c r="AG3820" i="2"/>
  <c r="AH3820" i="2"/>
  <c r="AI3820" i="2"/>
  <c r="AJ3820" i="2"/>
  <c r="AF3821" i="2"/>
  <c r="AK3821" i="2" s="1"/>
  <c r="AL3821" i="2" s="1"/>
  <c r="AG3821" i="2"/>
  <c r="AH3821" i="2"/>
  <c r="AI3821" i="2"/>
  <c r="AJ3821" i="2"/>
  <c r="AF3822" i="2"/>
  <c r="AK3822" i="2"/>
  <c r="AG3822" i="2"/>
  <c r="AH3822" i="2"/>
  <c r="AI3822" i="2"/>
  <c r="AJ3822" i="2"/>
  <c r="AF3823" i="2"/>
  <c r="AK3823" i="2" s="1"/>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L3827" i="2"/>
  <c r="AG3827" i="2"/>
  <c r="AH3827" i="2"/>
  <c r="AI3827" i="2"/>
  <c r="AJ3827" i="2"/>
  <c r="AF3828" i="2"/>
  <c r="AK3828" i="2"/>
  <c r="AG3828" i="2"/>
  <c r="AH3828" i="2"/>
  <c r="AI3828" i="2"/>
  <c r="AJ3828" i="2"/>
  <c r="AF3829" i="2"/>
  <c r="AK3829" i="2" s="1"/>
  <c r="AG3829" i="2"/>
  <c r="AH3829" i="2"/>
  <c r="AI3829" i="2"/>
  <c r="AJ3829" i="2"/>
  <c r="AF3830" i="2"/>
  <c r="AK3830" i="2" s="1"/>
  <c r="AL3830" i="2" s="1"/>
  <c r="AG3830" i="2"/>
  <c r="AH3830" i="2"/>
  <c r="AI3830" i="2"/>
  <c r="AJ3830" i="2"/>
  <c r="AF3831" i="2"/>
  <c r="AK3831" i="2" s="1"/>
  <c r="AG3831" i="2"/>
  <c r="AH3831" i="2"/>
  <c r="AI3831" i="2"/>
  <c r="AJ3831" i="2"/>
  <c r="AF3832" i="2"/>
  <c r="AK3832" i="2"/>
  <c r="AG3832" i="2"/>
  <c r="AL3832" i="2" s="1"/>
  <c r="AH3832" i="2"/>
  <c r="AI3832" i="2"/>
  <c r="AJ3832" i="2"/>
  <c r="AF3833" i="2"/>
  <c r="AK3833" i="2"/>
  <c r="AG3833" i="2"/>
  <c r="AH3833" i="2"/>
  <c r="AI3833" i="2"/>
  <c r="AJ3833" i="2"/>
  <c r="AF3834" i="2"/>
  <c r="AK3834" i="2" s="1"/>
  <c r="AG3834" i="2"/>
  <c r="AH3834" i="2"/>
  <c r="AI3834" i="2"/>
  <c r="AJ3834" i="2"/>
  <c r="AF3835" i="2"/>
  <c r="AK3835" i="2"/>
  <c r="AG3835" i="2"/>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c r="AG3856" i="2"/>
  <c r="AH3856" i="2"/>
  <c r="AI3856" i="2"/>
  <c r="AL3856" i="2"/>
  <c r="AJ3856" i="2"/>
  <c r="AF3857" i="2"/>
  <c r="AK3857" i="2" s="1"/>
  <c r="AG3857" i="2"/>
  <c r="AH3857" i="2"/>
  <c r="AI3857" i="2"/>
  <c r="AJ3857" i="2"/>
  <c r="AF3858" i="2"/>
  <c r="AK3858" i="2" s="1"/>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s="1"/>
  <c r="AG3876" i="2"/>
  <c r="AH3876" i="2"/>
  <c r="AI3876" i="2"/>
  <c r="AJ3876" i="2"/>
  <c r="AF3877" i="2"/>
  <c r="AK3877" i="2" s="1"/>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s="1"/>
  <c r="AG3882" i="2"/>
  <c r="AH3882" i="2"/>
  <c r="AI3882" i="2"/>
  <c r="AJ3882" i="2"/>
  <c r="AF3883" i="2"/>
  <c r="AK3883" i="2" s="1"/>
  <c r="AG3883" i="2"/>
  <c r="AH3883" i="2"/>
  <c r="AI3883" i="2"/>
  <c r="AJ3883" i="2"/>
  <c r="AF3884" i="2"/>
  <c r="AK3884" i="2"/>
  <c r="AG3884" i="2"/>
  <c r="AL3884" i="2" s="1"/>
  <c r="AH3884" i="2"/>
  <c r="AI3884" i="2"/>
  <c r="AJ3884" i="2"/>
  <c r="AF3885" i="2"/>
  <c r="AK3885" i="2" s="1"/>
  <c r="AG3885" i="2"/>
  <c r="AH3885" i="2"/>
  <c r="AI3885" i="2"/>
  <c r="AJ3885" i="2"/>
  <c r="AF3886" i="2"/>
  <c r="AK3886" i="2" s="1"/>
  <c r="AG3886" i="2"/>
  <c r="AH3886" i="2"/>
  <c r="AI3886" i="2"/>
  <c r="AJ3886" i="2"/>
  <c r="AF3887" i="2"/>
  <c r="AK3887" i="2"/>
  <c r="AG3887" i="2"/>
  <c r="AH3887" i="2"/>
  <c r="AI3887" i="2"/>
  <c r="AL3887" i="2" s="1"/>
  <c r="AJ3887" i="2"/>
  <c r="AF3888" i="2"/>
  <c r="AK3888" i="2" s="1"/>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L3899" i="2" s="1"/>
  <c r="AH3899" i="2"/>
  <c r="AI3899" i="2"/>
  <c r="AJ3899" i="2"/>
  <c r="AF3900" i="2"/>
  <c r="AK3900" i="2"/>
  <c r="AG3900" i="2"/>
  <c r="AH3900" i="2"/>
  <c r="AI3900" i="2"/>
  <c r="AJ3900" i="2"/>
  <c r="AF3901" i="2"/>
  <c r="AK3901" i="2" s="1"/>
  <c r="AG3901" i="2"/>
  <c r="AH3901" i="2"/>
  <c r="AI3901" i="2"/>
  <c r="AJ3901" i="2"/>
  <c r="AL3901" i="2" s="1"/>
  <c r="AF3902" i="2"/>
  <c r="AK3902" i="2"/>
  <c r="AG3902" i="2"/>
  <c r="AH3902" i="2"/>
  <c r="AI3902" i="2"/>
  <c r="AJ3902" i="2"/>
  <c r="AF3903" i="2"/>
  <c r="AK3903" i="2"/>
  <c r="AG3903" i="2"/>
  <c r="AH3903" i="2"/>
  <c r="AL3903" i="2" s="1"/>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L3907" i="2" s="1"/>
  <c r="AG3907" i="2"/>
  <c r="AH3907" i="2"/>
  <c r="AI3907" i="2"/>
  <c r="AJ3907" i="2"/>
  <c r="AF3908" i="2"/>
  <c r="AK3908" i="2"/>
  <c r="AG3908" i="2"/>
  <c r="AH3908" i="2"/>
  <c r="AI3908" i="2"/>
  <c r="AJ3908" i="2"/>
  <c r="AF3909" i="2"/>
  <c r="AK3909" i="2"/>
  <c r="AG3909" i="2"/>
  <c r="AH3909" i="2"/>
  <c r="AI3909" i="2"/>
  <c r="AJ3909" i="2"/>
  <c r="AF3910" i="2"/>
  <c r="AK3910" i="2" s="1"/>
  <c r="AG3910" i="2"/>
  <c r="AH3910" i="2"/>
  <c r="AI3910" i="2"/>
  <c r="AJ3910" i="2"/>
  <c r="AF3911" i="2"/>
  <c r="AK3911" i="2" s="1"/>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I3925" i="2"/>
  <c r="AJ3925" i="2"/>
  <c r="AF3926" i="2"/>
  <c r="AK3926" i="2"/>
  <c r="AG3926" i="2"/>
  <c r="AH3926" i="2"/>
  <c r="AI3926" i="2"/>
  <c r="AJ3926" i="2"/>
  <c r="AF3927" i="2"/>
  <c r="AK3927" i="2"/>
  <c r="AG3927" i="2"/>
  <c r="AH3927" i="2"/>
  <c r="AI3927" i="2"/>
  <c r="AJ3927" i="2"/>
  <c r="AF3928" i="2"/>
  <c r="AK3928" i="2" s="1"/>
  <c r="AG3928" i="2"/>
  <c r="AH3928" i="2"/>
  <c r="AI3928" i="2"/>
  <c r="AJ3928" i="2"/>
  <c r="AF3929" i="2"/>
  <c r="AK3929" i="2"/>
  <c r="AG3929" i="2"/>
  <c r="AH3929" i="2"/>
  <c r="AI3929" i="2"/>
  <c r="AJ3929" i="2"/>
  <c r="AF3930" i="2"/>
  <c r="AK3930" i="2" s="1"/>
  <c r="AL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c r="AL3935" i="2" s="1"/>
  <c r="AG3935" i="2"/>
  <c r="AH3935" i="2"/>
  <c r="AI3935" i="2"/>
  <c r="AJ3935" i="2"/>
  <c r="AF3936" i="2"/>
  <c r="AK3936" i="2"/>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c r="AG3947" i="2"/>
  <c r="AH3947" i="2"/>
  <c r="AL3947" i="2" s="1"/>
  <c r="AI3947" i="2"/>
  <c r="AJ3947" i="2"/>
  <c r="AF3948" i="2"/>
  <c r="AK3948" i="2"/>
  <c r="AG3948" i="2"/>
  <c r="AH3948" i="2"/>
  <c r="AI3948" i="2"/>
  <c r="AJ3948" i="2"/>
  <c r="AF3949" i="2"/>
  <c r="AK3949" i="2"/>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c r="AG3955" i="2"/>
  <c r="AL3955" i="2" s="1"/>
  <c r="AH3955" i="2"/>
  <c r="AI3955" i="2"/>
  <c r="AJ3955" i="2"/>
  <c r="AF3956" i="2"/>
  <c r="AK3956" i="2" s="1"/>
  <c r="AG3956" i="2"/>
  <c r="AH3956" i="2"/>
  <c r="AI3956" i="2"/>
  <c r="AL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s="1"/>
  <c r="AG3975" i="2"/>
  <c r="AH3975" i="2"/>
  <c r="AI3975" i="2"/>
  <c r="AJ3975" i="2"/>
  <c r="AF3976" i="2"/>
  <c r="AK3976" i="2"/>
  <c r="AG3976" i="2"/>
  <c r="AH3976" i="2"/>
  <c r="AL3976" i="2" s="1"/>
  <c r="AI3976" i="2"/>
  <c r="AJ3976" i="2"/>
  <c r="AF3977" i="2"/>
  <c r="AK3977" i="2"/>
  <c r="AG3977" i="2"/>
  <c r="AH3977" i="2"/>
  <c r="AI3977" i="2"/>
  <c r="AJ3977" i="2"/>
  <c r="AF3978" i="2"/>
  <c r="AK3978" i="2"/>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s="1"/>
  <c r="AG3989" i="2"/>
  <c r="AH3989" i="2"/>
  <c r="AL3989" i="2" s="1"/>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s="1"/>
  <c r="AG3993" i="2"/>
  <c r="AL3993" i="2" s="1"/>
  <c r="AH3993" i="2"/>
  <c r="AI3993" i="2"/>
  <c r="AJ3993" i="2"/>
  <c r="AF3994" i="2"/>
  <c r="AK3994" i="2"/>
  <c r="AG3994" i="2"/>
  <c r="AH3994" i="2"/>
  <c r="AI3994" i="2"/>
  <c r="AJ3994" i="2"/>
  <c r="AF3995" i="2"/>
  <c r="AK3995" i="2"/>
  <c r="AG3995" i="2"/>
  <c r="AH3995" i="2"/>
  <c r="AI3995" i="2"/>
  <c r="AJ3995" i="2"/>
  <c r="AF3996" i="2"/>
  <c r="AK3996" i="2" s="1"/>
  <c r="AG3996" i="2"/>
  <c r="AH3996" i="2"/>
  <c r="AL3996" i="2" s="1"/>
  <c r="AI3996" i="2"/>
  <c r="AJ3996" i="2"/>
  <c r="AF3997" i="2"/>
  <c r="AK3997" i="2" s="1"/>
  <c r="AG3997" i="2"/>
  <c r="AH3997" i="2"/>
  <c r="AI3997" i="2"/>
  <c r="AJ3997" i="2"/>
  <c r="AF3998" i="2"/>
  <c r="AK3998" i="2" s="1"/>
  <c r="AG3998" i="2"/>
  <c r="AH3998" i="2"/>
  <c r="AI3998" i="2"/>
  <c r="AJ3998" i="2"/>
  <c r="AF3999" i="2"/>
  <c r="AK3999" i="2"/>
  <c r="AG3999" i="2"/>
  <c r="AH3999" i="2"/>
  <c r="AI3999" i="2"/>
  <c r="AJ3999" i="2"/>
  <c r="AF4000" i="2"/>
  <c r="AK4000" i="2" s="1"/>
  <c r="AG4000" i="2"/>
  <c r="AL4000" i="2" s="1"/>
  <c r="AH4000" i="2"/>
  <c r="AI4000" i="2"/>
  <c r="AJ4000" i="2"/>
  <c r="AF4001" i="2"/>
  <c r="AK4001" i="2"/>
  <c r="AG4001" i="2"/>
  <c r="AH4001" i="2"/>
  <c r="AI4001" i="2"/>
  <c r="AJ4001" i="2"/>
  <c r="AF4002" i="2"/>
  <c r="AK4002" i="2" s="1"/>
  <c r="AG4002" i="2"/>
  <c r="AH4002" i="2"/>
  <c r="AI4002" i="2"/>
  <c r="AJ4002" i="2"/>
  <c r="AF4003" i="2"/>
  <c r="AK4003" i="2" s="1"/>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s="1"/>
  <c r="AG4037" i="2"/>
  <c r="AH4037" i="2"/>
  <c r="AI4037" i="2"/>
  <c r="AJ4037" i="2"/>
  <c r="AF4038" i="2"/>
  <c r="AK4038" i="2" s="1"/>
  <c r="AL4038" i="2" s="1"/>
  <c r="AG4038" i="2"/>
  <c r="AH4038" i="2"/>
  <c r="AI4038" i="2"/>
  <c r="AJ4038" i="2"/>
  <c r="AF4039" i="2"/>
  <c r="AK4039" i="2"/>
  <c r="AG4039" i="2"/>
  <c r="AH4039" i="2"/>
  <c r="AI4039" i="2"/>
  <c r="AJ4039" i="2"/>
  <c r="AF4040" i="2"/>
  <c r="AK4040" i="2" s="1"/>
  <c r="AG4040" i="2"/>
  <c r="AH4040" i="2"/>
  <c r="AI4040" i="2"/>
  <c r="AJ4040" i="2"/>
  <c r="AF4041" i="2"/>
  <c r="AK4041" i="2" s="1"/>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s="1"/>
  <c r="AG4046" i="2"/>
  <c r="AH4046" i="2"/>
  <c r="AL4046" i="2" s="1"/>
  <c r="AI4046" i="2"/>
  <c r="AJ4046" i="2"/>
  <c r="AF4047" i="2"/>
  <c r="AK4047" i="2"/>
  <c r="AG4047" i="2"/>
  <c r="AH4047" i="2"/>
  <c r="AI4047" i="2"/>
  <c r="AJ4047" i="2"/>
  <c r="AF4048" i="2"/>
  <c r="AK4048" i="2"/>
  <c r="AG4048" i="2"/>
  <c r="AH4048" i="2"/>
  <c r="AI4048" i="2"/>
  <c r="AJ4048" i="2"/>
  <c r="AF4049" i="2"/>
  <c r="AK4049" i="2" s="1"/>
  <c r="AG4049" i="2"/>
  <c r="AH4049" i="2"/>
  <c r="AI4049" i="2"/>
  <c r="AJ4049" i="2"/>
  <c r="AF4050" i="2"/>
  <c r="AK4050" i="2" s="1"/>
  <c r="AG4050" i="2"/>
  <c r="AH4050" i="2"/>
  <c r="AI4050" i="2"/>
  <c r="AJ4050" i="2"/>
  <c r="AF4051" i="2"/>
  <c r="AK4051" i="2"/>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G4069" i="2"/>
  <c r="AH4069" i="2"/>
  <c r="AL4069" i="2" s="1"/>
  <c r="AI4069" i="2"/>
  <c r="AJ4069" i="2"/>
  <c r="AF4070" i="2"/>
  <c r="AK4070" i="2"/>
  <c r="AG4070" i="2"/>
  <c r="AH4070" i="2"/>
  <c r="AI4070" i="2"/>
  <c r="AJ4070" i="2"/>
  <c r="AF4071" i="2"/>
  <c r="AK4071" i="2"/>
  <c r="AG4071" i="2"/>
  <c r="AH4071" i="2"/>
  <c r="AI4071" i="2"/>
  <c r="AJ4071" i="2"/>
  <c r="AF4072" i="2"/>
  <c r="AK4072" i="2"/>
  <c r="AG4072" i="2"/>
  <c r="AH4072" i="2"/>
  <c r="AI4072" i="2"/>
  <c r="AL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s="1"/>
  <c r="AG4081" i="2"/>
  <c r="AH4081" i="2"/>
  <c r="AI4081" i="2"/>
  <c r="AJ4081" i="2"/>
  <c r="AF4082" i="2"/>
  <c r="AK4082" i="2"/>
  <c r="AG4082" i="2"/>
  <c r="AH4082" i="2"/>
  <c r="AI4082" i="2"/>
  <c r="AJ4082" i="2"/>
  <c r="AF4083" i="2"/>
  <c r="AK4083" i="2"/>
  <c r="AG4083" i="2"/>
  <c r="AH4083" i="2"/>
  <c r="AI4083" i="2"/>
  <c r="AJ4083" i="2"/>
  <c r="AF4084" i="2"/>
  <c r="AK4084" i="2" s="1"/>
  <c r="AG4084" i="2"/>
  <c r="AH4084" i="2"/>
  <c r="AI4084" i="2"/>
  <c r="AJ4084" i="2"/>
  <c r="AF4085" i="2"/>
  <c r="AK4085" i="2"/>
  <c r="AG4085" i="2"/>
  <c r="AH4085" i="2"/>
  <c r="AL4085" i="2" s="1"/>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L4092" i="2" s="1"/>
  <c r="AG4092" i="2"/>
  <c r="AH4092" i="2"/>
  <c r="AI4092" i="2"/>
  <c r="AJ4092" i="2"/>
  <c r="AF4093" i="2"/>
  <c r="AK4093" i="2"/>
  <c r="AG4093" i="2"/>
  <c r="AH4093" i="2"/>
  <c r="AI4093" i="2"/>
  <c r="AJ4093" i="2"/>
  <c r="AF4094" i="2"/>
  <c r="AK4094" i="2"/>
  <c r="AG4094" i="2"/>
  <c r="AH4094" i="2"/>
  <c r="AI4094" i="2"/>
  <c r="AJ4094" i="2"/>
  <c r="AF4095" i="2"/>
  <c r="AK4095" i="2"/>
  <c r="AG4095" i="2"/>
  <c r="AH4095" i="2"/>
  <c r="AL4095" i="2" s="1"/>
  <c r="AI4095" i="2"/>
  <c r="AJ4095" i="2"/>
  <c r="AF4096" i="2"/>
  <c r="AK4096" i="2"/>
  <c r="AG4096" i="2"/>
  <c r="AH4096" i="2"/>
  <c r="AI4096" i="2"/>
  <c r="AJ4096" i="2"/>
  <c r="AF4097" i="2"/>
  <c r="AK4097" i="2"/>
  <c r="AL4097" i="2" s="1"/>
  <c r="AG4097" i="2"/>
  <c r="AH4097" i="2"/>
  <c r="AI4097" i="2"/>
  <c r="AJ4097" i="2"/>
  <c r="AF4098" i="2"/>
  <c r="AK4098" i="2"/>
  <c r="AG4098" i="2"/>
  <c r="AH4098" i="2"/>
  <c r="AI4098" i="2"/>
  <c r="AJ4098" i="2"/>
  <c r="AF4099" i="2"/>
  <c r="AK4099" i="2" s="1"/>
  <c r="AG4099" i="2"/>
  <c r="AH4099" i="2"/>
  <c r="AI4099" i="2"/>
  <c r="AJ4099" i="2"/>
  <c r="AF4100" i="2"/>
  <c r="AK4100" i="2"/>
  <c r="AG4100" i="2"/>
  <c r="AH4100" i="2"/>
  <c r="AI4100" i="2"/>
  <c r="AJ4100" i="2"/>
  <c r="AF4101" i="2"/>
  <c r="AK4101" i="2"/>
  <c r="AG4101" i="2"/>
  <c r="AH4101" i="2"/>
  <c r="AI4101" i="2"/>
  <c r="AJ4101" i="2"/>
  <c r="AF4102" i="2"/>
  <c r="AK4102" i="2" s="1"/>
  <c r="AL4102" i="2" s="1"/>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c r="AG4110" i="2"/>
  <c r="AH4110" i="2"/>
  <c r="AI4110" i="2"/>
  <c r="AJ4110" i="2"/>
  <c r="AF4111" i="2"/>
  <c r="AK4111" i="2" s="1"/>
  <c r="AL4111" i="2"/>
  <c r="AG4111" i="2"/>
  <c r="AH4111" i="2"/>
  <c r="AI4111" i="2"/>
  <c r="AJ4111" i="2"/>
  <c r="AF4112" i="2"/>
  <c r="AK4112" i="2"/>
  <c r="AG4112" i="2"/>
  <c r="AH4112" i="2"/>
  <c r="AL4112" i="2" s="1"/>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H4116" i="2"/>
  <c r="AI4116" i="2"/>
  <c r="AJ4116" i="2"/>
  <c r="AF4117" i="2"/>
  <c r="AG4117" i="2"/>
  <c r="AH4117" i="2"/>
  <c r="AI4117" i="2"/>
  <c r="AL4117" i="2"/>
  <c r="AJ4117" i="2"/>
  <c r="AK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G4122" i="2"/>
  <c r="AH4122" i="2"/>
  <c r="AL4122" i="2" s="1"/>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L4133" i="2" s="1"/>
  <c r="AH4133" i="2"/>
  <c r="AI4133" i="2"/>
  <c r="AJ4133" i="2"/>
  <c r="AF4134" i="2"/>
  <c r="AK4134" i="2"/>
  <c r="AG4134" i="2"/>
  <c r="AH4134" i="2"/>
  <c r="AI4134" i="2"/>
  <c r="AJ4134" i="2"/>
  <c r="AF4135" i="2"/>
  <c r="AK4135" i="2" s="1"/>
  <c r="AG4135" i="2"/>
  <c r="AH4135" i="2"/>
  <c r="AL4135" i="2" s="1"/>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s="1"/>
  <c r="AG4145" i="2"/>
  <c r="AL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G4155" i="2"/>
  <c r="AH4155" i="2"/>
  <c r="AI4155" i="2"/>
  <c r="AJ4155" i="2"/>
  <c r="AF4156" i="2"/>
  <c r="AK4156" i="2"/>
  <c r="AL4156" i="2"/>
  <c r="AG4156" i="2"/>
  <c r="AH4156" i="2"/>
  <c r="AI4156" i="2"/>
  <c r="AJ4156" i="2"/>
  <c r="AF4157" i="2"/>
  <c r="AK4157" i="2" s="1"/>
  <c r="AG4157" i="2"/>
  <c r="AH4157" i="2"/>
  <c r="AI4157" i="2"/>
  <c r="AJ4157" i="2"/>
  <c r="AF4158" i="2"/>
  <c r="AK4158" i="2" s="1"/>
  <c r="AL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L4162" i="2" s="1"/>
  <c r="AI4162" i="2"/>
  <c r="AJ4162" i="2"/>
  <c r="AF4163" i="2"/>
  <c r="AK4163" i="2" s="1"/>
  <c r="AG4163" i="2"/>
  <c r="AH4163" i="2"/>
  <c r="AI4163" i="2"/>
  <c r="AJ4163" i="2"/>
  <c r="AF4164" i="2"/>
  <c r="AK4164" i="2" s="1"/>
  <c r="AG4164" i="2"/>
  <c r="AH4164" i="2"/>
  <c r="AI4164" i="2"/>
  <c r="AJ4164" i="2"/>
  <c r="AL4164" i="2" s="1"/>
  <c r="AF4165" i="2"/>
  <c r="AK4165" i="2"/>
  <c r="AG4165" i="2"/>
  <c r="AH4165" i="2"/>
  <c r="AI4165" i="2"/>
  <c r="AJ4165" i="2"/>
  <c r="AF4166" i="2"/>
  <c r="AK4166" i="2"/>
  <c r="AG4166" i="2"/>
  <c r="AH4166" i="2"/>
  <c r="AL4166" i="2" s="1"/>
  <c r="AI4166" i="2"/>
  <c r="AJ4166" i="2"/>
  <c r="AF4167" i="2"/>
  <c r="AK4167" i="2"/>
  <c r="AG4167" i="2"/>
  <c r="AH4167" i="2"/>
  <c r="AI4167" i="2"/>
  <c r="AJ4167" i="2"/>
  <c r="AF4168" i="2"/>
  <c r="AK4168" i="2"/>
  <c r="AL4168" i="2" s="1"/>
  <c r="AG4168" i="2"/>
  <c r="AH4168" i="2"/>
  <c r="AI4168" i="2"/>
  <c r="AJ4168" i="2"/>
  <c r="AF4169" i="2"/>
  <c r="AK4169" i="2" s="1"/>
  <c r="AG4169" i="2"/>
  <c r="AH4169" i="2"/>
  <c r="AI4169" i="2"/>
  <c r="AJ4169" i="2"/>
  <c r="AF4170" i="2"/>
  <c r="AK4170" i="2"/>
  <c r="AG4170" i="2"/>
  <c r="AH4170" i="2"/>
  <c r="AL4170" i="2"/>
  <c r="AI4170" i="2"/>
  <c r="AJ4170" i="2"/>
  <c r="AF4171" i="2"/>
  <c r="AK4171" i="2"/>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s="1"/>
  <c r="AG4179" i="2"/>
  <c r="AH4179" i="2"/>
  <c r="AI4179" i="2"/>
  <c r="AJ4179" i="2"/>
  <c r="AF4180" i="2"/>
  <c r="AK4180" i="2" s="1"/>
  <c r="AG4180" i="2"/>
  <c r="AH4180" i="2"/>
  <c r="AI4180" i="2"/>
  <c r="AJ4180" i="2"/>
  <c r="AF4181" i="2"/>
  <c r="AK4181" i="2"/>
  <c r="AG4181" i="2"/>
  <c r="AH4181" i="2"/>
  <c r="AI4181" i="2"/>
  <c r="AJ4181" i="2"/>
  <c r="AF4182" i="2"/>
  <c r="AK4182" i="2"/>
  <c r="AL4182" i="2" s="1"/>
  <c r="AG4182" i="2"/>
  <c r="AH4182" i="2"/>
  <c r="AI4182" i="2"/>
  <c r="AJ4182" i="2"/>
  <c r="AF4183" i="2"/>
  <c r="AK4183" i="2"/>
  <c r="AG4183" i="2"/>
  <c r="AH4183" i="2"/>
  <c r="AI4183" i="2"/>
  <c r="AL4183" i="2" s="1"/>
  <c r="AJ4183" i="2"/>
  <c r="AF4184" i="2"/>
  <c r="AK4184" i="2" s="1"/>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s="1"/>
  <c r="AG4189" i="2"/>
  <c r="AH4189" i="2"/>
  <c r="AI4189" i="2"/>
  <c r="AJ4189" i="2"/>
  <c r="AF4190" i="2"/>
  <c r="AK4190" i="2"/>
  <c r="AG4190" i="2"/>
  <c r="AH4190" i="2"/>
  <c r="AL4190" i="2" s="1"/>
  <c r="AI4190" i="2"/>
  <c r="AJ4190" i="2"/>
  <c r="AF4191" i="2"/>
  <c r="AK4191" i="2"/>
  <c r="AG4191" i="2"/>
  <c r="AH4191" i="2"/>
  <c r="AI4191" i="2"/>
  <c r="AJ4191" i="2"/>
  <c r="AF4192" i="2"/>
  <c r="AK4192" i="2"/>
  <c r="AG4192" i="2"/>
  <c r="AH4192" i="2"/>
  <c r="AI4192" i="2"/>
  <c r="AJ4192" i="2"/>
  <c r="AF4193" i="2"/>
  <c r="AK4193" i="2"/>
  <c r="AG4193" i="2"/>
  <c r="AH4193" i="2"/>
  <c r="AI4193" i="2"/>
  <c r="AJ4193" i="2"/>
  <c r="AL4193" i="2" s="1"/>
  <c r="AF4194" i="2"/>
  <c r="AK4194" i="2"/>
  <c r="AL4194" i="2"/>
  <c r="AG4194" i="2"/>
  <c r="AH4194" i="2"/>
  <c r="AI4194" i="2"/>
  <c r="AJ4194" i="2"/>
  <c r="AF4195" i="2"/>
  <c r="AK4195" i="2" s="1"/>
  <c r="AG4195" i="2"/>
  <c r="AL4195" i="2" s="1"/>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s="1"/>
  <c r="AG4199" i="2"/>
  <c r="AH4199" i="2"/>
  <c r="AI4199" i="2"/>
  <c r="AJ4199" i="2"/>
  <c r="AL4199" i="2" s="1"/>
  <c r="AF4200" i="2"/>
  <c r="AK4200" i="2"/>
  <c r="AG4200" i="2"/>
  <c r="AH4200" i="2"/>
  <c r="AI4200" i="2"/>
  <c r="AJ4200" i="2"/>
  <c r="AF4201" i="2"/>
  <c r="AK4201" i="2" s="1"/>
  <c r="AG4201" i="2"/>
  <c r="AH4201" i="2"/>
  <c r="AI4201" i="2"/>
  <c r="AJ4201" i="2"/>
  <c r="AF4202" i="2"/>
  <c r="AK4202" i="2"/>
  <c r="AG4202" i="2"/>
  <c r="AH4202" i="2"/>
  <c r="AI4202" i="2"/>
  <c r="AJ4202" i="2"/>
  <c r="AF4203" i="2"/>
  <c r="AK4203" i="2"/>
  <c r="AG4203" i="2"/>
  <c r="AH4203" i="2"/>
  <c r="AI4203" i="2"/>
  <c r="AJ4203" i="2"/>
  <c r="AF4204" i="2"/>
  <c r="AK4204" i="2"/>
  <c r="AG4204" i="2"/>
  <c r="AL4204" i="2" s="1"/>
  <c r="AH4204" i="2"/>
  <c r="AI4204" i="2"/>
  <c r="AJ4204" i="2"/>
  <c r="AF4205" i="2"/>
  <c r="AK4205" i="2" s="1"/>
  <c r="AG4205" i="2"/>
  <c r="AH4205" i="2"/>
  <c r="AI4205" i="2"/>
  <c r="AJ4205" i="2"/>
  <c r="AL4205" i="2" s="1"/>
  <c r="AF4206" i="2"/>
  <c r="AK4206" i="2"/>
  <c r="AG4206" i="2"/>
  <c r="AH4206" i="2"/>
  <c r="AI4206" i="2"/>
  <c r="AJ4206" i="2"/>
  <c r="AF4207" i="2"/>
  <c r="AK4207" i="2" s="1"/>
  <c r="AG4207" i="2"/>
  <c r="AH4207" i="2"/>
  <c r="AI4207" i="2"/>
  <c r="AL4207" i="2" s="1"/>
  <c r="AJ4207" i="2"/>
  <c r="AF4208" i="2"/>
  <c r="AK4208" i="2"/>
  <c r="AG4208" i="2"/>
  <c r="AH4208" i="2"/>
  <c r="AI4208" i="2"/>
  <c r="AJ4208" i="2"/>
  <c r="AF4209" i="2"/>
  <c r="AK4209" i="2"/>
  <c r="AG4209" i="2"/>
  <c r="AH4209" i="2"/>
  <c r="AI4209" i="2"/>
  <c r="AJ4209" i="2"/>
  <c r="AF4210" i="2"/>
  <c r="AK4210" i="2"/>
  <c r="AG4210" i="2"/>
  <c r="AH4210" i="2"/>
  <c r="AI4210" i="2"/>
  <c r="AJ4210" i="2"/>
  <c r="AF4211" i="2"/>
  <c r="AK4211" i="2" s="1"/>
  <c r="AL4211" i="2" s="1"/>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s="1"/>
  <c r="AG4216" i="2"/>
  <c r="AH4216" i="2"/>
  <c r="AL4216" i="2" s="1"/>
  <c r="AI4216" i="2"/>
  <c r="AJ4216" i="2"/>
  <c r="AF4217" i="2"/>
  <c r="AK4217" i="2"/>
  <c r="AG4217" i="2"/>
  <c r="AH4217" i="2"/>
  <c r="AI4217" i="2"/>
  <c r="AJ4217" i="2"/>
  <c r="AF4218" i="2"/>
  <c r="AK4218" i="2"/>
  <c r="AG4218" i="2"/>
  <c r="AH4218" i="2"/>
  <c r="AI4218" i="2"/>
  <c r="AJ4218" i="2"/>
  <c r="AF4219" i="2"/>
  <c r="AK4219" i="2"/>
  <c r="AG4219" i="2"/>
  <c r="AH4219" i="2"/>
  <c r="AI4219" i="2"/>
  <c r="AJ4219" i="2"/>
  <c r="AL4219" i="2" s="1"/>
  <c r="AF4220" i="2"/>
  <c r="AK4220" i="2" s="1"/>
  <c r="AG4220" i="2"/>
  <c r="AH4220" i="2"/>
  <c r="AI4220" i="2"/>
  <c r="AJ4220" i="2"/>
  <c r="AF4221" i="2"/>
  <c r="AK4221" i="2"/>
  <c r="AG4221" i="2"/>
  <c r="AH4221" i="2"/>
  <c r="AI4221" i="2"/>
  <c r="AL4221" i="2" s="1"/>
  <c r="AJ4221" i="2"/>
  <c r="AF4222" i="2"/>
  <c r="AK4222" i="2"/>
  <c r="AG4222" i="2"/>
  <c r="AH4222" i="2"/>
  <c r="AI4222" i="2"/>
  <c r="AL4222" i="2" s="1"/>
  <c r="AJ4222" i="2"/>
  <c r="AF4223" i="2"/>
  <c r="AK4223" i="2"/>
  <c r="AL4223" i="2" s="1"/>
  <c r="AG4223" i="2"/>
  <c r="AH4223" i="2"/>
  <c r="AI4223" i="2"/>
  <c r="AJ4223" i="2"/>
  <c r="AF4224" i="2"/>
  <c r="AK4224" i="2"/>
  <c r="AG4224" i="2"/>
  <c r="AH4224" i="2"/>
  <c r="AI4224" i="2"/>
  <c r="AJ4224" i="2"/>
  <c r="AL4224" i="2" s="1"/>
  <c r="AF4225" i="2"/>
  <c r="AK4225" i="2"/>
  <c r="AG4225" i="2"/>
  <c r="AH4225" i="2"/>
  <c r="AI4225" i="2"/>
  <c r="AJ4225" i="2"/>
  <c r="AF4226" i="2"/>
  <c r="AK4226" i="2" s="1"/>
  <c r="AG4226" i="2"/>
  <c r="AH4226" i="2"/>
  <c r="AI4226" i="2"/>
  <c r="AJ4226" i="2"/>
  <c r="AF4227" i="2"/>
  <c r="AK4227" i="2"/>
  <c r="AG4227" i="2"/>
  <c r="AH4227" i="2"/>
  <c r="AI4227" i="2"/>
  <c r="AJ4227" i="2"/>
  <c r="AF4228" i="2"/>
  <c r="AK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L4231" i="2" s="1"/>
  <c r="AF4232" i="2"/>
  <c r="AK4232" i="2"/>
  <c r="AG4232" i="2"/>
  <c r="AH4232" i="2"/>
  <c r="AI4232" i="2"/>
  <c r="AJ4232" i="2"/>
  <c r="AF4233" i="2"/>
  <c r="AK4233" i="2" s="1"/>
  <c r="AG4233" i="2"/>
  <c r="AH4233" i="2"/>
  <c r="AI4233" i="2"/>
  <c r="AL4233" i="2" s="1"/>
  <c r="AJ4233" i="2"/>
  <c r="AF4234" i="2"/>
  <c r="AK4234" i="2"/>
  <c r="AG4234" i="2"/>
  <c r="AH4234" i="2"/>
  <c r="AI4234" i="2"/>
  <c r="AJ4234" i="2"/>
  <c r="AF4235" i="2"/>
  <c r="AK4235" i="2"/>
  <c r="AG4235" i="2"/>
  <c r="AL4235" i="2" s="1"/>
  <c r="AH4235" i="2"/>
  <c r="AI4235" i="2"/>
  <c r="AJ4235" i="2"/>
  <c r="AF4236" i="2"/>
  <c r="AK4236" i="2" s="1"/>
  <c r="AG4236" i="2"/>
  <c r="AH4236" i="2"/>
  <c r="AI4236" i="2"/>
  <c r="AJ4236" i="2"/>
  <c r="AF4237" i="2"/>
  <c r="AK4237" i="2" s="1"/>
  <c r="AL4237" i="2" s="1"/>
  <c r="AG4237" i="2"/>
  <c r="AH4237" i="2"/>
  <c r="AI4237" i="2"/>
  <c r="AJ4237" i="2"/>
  <c r="AF4238" i="2"/>
  <c r="AK4238" i="2" s="1"/>
  <c r="AG4238" i="2"/>
  <c r="AH4238" i="2"/>
  <c r="AI4238" i="2"/>
  <c r="AJ4238" i="2"/>
  <c r="AL4238" i="2" s="1"/>
  <c r="AF4239" i="2"/>
  <c r="AK4239" i="2"/>
  <c r="AG4239" i="2"/>
  <c r="AH4239" i="2"/>
  <c r="AI4239" i="2"/>
  <c r="AJ4239" i="2"/>
  <c r="AF4240" i="2"/>
  <c r="AK4240" i="2"/>
  <c r="AG4240" i="2"/>
  <c r="AH4240" i="2"/>
  <c r="AL4240" i="2" s="1"/>
  <c r="AI4240" i="2"/>
  <c r="AJ4240" i="2"/>
  <c r="AF4241" i="2"/>
  <c r="AK4241" i="2"/>
  <c r="AG4241" i="2"/>
  <c r="AH4241" i="2"/>
  <c r="AI4241" i="2"/>
  <c r="AJ4241" i="2"/>
  <c r="AF4242" i="2"/>
  <c r="AK4242" i="2"/>
  <c r="AG4242" i="2"/>
  <c r="AH4242" i="2"/>
  <c r="AI4242" i="2"/>
  <c r="AJ4242" i="2"/>
  <c r="AF4243" i="2"/>
  <c r="AK4243" i="2" s="1"/>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s="1"/>
  <c r="AG4251" i="2"/>
  <c r="AH4251" i="2"/>
  <c r="AI4251" i="2"/>
  <c r="AJ4251" i="2"/>
  <c r="AF4252" i="2"/>
  <c r="AK4252" i="2"/>
  <c r="AG4252" i="2"/>
  <c r="AH4252" i="2"/>
  <c r="AI4252" i="2"/>
  <c r="AJ4252" i="2"/>
  <c r="AF4253" i="2"/>
  <c r="AK4253" i="2"/>
  <c r="AG4253" i="2"/>
  <c r="AH4253" i="2"/>
  <c r="AI4253" i="2"/>
  <c r="AJ4253" i="2"/>
  <c r="AF4254" i="2"/>
  <c r="AK4254" i="2"/>
  <c r="AG4254" i="2"/>
  <c r="AH4254" i="2"/>
  <c r="AI4254" i="2"/>
  <c r="AJ4254" i="2"/>
  <c r="AF4255" i="2"/>
  <c r="AK4255" i="2" s="1"/>
  <c r="AG4255" i="2"/>
  <c r="AH4255" i="2"/>
  <c r="AI4255" i="2"/>
  <c r="AJ4255" i="2"/>
  <c r="AF4256" i="2"/>
  <c r="AK4256" i="2"/>
  <c r="AG4256" i="2"/>
  <c r="AL4256" i="2" s="1"/>
  <c r="AH4256" i="2"/>
  <c r="AI4256" i="2"/>
  <c r="AJ4256" i="2"/>
  <c r="AF4257" i="2"/>
  <c r="AK4257" i="2"/>
  <c r="AL4257" i="2"/>
  <c r="AG4257" i="2"/>
  <c r="AH4257" i="2"/>
  <c r="AI4257" i="2"/>
  <c r="AJ4257" i="2"/>
  <c r="AF4258" i="2"/>
  <c r="AK4258" i="2" s="1"/>
  <c r="AG4258" i="2"/>
  <c r="AL4258" i="2" s="1"/>
  <c r="AH4258" i="2"/>
  <c r="AI4258" i="2"/>
  <c r="AJ4258" i="2"/>
  <c r="AF4259" i="2"/>
  <c r="AK4259" i="2"/>
  <c r="AG4259" i="2"/>
  <c r="AL4259" i="2" s="1"/>
  <c r="AH4259" i="2"/>
  <c r="AI4259" i="2"/>
  <c r="AJ4259" i="2"/>
  <c r="AF4260" i="2"/>
  <c r="AK4260" i="2"/>
  <c r="AG4260" i="2"/>
  <c r="AL4260" i="2" s="1"/>
  <c r="AH4260" i="2"/>
  <c r="AI4260" i="2"/>
  <c r="AJ4260" i="2"/>
  <c r="AF4261" i="2"/>
  <c r="AK4261" i="2" s="1"/>
  <c r="AL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L4264" i="2" s="1"/>
  <c r="AJ4264" i="2"/>
  <c r="AF4265" i="2"/>
  <c r="AK4265" i="2" s="1"/>
  <c r="AG4265" i="2"/>
  <c r="AH4265" i="2"/>
  <c r="AI4265" i="2"/>
  <c r="AJ4265" i="2"/>
  <c r="AF4266" i="2"/>
  <c r="AK4266" i="2"/>
  <c r="AG4266" i="2"/>
  <c r="AH4266" i="2"/>
  <c r="AL4266" i="2" s="1"/>
  <c r="AI4266" i="2"/>
  <c r="AJ4266" i="2"/>
  <c r="AF4267" i="2"/>
  <c r="AK4267" i="2"/>
  <c r="AG4267" i="2"/>
  <c r="AH4267" i="2"/>
  <c r="AI4267" i="2"/>
  <c r="AJ4267" i="2"/>
  <c r="AF4268" i="2"/>
  <c r="AK4268" i="2"/>
  <c r="AG4268" i="2"/>
  <c r="AH4268" i="2"/>
  <c r="AI4268" i="2"/>
  <c r="AJ4268" i="2"/>
  <c r="AF4269" i="2"/>
  <c r="AK4269" i="2" s="1"/>
  <c r="AG4269" i="2"/>
  <c r="AH4269" i="2"/>
  <c r="AI4269" i="2"/>
  <c r="AL4269" i="2" s="1"/>
  <c r="AJ4269" i="2"/>
  <c r="AF4270" i="2"/>
  <c r="AG4270" i="2"/>
  <c r="AH4270" i="2"/>
  <c r="AI4270" i="2"/>
  <c r="AJ4270" i="2"/>
  <c r="AK4270" i="2"/>
  <c r="AL4270" i="2" s="1"/>
  <c r="AF4271" i="2"/>
  <c r="AK4271" i="2"/>
  <c r="AG4271" i="2"/>
  <c r="AH4271" i="2"/>
  <c r="AI4271" i="2"/>
  <c r="AJ4271" i="2"/>
  <c r="AL4271" i="2" s="1"/>
  <c r="AF4272" i="2"/>
  <c r="AK4272" i="2" s="1"/>
  <c r="AG4272" i="2"/>
  <c r="AH4272" i="2"/>
  <c r="AI4272" i="2"/>
  <c r="AJ4272" i="2"/>
  <c r="AF4273" i="2"/>
  <c r="AK4273" i="2"/>
  <c r="AG4273" i="2"/>
  <c r="AL4273" i="2" s="1"/>
  <c r="AH4273" i="2"/>
  <c r="AI4273" i="2"/>
  <c r="AJ4273" i="2"/>
  <c r="AF4274" i="2"/>
  <c r="AK4274" i="2" s="1"/>
  <c r="AL4274" i="2" s="1"/>
  <c r="AG4274" i="2"/>
  <c r="AH4274" i="2"/>
  <c r="AI4274" i="2"/>
  <c r="AJ4274" i="2"/>
  <c r="AF4275" i="2"/>
  <c r="AK4275" i="2" s="1"/>
  <c r="AG4275" i="2"/>
  <c r="AH4275" i="2"/>
  <c r="AI4275" i="2"/>
  <c r="AJ4275" i="2"/>
  <c r="AF4276" i="2"/>
  <c r="AK4276" i="2"/>
  <c r="AG4276" i="2"/>
  <c r="AH4276" i="2"/>
  <c r="AI4276" i="2"/>
  <c r="AJ4276" i="2"/>
  <c r="AF4277" i="2"/>
  <c r="AK4277" i="2"/>
  <c r="AG4277" i="2"/>
  <c r="AH4277" i="2"/>
  <c r="AI4277" i="2"/>
  <c r="AJ4277" i="2"/>
  <c r="AF4278" i="2"/>
  <c r="AK4278" i="2"/>
  <c r="AL4278" i="2" s="1"/>
  <c r="AG4278" i="2"/>
  <c r="AH4278" i="2"/>
  <c r="AI4278" i="2"/>
  <c r="AJ4278" i="2"/>
  <c r="AF4279" i="2"/>
  <c r="AK4279" i="2"/>
  <c r="AG4279" i="2"/>
  <c r="AH4279" i="2"/>
  <c r="AI4279" i="2"/>
  <c r="AJ4279" i="2"/>
  <c r="AL4279" i="2" s="1"/>
  <c r="AF4280" i="2"/>
  <c r="AK4280" i="2" s="1"/>
  <c r="AL4280" i="2" s="1"/>
  <c r="AG4280" i="2"/>
  <c r="AH4280" i="2"/>
  <c r="AI4280" i="2"/>
  <c r="AJ4280" i="2"/>
  <c r="AF4281" i="2"/>
  <c r="AK4281" i="2"/>
  <c r="AG4281" i="2"/>
  <c r="AH4281" i="2"/>
  <c r="AL4281" i="2" s="1"/>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s="1"/>
  <c r="AG4285" i="2"/>
  <c r="AH4285" i="2"/>
  <c r="AI4285" i="2"/>
  <c r="AJ4285" i="2"/>
  <c r="AF4286" i="2"/>
  <c r="AG4286" i="2"/>
  <c r="AH4286" i="2"/>
  <c r="AI4286" i="2"/>
  <c r="AJ4286" i="2"/>
  <c r="AK4286" i="2"/>
  <c r="AF4287" i="2"/>
  <c r="AK4287" i="2"/>
  <c r="AG4287" i="2"/>
  <c r="AH4287" i="2"/>
  <c r="AI4287" i="2"/>
  <c r="AJ4287" i="2"/>
  <c r="AF4288" i="2"/>
  <c r="AK4288" i="2" s="1"/>
  <c r="AG4288" i="2"/>
  <c r="AH4288" i="2"/>
  <c r="AI4288" i="2"/>
  <c r="AJ4288" i="2"/>
  <c r="AF4289" i="2"/>
  <c r="AK4289" i="2" s="1"/>
  <c r="AG4289" i="2"/>
  <c r="AH4289" i="2"/>
  <c r="AI4289" i="2"/>
  <c r="AJ4289" i="2"/>
  <c r="AF4290" i="2"/>
  <c r="AK4290" i="2" s="1"/>
  <c r="AG4290" i="2"/>
  <c r="AH4290" i="2"/>
  <c r="AI4290" i="2"/>
  <c r="AJ4290" i="2"/>
  <c r="AF4291" i="2"/>
  <c r="AK4291" i="2"/>
  <c r="AG4291" i="2"/>
  <c r="AH4291" i="2"/>
  <c r="AI4291" i="2"/>
  <c r="AJ4291" i="2"/>
  <c r="AF4292" i="2"/>
  <c r="AK4292" i="2"/>
  <c r="AG4292" i="2"/>
  <c r="AH4292" i="2"/>
  <c r="AI4292" i="2"/>
  <c r="AJ4292" i="2"/>
  <c r="AF4293" i="2"/>
  <c r="AK4293" i="2" s="1"/>
  <c r="AL4293" i="2" s="1"/>
  <c r="AG4293" i="2"/>
  <c r="AH4293" i="2"/>
  <c r="AI4293" i="2"/>
  <c r="AJ4293" i="2"/>
  <c r="AF4294" i="2"/>
  <c r="AK4294" i="2"/>
  <c r="AG4294" i="2"/>
  <c r="AL4294" i="2" s="1"/>
  <c r="AH4294" i="2"/>
  <c r="AI4294" i="2"/>
  <c r="AJ4294" i="2"/>
  <c r="AF4295" i="2"/>
  <c r="AK4295" i="2" s="1"/>
  <c r="AG4295" i="2"/>
  <c r="AH4295" i="2"/>
  <c r="AI4295" i="2"/>
  <c r="AJ4295" i="2"/>
  <c r="AF4296" i="2"/>
  <c r="AK4296" i="2"/>
  <c r="AG4296" i="2"/>
  <c r="AL4296" i="2" s="1"/>
  <c r="AH4296" i="2"/>
  <c r="AI4296" i="2"/>
  <c r="AJ4296" i="2"/>
  <c r="AF4297" i="2"/>
  <c r="AK4297" i="2"/>
  <c r="AG4297" i="2"/>
  <c r="AH4297" i="2"/>
  <c r="AI4297" i="2"/>
  <c r="AL4297" i="2" s="1"/>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c r="AG4302" i="2"/>
  <c r="AH4302" i="2"/>
  <c r="AI4302" i="2"/>
  <c r="AJ4302" i="2"/>
  <c r="AF4303" i="2"/>
  <c r="AK4303" i="2" s="1"/>
  <c r="AG4303" i="2"/>
  <c r="AH4303" i="2"/>
  <c r="AI4303" i="2"/>
  <c r="AJ4303" i="2"/>
  <c r="AF4304" i="2"/>
  <c r="AK4304" i="2"/>
  <c r="AG4304" i="2"/>
  <c r="AL4304" i="2" s="1"/>
  <c r="AH4304" i="2"/>
  <c r="AI4304" i="2"/>
  <c r="AJ4304" i="2"/>
  <c r="AF4305" i="2"/>
  <c r="AK4305" i="2"/>
  <c r="AG4305" i="2"/>
  <c r="AH4305" i="2"/>
  <c r="AI4305" i="2"/>
  <c r="AJ4305" i="2"/>
  <c r="AL4305" i="2" s="1"/>
  <c r="AF4306" i="2"/>
  <c r="AK4306" i="2"/>
  <c r="AG4306" i="2"/>
  <c r="AH4306" i="2"/>
  <c r="AI4306" i="2"/>
  <c r="AJ4306" i="2"/>
  <c r="AF4307" i="2"/>
  <c r="AK4307" i="2"/>
  <c r="AG4307" i="2"/>
  <c r="AH4307" i="2"/>
  <c r="AL4307" i="2" s="1"/>
  <c r="AI4307" i="2"/>
  <c r="AJ4307" i="2"/>
  <c r="AF4308" i="2"/>
  <c r="AK4308" i="2"/>
  <c r="AG4308" i="2"/>
  <c r="AH4308" i="2"/>
  <c r="AI4308" i="2"/>
  <c r="AJ4308" i="2"/>
  <c r="AF4309" i="2"/>
  <c r="AK4309" i="2"/>
  <c r="AG4309" i="2"/>
  <c r="AH4309" i="2"/>
  <c r="AI4309" i="2"/>
  <c r="AJ4309" i="2"/>
  <c r="AF4310" i="2"/>
  <c r="AK4310" i="2"/>
  <c r="AG4310" i="2"/>
  <c r="AH4310" i="2"/>
  <c r="AI4310" i="2"/>
  <c r="AJ4310" i="2"/>
  <c r="AL4310" i="2" s="1"/>
  <c r="AF4311" i="2"/>
  <c r="AK4311" i="2" s="1"/>
  <c r="AG4311" i="2"/>
  <c r="AH4311" i="2"/>
  <c r="AI4311" i="2"/>
  <c r="AJ4311" i="2"/>
  <c r="AF4312" i="2"/>
  <c r="AK4312" i="2"/>
  <c r="AG4312" i="2"/>
  <c r="AH4312" i="2"/>
  <c r="AI4312" i="2"/>
  <c r="AL4312" i="2" s="1"/>
  <c r="AJ4312" i="2"/>
  <c r="AF4313" i="2"/>
  <c r="AK4313" i="2"/>
  <c r="AG4313" i="2"/>
  <c r="AH4313" i="2"/>
  <c r="AI4313" i="2"/>
  <c r="AJ4313" i="2"/>
  <c r="AF4314" i="2"/>
  <c r="AK4314" i="2"/>
  <c r="AG4314" i="2"/>
  <c r="AH4314" i="2"/>
  <c r="AI4314" i="2"/>
  <c r="AJ4314" i="2"/>
  <c r="AF4315" i="2"/>
  <c r="AK4315" i="2"/>
  <c r="AG4315" i="2"/>
  <c r="AH4315" i="2"/>
  <c r="AI4315" i="2"/>
  <c r="AJ4315" i="2"/>
  <c r="AF4316" i="2"/>
  <c r="AK4316" i="2" s="1"/>
  <c r="AG4316" i="2"/>
  <c r="AH4316" i="2"/>
  <c r="AI4316" i="2"/>
  <c r="AJ4316" i="2"/>
  <c r="AF4317" i="2"/>
  <c r="AK4317" i="2" s="1"/>
  <c r="AG4317" i="2"/>
  <c r="AH4317" i="2"/>
  <c r="AI4317" i="2"/>
  <c r="AJ4317" i="2"/>
  <c r="AF4318" i="2"/>
  <c r="AK4318" i="2"/>
  <c r="AG4318" i="2"/>
  <c r="AL4318" i="2" s="1"/>
  <c r="AH4318" i="2"/>
  <c r="AI4318" i="2"/>
  <c r="AJ4318" i="2"/>
  <c r="AF4319" i="2"/>
  <c r="AK4319" i="2" s="1"/>
  <c r="AG4319" i="2"/>
  <c r="AH4319" i="2"/>
  <c r="AI4319" i="2"/>
  <c r="AJ4319" i="2"/>
  <c r="AF4320" i="2"/>
  <c r="AK4320" i="2"/>
  <c r="AG4320" i="2"/>
  <c r="AH4320" i="2"/>
  <c r="AI4320" i="2"/>
  <c r="AJ4320" i="2"/>
  <c r="AF4321" i="2"/>
  <c r="AK4321" i="2"/>
  <c r="AG4321" i="2"/>
  <c r="AL4321" i="2" s="1"/>
  <c r="AH4321" i="2"/>
  <c r="AI4321" i="2"/>
  <c r="AJ4321" i="2"/>
  <c r="AF4322" i="2"/>
  <c r="AK4322" i="2"/>
  <c r="AG4322" i="2"/>
  <c r="AL4322" i="2" s="1"/>
  <c r="AH4322" i="2"/>
  <c r="AI4322" i="2"/>
  <c r="AJ4322" i="2"/>
  <c r="AF4323" i="2"/>
  <c r="AK4323" i="2" s="1"/>
  <c r="AG4323" i="2"/>
  <c r="AH4323" i="2"/>
  <c r="AI4323" i="2"/>
  <c r="AJ4323" i="2"/>
  <c r="AF4324" i="2"/>
  <c r="AK4324" i="2"/>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c r="AG4328" i="2"/>
  <c r="AH4328" i="2"/>
  <c r="AL4328" i="2" s="1"/>
  <c r="AI4328" i="2"/>
  <c r="AJ4328" i="2"/>
  <c r="AF4329" i="2"/>
  <c r="AK4329" i="2"/>
  <c r="AG4329" i="2"/>
  <c r="AH4329" i="2"/>
  <c r="AI4329" i="2"/>
  <c r="AJ4329" i="2"/>
  <c r="AF4330" i="2"/>
  <c r="AK4330" i="2"/>
  <c r="AL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c r="AL4334" i="2" s="1"/>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L4339" i="2" s="1"/>
  <c r="AH4339" i="2"/>
  <c r="AI4339" i="2"/>
  <c r="AJ4339" i="2"/>
  <c r="AF4340" i="2"/>
  <c r="AK4340" i="2"/>
  <c r="AG4340" i="2"/>
  <c r="AH4340" i="2"/>
  <c r="AI4340" i="2"/>
  <c r="AJ4340" i="2"/>
  <c r="AF4341" i="2"/>
  <c r="AK4341" i="2" s="1"/>
  <c r="AG4341" i="2"/>
  <c r="AH4341" i="2"/>
  <c r="AI4341" i="2"/>
  <c r="AJ4341" i="2"/>
  <c r="AF4342" i="2"/>
  <c r="AK4342" i="2" s="1"/>
  <c r="AG4342" i="2"/>
  <c r="AH4342" i="2"/>
  <c r="AI4342" i="2"/>
  <c r="AJ4342" i="2"/>
  <c r="AL4342" i="2" s="1"/>
  <c r="AF4343" i="2"/>
  <c r="AK4343" i="2"/>
  <c r="AL4343" i="2" s="1"/>
  <c r="AG4343" i="2"/>
  <c r="AH4343" i="2"/>
  <c r="AI4343" i="2"/>
  <c r="AJ4343" i="2"/>
  <c r="AF4344" i="2"/>
  <c r="AK4344" i="2"/>
  <c r="AG4344" i="2"/>
  <c r="AH4344" i="2"/>
  <c r="AI4344" i="2"/>
  <c r="AJ4344" i="2"/>
  <c r="AF4345" i="2"/>
  <c r="AK4345" i="2"/>
  <c r="AG4345" i="2"/>
  <c r="AH4345" i="2"/>
  <c r="AI4345" i="2"/>
  <c r="AJ4345" i="2"/>
  <c r="AF4346" i="2"/>
  <c r="AK4346" i="2"/>
  <c r="AG4346" i="2"/>
  <c r="AH4346" i="2"/>
  <c r="AL4346" i="2" s="1"/>
  <c r="AI4346" i="2"/>
  <c r="AJ4346" i="2"/>
  <c r="AF4347" i="2"/>
  <c r="AK4347" i="2" s="1"/>
  <c r="AG4347" i="2"/>
  <c r="AH4347" i="2"/>
  <c r="AI4347" i="2"/>
  <c r="AJ4347" i="2"/>
  <c r="AL4347" i="2" s="1"/>
  <c r="AF4348" i="2"/>
  <c r="AK4348" i="2"/>
  <c r="AG4348" i="2"/>
  <c r="AH4348" i="2"/>
  <c r="AI4348" i="2"/>
  <c r="AJ4348" i="2"/>
  <c r="AF4349" i="2"/>
  <c r="AK4349" i="2" s="1"/>
  <c r="AG4349" i="2"/>
  <c r="AH4349" i="2"/>
  <c r="AI4349" i="2"/>
  <c r="AJ4349" i="2"/>
  <c r="AF4350" i="2"/>
  <c r="AK4350" i="2"/>
  <c r="AG4350" i="2"/>
  <c r="AH4350" i="2"/>
  <c r="AI4350" i="2"/>
  <c r="AJ4350" i="2"/>
  <c r="AF4351" i="2"/>
  <c r="AK4351" i="2"/>
  <c r="AG4351" i="2"/>
  <c r="AL4351" i="2" s="1"/>
  <c r="AH4351" i="2"/>
  <c r="AI4351" i="2"/>
  <c r="AJ4351" i="2"/>
  <c r="AF4352" i="2"/>
  <c r="AK4352" i="2"/>
  <c r="AG4352" i="2"/>
  <c r="AH4352" i="2"/>
  <c r="AI4352" i="2"/>
  <c r="AJ4352" i="2"/>
  <c r="AF4353" i="2"/>
  <c r="AK4353" i="2" s="1"/>
  <c r="AL4353" i="2" s="1"/>
  <c r="AG4353" i="2"/>
  <c r="AH4353" i="2"/>
  <c r="AI4353" i="2"/>
  <c r="AJ4353" i="2"/>
  <c r="AF4354" i="2"/>
  <c r="AK4354" i="2" s="1"/>
  <c r="AG4354" i="2"/>
  <c r="AH4354" i="2"/>
  <c r="AI4354" i="2"/>
  <c r="AJ4354" i="2"/>
  <c r="AF4355" i="2"/>
  <c r="AK4355" i="2" s="1"/>
  <c r="AG4355" i="2"/>
  <c r="AH4355" i="2"/>
  <c r="AI4355" i="2"/>
  <c r="AJ4355" i="2"/>
  <c r="AF4356" i="2"/>
  <c r="AK4356" i="2"/>
  <c r="AG4356" i="2"/>
  <c r="AL4356" i="2" s="1"/>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c r="AG4360" i="2"/>
  <c r="AH4360" i="2"/>
  <c r="AI4360" i="2"/>
  <c r="AJ4360" i="2"/>
  <c r="AL4360" i="2" s="1"/>
  <c r="AF4361" i="2"/>
  <c r="AK4361" i="2"/>
  <c r="AG4361" i="2"/>
  <c r="AH4361" i="2"/>
  <c r="AI4361" i="2"/>
  <c r="AJ4361" i="2"/>
  <c r="AF4362" i="2"/>
  <c r="AK4362" i="2"/>
  <c r="AG4362" i="2"/>
  <c r="AH4362" i="2"/>
  <c r="AI4362" i="2"/>
  <c r="AJ4362" i="2"/>
  <c r="AF4363" i="2"/>
  <c r="AK4363" i="2"/>
  <c r="AG4363" i="2"/>
  <c r="AH4363" i="2"/>
  <c r="AI4363" i="2"/>
  <c r="AJ4363" i="2"/>
  <c r="AF4364" i="2"/>
  <c r="AK4364" i="2"/>
  <c r="AL4364" i="2" s="1"/>
  <c r="AG4364" i="2"/>
  <c r="AH4364" i="2"/>
  <c r="AI4364" i="2"/>
  <c r="AJ4364" i="2"/>
  <c r="AF4365" i="2"/>
  <c r="AK4365" i="2" s="1"/>
  <c r="AL4365" i="2" s="1"/>
  <c r="AG4365" i="2"/>
  <c r="AH4365" i="2"/>
  <c r="AI4365" i="2"/>
  <c r="AJ4365" i="2"/>
  <c r="AF4366" i="2"/>
  <c r="AK4366" i="2" s="1"/>
  <c r="AG4366" i="2"/>
  <c r="AH4366" i="2"/>
  <c r="AI4366" i="2"/>
  <c r="AJ4366" i="2"/>
  <c r="AF4367" i="2"/>
  <c r="AK4367" i="2"/>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G4371" i="2"/>
  <c r="AH4371" i="2"/>
  <c r="AL4371" i="2"/>
  <c r="AI4371" i="2"/>
  <c r="AJ4371" i="2"/>
  <c r="AF4372" i="2"/>
  <c r="AK4372" i="2"/>
  <c r="AL4372" i="2"/>
  <c r="AG4372" i="2"/>
  <c r="AH4372" i="2"/>
  <c r="AI4372" i="2"/>
  <c r="AJ4372" i="2"/>
  <c r="AF4373" i="2"/>
  <c r="AK4373" i="2" s="1"/>
  <c r="AL4373" i="2"/>
  <c r="AG4373" i="2"/>
  <c r="AH4373" i="2"/>
  <c r="AI4373" i="2"/>
  <c r="AJ4373" i="2"/>
  <c r="AF4374" i="2"/>
  <c r="AK4374" i="2"/>
  <c r="AG4374" i="2"/>
  <c r="AH4374" i="2"/>
  <c r="AI4374" i="2"/>
  <c r="AJ4374" i="2"/>
  <c r="AL4374" i="2" s="1"/>
  <c r="AF4375" i="2"/>
  <c r="AK4375" i="2"/>
  <c r="AG4375" i="2"/>
  <c r="AH4375" i="2"/>
  <c r="AI4375" i="2"/>
  <c r="AJ4375" i="2"/>
  <c r="AF4376" i="2"/>
  <c r="AK4376" i="2"/>
  <c r="AG4376" i="2"/>
  <c r="AH4376" i="2"/>
  <c r="AL4376" i="2" s="1"/>
  <c r="AI4376" i="2"/>
  <c r="AJ4376" i="2"/>
  <c r="AF4377" i="2"/>
  <c r="AK4377" i="2" s="1"/>
  <c r="AG4377" i="2"/>
  <c r="AH4377" i="2"/>
  <c r="AI4377" i="2"/>
  <c r="AJ4377" i="2"/>
  <c r="AF4378" i="2"/>
  <c r="AK4378" i="2"/>
  <c r="AG4378" i="2"/>
  <c r="AH4378" i="2"/>
  <c r="AI4378" i="2"/>
  <c r="AJ4378" i="2"/>
  <c r="AF4379" i="2"/>
  <c r="AK4379" i="2"/>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c r="AG4384" i="2"/>
  <c r="AH4384" i="2"/>
  <c r="AI4384" i="2"/>
  <c r="AJ4384" i="2"/>
  <c r="AF4385" i="2"/>
  <c r="AK4385" i="2" s="1"/>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s="1"/>
  <c r="AG4389" i="2"/>
  <c r="AH4389" i="2"/>
  <c r="AI4389" i="2"/>
  <c r="AL4389" i="2" s="1"/>
  <c r="AJ4389" i="2"/>
  <c r="AF4390" i="2"/>
  <c r="AK4390" i="2"/>
  <c r="AG4390" i="2"/>
  <c r="AL4390" i="2"/>
  <c r="AH4390" i="2"/>
  <c r="AI4390" i="2"/>
  <c r="AJ4390" i="2"/>
  <c r="AF4391" i="2"/>
  <c r="AK4391" i="2"/>
  <c r="AG4391" i="2"/>
  <c r="AH4391" i="2"/>
  <c r="AI4391" i="2"/>
  <c r="AJ4391" i="2"/>
  <c r="AF4392" i="2"/>
  <c r="AK4392" i="2" s="1"/>
  <c r="AG4392" i="2"/>
  <c r="AH4392" i="2"/>
  <c r="AI4392" i="2"/>
  <c r="AJ4392" i="2"/>
  <c r="AF4393" i="2"/>
  <c r="AK4393" i="2"/>
  <c r="AG4393" i="2"/>
  <c r="AH4393" i="2"/>
  <c r="AL4393" i="2" s="1"/>
  <c r="AI4393" i="2"/>
  <c r="AJ4393" i="2"/>
  <c r="AF4394" i="2"/>
  <c r="AK4394" i="2"/>
  <c r="AG4394" i="2"/>
  <c r="AH4394" i="2"/>
  <c r="AI4394" i="2"/>
  <c r="AJ4394" i="2"/>
  <c r="AF4395" i="2"/>
  <c r="AK4395" i="2"/>
  <c r="AL4395" i="2" s="1"/>
  <c r="AG4395" i="2"/>
  <c r="AH4395" i="2"/>
  <c r="AI4395" i="2"/>
  <c r="AJ4395" i="2"/>
  <c r="AF4396" i="2"/>
  <c r="AK4396" i="2"/>
  <c r="AG4396" i="2"/>
  <c r="AH4396" i="2"/>
  <c r="AI4396" i="2"/>
  <c r="AJ4396" i="2"/>
  <c r="AF4397" i="2"/>
  <c r="AK4397" i="2" s="1"/>
  <c r="AG4397" i="2"/>
  <c r="AL4397" i="2" s="1"/>
  <c r="AH4397" i="2"/>
  <c r="AI4397" i="2"/>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s="1"/>
  <c r="AG4402" i="2"/>
  <c r="AL4402" i="2"/>
  <c r="AH4402" i="2"/>
  <c r="AI4402" i="2"/>
  <c r="AJ4402" i="2"/>
  <c r="AF4403" i="2"/>
  <c r="AK4403" i="2"/>
  <c r="AG4403" i="2"/>
  <c r="AH4403" i="2"/>
  <c r="AI4403" i="2"/>
  <c r="AJ4403" i="2"/>
  <c r="AF4404" i="2"/>
  <c r="AK4404" i="2" s="1"/>
  <c r="AG4404" i="2"/>
  <c r="AH4404" i="2"/>
  <c r="AI4404" i="2"/>
  <c r="AJ4404" i="2"/>
  <c r="AF4405" i="2"/>
  <c r="AK4405" i="2" s="1"/>
  <c r="AG4405" i="2"/>
  <c r="AH4405" i="2"/>
  <c r="AI4405" i="2"/>
  <c r="AJ4405" i="2"/>
  <c r="AF4406" i="2"/>
  <c r="AG4406" i="2"/>
  <c r="AH4406" i="2"/>
  <c r="AI4406" i="2"/>
  <c r="AJ4406" i="2"/>
  <c r="AK4406" i="2"/>
  <c r="AF4407" i="2"/>
  <c r="AK4407" i="2" s="1"/>
  <c r="AG4407" i="2"/>
  <c r="AH4407" i="2"/>
  <c r="AL4407" i="2" s="1"/>
  <c r="AI4407" i="2"/>
  <c r="AJ4407" i="2"/>
  <c r="AF4408" i="2"/>
  <c r="AK4408" i="2"/>
  <c r="AG4408" i="2"/>
  <c r="AH4408" i="2"/>
  <c r="AI4408" i="2"/>
  <c r="AJ4408" i="2"/>
  <c r="AF4409" i="2"/>
  <c r="AK4409" i="2"/>
  <c r="AG4409" i="2"/>
  <c r="AL4409" i="2" s="1"/>
  <c r="AH4409" i="2"/>
  <c r="AI4409" i="2"/>
  <c r="AJ4409" i="2"/>
  <c r="AF4410" i="2"/>
  <c r="AK4410" i="2"/>
  <c r="AG4410" i="2"/>
  <c r="AH4410" i="2"/>
  <c r="AI4410" i="2"/>
  <c r="AJ4410" i="2"/>
  <c r="AF4411" i="2"/>
  <c r="AK4411" i="2" s="1"/>
  <c r="AL4411" i="2" s="1"/>
  <c r="AG4411" i="2"/>
  <c r="AH4411" i="2"/>
  <c r="AI4411" i="2"/>
  <c r="AJ4411" i="2"/>
  <c r="AF4412" i="2"/>
  <c r="AK4412" i="2" s="1"/>
  <c r="AG4412" i="2"/>
  <c r="AH4412" i="2"/>
  <c r="AL4412" i="2" s="1"/>
  <c r="AI4412" i="2"/>
  <c r="AJ4412" i="2"/>
  <c r="AF4413" i="2"/>
  <c r="AK4413" i="2"/>
  <c r="AG4413" i="2"/>
  <c r="AH4413" i="2"/>
  <c r="AI4413" i="2"/>
  <c r="AJ4413" i="2"/>
  <c r="AF4414" i="2"/>
  <c r="AK4414" i="2"/>
  <c r="AL4414" i="2" s="1"/>
  <c r="AG4414" i="2"/>
  <c r="AH4414" i="2"/>
  <c r="AI4414" i="2"/>
  <c r="AJ4414" i="2"/>
  <c r="AF4415" i="2"/>
  <c r="AK4415" i="2"/>
  <c r="AG4415" i="2"/>
  <c r="AL4415" i="2" s="1"/>
  <c r="AH4415" i="2"/>
  <c r="AI4415" i="2"/>
  <c r="AJ4415" i="2"/>
  <c r="AF4416" i="2"/>
  <c r="AK4416" i="2" s="1"/>
  <c r="AG4416" i="2"/>
  <c r="AH4416" i="2"/>
  <c r="AI4416" i="2"/>
  <c r="AJ4416" i="2"/>
  <c r="AF4417" i="2"/>
  <c r="AK4417" i="2"/>
  <c r="AG4417" i="2"/>
  <c r="AH4417" i="2"/>
  <c r="AL4417" i="2" s="1"/>
  <c r="AI4417" i="2"/>
  <c r="AJ4417" i="2"/>
  <c r="AF4418" i="2"/>
  <c r="AK4418" i="2" s="1"/>
  <c r="AG4418" i="2"/>
  <c r="AH4418" i="2"/>
  <c r="AI4418" i="2"/>
  <c r="AJ4418" i="2"/>
  <c r="AF4419" i="2"/>
  <c r="AK4419" i="2"/>
  <c r="AG4419" i="2"/>
  <c r="AL4419" i="2" s="1"/>
  <c r="AH4419" i="2"/>
  <c r="AI4419" i="2"/>
  <c r="AJ4419" i="2"/>
  <c r="AF4420" i="2"/>
  <c r="AK4420" i="2"/>
  <c r="AG4420" i="2"/>
  <c r="AL4420" i="2" s="1"/>
  <c r="AH4420" i="2"/>
  <c r="AI4420" i="2"/>
  <c r="AJ4420" i="2"/>
  <c r="AF4421" i="2"/>
  <c r="AK4421" i="2" s="1"/>
  <c r="AG4421" i="2"/>
  <c r="AH4421" i="2"/>
  <c r="AI4421" i="2"/>
  <c r="AJ4421" i="2"/>
  <c r="AF4422" i="2"/>
  <c r="AK4422" i="2"/>
  <c r="AG4422" i="2"/>
  <c r="AH4422" i="2"/>
  <c r="AL4422" i="2" s="1"/>
  <c r="AI4422" i="2"/>
  <c r="AJ4422" i="2"/>
  <c r="AF4423" i="2"/>
  <c r="AK4423" i="2" s="1"/>
  <c r="AG4423" i="2"/>
  <c r="AH4423" i="2"/>
  <c r="AI4423" i="2"/>
  <c r="AJ4423" i="2"/>
  <c r="AF4424" i="2"/>
  <c r="AK4424" i="2" s="1"/>
  <c r="AG4424" i="2"/>
  <c r="AH4424" i="2"/>
  <c r="AL4424" i="2" s="1"/>
  <c r="AI4424" i="2"/>
  <c r="AJ4424" i="2"/>
  <c r="AF4425" i="2"/>
  <c r="AK4425" i="2"/>
  <c r="AG4425" i="2"/>
  <c r="AH4425" i="2"/>
  <c r="AI4425" i="2"/>
  <c r="AJ4425" i="2"/>
  <c r="AF4426" i="2"/>
  <c r="AK4426" i="2"/>
  <c r="AL4426" i="2" s="1"/>
  <c r="AG4426" i="2"/>
  <c r="AH4426" i="2"/>
  <c r="AI4426" i="2"/>
  <c r="AJ4426" i="2"/>
  <c r="AF4427" i="2"/>
  <c r="AK4427" i="2" s="1"/>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c r="AG4431" i="2"/>
  <c r="AH4431" i="2"/>
  <c r="AI4431" i="2"/>
  <c r="AJ4431" i="2"/>
  <c r="AF4432" i="2"/>
  <c r="AK4432" i="2"/>
  <c r="AG4432" i="2"/>
  <c r="AH4432" i="2"/>
  <c r="AI4432" i="2"/>
  <c r="AL4432" i="2" s="1"/>
  <c r="AJ4432" i="2"/>
  <c r="AF4433" i="2"/>
  <c r="AK4433" i="2" s="1"/>
  <c r="AG4433" i="2"/>
  <c r="AH4433" i="2"/>
  <c r="AI4433" i="2"/>
  <c r="AJ4433" i="2"/>
  <c r="AF4434" i="2"/>
  <c r="AK4434" i="2"/>
  <c r="AG4434" i="2"/>
  <c r="AH4434" i="2"/>
  <c r="AI4434" i="2"/>
  <c r="AL4434" i="2" s="1"/>
  <c r="AJ4434" i="2"/>
  <c r="AF4435" i="2"/>
  <c r="AK4435" i="2" s="1"/>
  <c r="AG4435" i="2"/>
  <c r="AH4435" i="2"/>
  <c r="AL4435" i="2" s="1"/>
  <c r="AI4435" i="2"/>
  <c r="AJ4435" i="2"/>
  <c r="AF4436" i="2"/>
  <c r="AK4436" i="2" s="1"/>
  <c r="AG4436" i="2"/>
  <c r="AH4436" i="2"/>
  <c r="AI4436" i="2"/>
  <c r="AJ4436" i="2"/>
  <c r="AF4437" i="2"/>
  <c r="AK4437" i="2" s="1"/>
  <c r="AG4437" i="2"/>
  <c r="AH4437" i="2"/>
  <c r="AI4437" i="2"/>
  <c r="AJ4437" i="2"/>
  <c r="AF4438" i="2"/>
  <c r="AK4438" i="2" s="1"/>
  <c r="AG4438" i="2"/>
  <c r="AL4438" i="2"/>
  <c r="AH4438" i="2"/>
  <c r="AI4438" i="2"/>
  <c r="AJ4438" i="2"/>
  <c r="AF4439" i="2"/>
  <c r="AK4439" i="2"/>
  <c r="AG4439" i="2"/>
  <c r="AH4439" i="2"/>
  <c r="AI4439" i="2"/>
  <c r="AJ4439" i="2"/>
  <c r="AF4440" i="2"/>
  <c r="AK4440" i="2" s="1"/>
  <c r="AL4440" i="2" s="1"/>
  <c r="AG4440" i="2"/>
  <c r="AH4440" i="2"/>
  <c r="AI4440" i="2"/>
  <c r="AJ4440" i="2"/>
  <c r="AF4441" i="2"/>
  <c r="AK4441" i="2"/>
  <c r="AG4441" i="2"/>
  <c r="AH4441" i="2"/>
  <c r="AI4441" i="2"/>
  <c r="AL4441" i="2" s="1"/>
  <c r="AJ4441" i="2"/>
  <c r="AF4442" i="2"/>
  <c r="AK4442" i="2" s="1"/>
  <c r="AG4442" i="2"/>
  <c r="AH4442" i="2"/>
  <c r="AI4442" i="2"/>
  <c r="AJ4442" i="2"/>
  <c r="AF4443" i="2"/>
  <c r="AK4443" i="2"/>
  <c r="AG4443" i="2"/>
  <c r="AH4443" i="2"/>
  <c r="AL4443" i="2" s="1"/>
  <c r="AI4443" i="2"/>
  <c r="AJ4443" i="2"/>
  <c r="AF4444" i="2"/>
  <c r="AK4444" i="2"/>
  <c r="AG4444" i="2"/>
  <c r="AH4444" i="2"/>
  <c r="AI4444" i="2"/>
  <c r="AJ4444" i="2"/>
  <c r="AL4444" i="2" s="1"/>
  <c r="AF4445" i="2"/>
  <c r="AK4445" i="2" s="1"/>
  <c r="AG4445" i="2"/>
  <c r="AH4445" i="2"/>
  <c r="AI4445" i="2"/>
  <c r="AJ4445" i="2"/>
  <c r="AF4446" i="2"/>
  <c r="AK4446" i="2" s="1"/>
  <c r="AG4446" i="2"/>
  <c r="AH4446" i="2"/>
  <c r="AI4446" i="2"/>
  <c r="AJ4446" i="2"/>
  <c r="AL4446" i="2" s="1"/>
  <c r="AF4447" i="2"/>
  <c r="AK4447" i="2" s="1"/>
  <c r="AG4447" i="2"/>
  <c r="AH4447" i="2"/>
  <c r="AI4447" i="2"/>
  <c r="AJ4447" i="2"/>
  <c r="AF4448" i="2"/>
  <c r="AK4448" i="2"/>
  <c r="AG4448" i="2"/>
  <c r="AH4448" i="2"/>
  <c r="AI4448" i="2"/>
  <c r="AJ4448" i="2"/>
  <c r="AF4449" i="2"/>
  <c r="AK4449" i="2" s="1"/>
  <c r="AG4449" i="2"/>
  <c r="AH4449" i="2"/>
  <c r="AI4449" i="2"/>
  <c r="AJ4449" i="2"/>
  <c r="AF4450" i="2"/>
  <c r="AK4450" i="2"/>
  <c r="AG4450" i="2"/>
  <c r="AH4450" i="2"/>
  <c r="AI4450" i="2"/>
  <c r="AJ4450" i="2"/>
  <c r="AF4451" i="2"/>
  <c r="AK4451" i="2"/>
  <c r="AG4451" i="2"/>
  <c r="AL4451" i="2" s="1"/>
  <c r="AH4451" i="2"/>
  <c r="AI4451" i="2"/>
  <c r="AJ4451" i="2"/>
  <c r="AF4452" i="2"/>
  <c r="AK4452" i="2" s="1"/>
  <c r="AL4452" i="2" s="1"/>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s="1"/>
  <c r="AL4457" i="2" s="1"/>
  <c r="AG4457" i="2"/>
  <c r="AH4457" i="2"/>
  <c r="AI4457" i="2"/>
  <c r="AJ4457" i="2"/>
  <c r="AF4458" i="2"/>
  <c r="AK4458" i="2" s="1"/>
  <c r="AG4458" i="2"/>
  <c r="AL4458" i="2" s="1"/>
  <c r="AH4458" i="2"/>
  <c r="AI4458" i="2"/>
  <c r="AJ4458" i="2"/>
  <c r="AF4459" i="2"/>
  <c r="AK4459" i="2"/>
  <c r="AG4459" i="2"/>
  <c r="AH4459" i="2"/>
  <c r="AI4459" i="2"/>
  <c r="AJ4459" i="2"/>
  <c r="AF4460" i="2"/>
  <c r="AK4460" i="2" s="1"/>
  <c r="AG4460" i="2"/>
  <c r="AH4460" i="2"/>
  <c r="AI4460" i="2"/>
  <c r="AJ4460" i="2"/>
  <c r="AF4461" i="2"/>
  <c r="AK4461" i="2" s="1"/>
  <c r="AG4461" i="2"/>
  <c r="AH4461" i="2"/>
  <c r="AI4461" i="2"/>
  <c r="AJ4461" i="2"/>
  <c r="AF4462" i="2"/>
  <c r="AK4462" i="2"/>
  <c r="AG4462" i="2"/>
  <c r="AH4462" i="2"/>
  <c r="AI4462" i="2"/>
  <c r="AJ4462" i="2"/>
  <c r="AF4463" i="2"/>
  <c r="AK4463" i="2" s="1"/>
  <c r="AG4463" i="2"/>
  <c r="AH4463" i="2"/>
  <c r="AI4463" i="2"/>
  <c r="AJ4463" i="2"/>
  <c r="AF4464" i="2"/>
  <c r="AK4464" i="2"/>
  <c r="AG4464" i="2"/>
  <c r="AH4464" i="2"/>
  <c r="AL4464" i="2" s="1"/>
  <c r="AI4464" i="2"/>
  <c r="AJ4464" i="2"/>
  <c r="AF4465" i="2"/>
  <c r="AK4465" i="2"/>
  <c r="AG4465" i="2"/>
  <c r="AH4465" i="2"/>
  <c r="AI4465" i="2"/>
  <c r="AJ4465" i="2"/>
  <c r="AF4466" i="2"/>
  <c r="AK4466" i="2" s="1"/>
  <c r="AG4466" i="2"/>
  <c r="AH4466" i="2"/>
  <c r="AI4466" i="2"/>
  <c r="AJ4466" i="2"/>
  <c r="AF4467" i="2"/>
  <c r="AK4467" i="2" s="1"/>
  <c r="AG4467" i="2"/>
  <c r="AH4467" i="2"/>
  <c r="AI4467" i="2"/>
  <c r="AJ4467" i="2"/>
  <c r="AF4468" i="2"/>
  <c r="AK4468" i="2" s="1"/>
  <c r="AG4468" i="2"/>
  <c r="AH4468" i="2"/>
  <c r="AL4468" i="2" s="1"/>
  <c r="AI4468" i="2"/>
  <c r="AJ4468" i="2"/>
  <c r="AF4469" i="2"/>
  <c r="AK4469" i="2" s="1"/>
  <c r="AG4469" i="2"/>
  <c r="AH4469" i="2"/>
  <c r="AI4469" i="2"/>
  <c r="AJ4469" i="2"/>
  <c r="AF4470" i="2"/>
  <c r="AK4470" i="2"/>
  <c r="AG4470" i="2"/>
  <c r="AH4470" i="2"/>
  <c r="AI4470" i="2"/>
  <c r="AJ4470" i="2"/>
  <c r="AF4471" i="2"/>
  <c r="AK4471" i="2"/>
  <c r="AG4471" i="2"/>
  <c r="AH4471" i="2"/>
  <c r="AI4471" i="2"/>
  <c r="AJ4471" i="2"/>
  <c r="AF4472" i="2"/>
  <c r="AK4472" i="2" s="1"/>
  <c r="AG4472" i="2"/>
  <c r="AH4472" i="2"/>
  <c r="AI4472" i="2"/>
  <c r="AL4472" i="2" s="1"/>
  <c r="AJ4472" i="2"/>
  <c r="AF4473" i="2"/>
  <c r="AK4473" i="2"/>
  <c r="AL4473" i="2"/>
  <c r="AG4473" i="2"/>
  <c r="AH4473" i="2"/>
  <c r="AI4473" i="2"/>
  <c r="AJ4473" i="2"/>
  <c r="AF4474" i="2"/>
  <c r="AK4474" i="2"/>
  <c r="AG4474" i="2"/>
  <c r="AH4474" i="2"/>
  <c r="AI4474" i="2"/>
  <c r="AJ4474" i="2"/>
  <c r="AF4475" i="2"/>
  <c r="AK4475" i="2" s="1"/>
  <c r="AG4475" i="2"/>
  <c r="AH4475" i="2"/>
  <c r="AI4475" i="2"/>
  <c r="AL4475" i="2" s="1"/>
  <c r="AJ4475" i="2"/>
  <c r="AF4476" i="2"/>
  <c r="AK4476" i="2"/>
  <c r="AG4476" i="2"/>
  <c r="AL4476" i="2"/>
  <c r="AH4476" i="2"/>
  <c r="AI4476" i="2"/>
  <c r="AJ4476" i="2"/>
  <c r="AF4477" i="2"/>
  <c r="AK4477" i="2"/>
  <c r="AG4477" i="2"/>
  <c r="AH4477" i="2"/>
  <c r="AI4477" i="2"/>
  <c r="AJ4477" i="2"/>
  <c r="AL4477" i="2" s="1"/>
  <c r="AF4478" i="2"/>
  <c r="AK4478" i="2"/>
  <c r="AG4478" i="2"/>
  <c r="AH4478" i="2"/>
  <c r="AI4478" i="2"/>
  <c r="AJ4478" i="2"/>
  <c r="AF4479" i="2"/>
  <c r="AK4479" i="2"/>
  <c r="AG4479" i="2"/>
  <c r="AH4479" i="2"/>
  <c r="AL4479" i="2" s="1"/>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c r="AL4483" i="2"/>
  <c r="AG4483" i="2"/>
  <c r="AH4483" i="2"/>
  <c r="AI4483" i="2"/>
  <c r="AJ4483" i="2"/>
  <c r="AF4484" i="2"/>
  <c r="AK4484" i="2"/>
  <c r="AG4484" i="2"/>
  <c r="AH4484" i="2"/>
  <c r="AI4484" i="2"/>
  <c r="AJ4484" i="2"/>
  <c r="AF4485" i="2"/>
  <c r="AK4485" i="2" s="1"/>
  <c r="AG4485" i="2"/>
  <c r="AH4485" i="2"/>
  <c r="AI4485" i="2"/>
  <c r="AJ4485" i="2"/>
  <c r="AF4486" i="2"/>
  <c r="AK4486" i="2"/>
  <c r="AG4486" i="2"/>
  <c r="AH4486" i="2"/>
  <c r="AI4486" i="2"/>
  <c r="AJ4486" i="2"/>
  <c r="AF4487" i="2"/>
  <c r="AK4487" i="2"/>
  <c r="AG4487" i="2"/>
  <c r="AH4487" i="2"/>
  <c r="AI4487" i="2"/>
  <c r="AJ4487" i="2"/>
  <c r="AF4488" i="2"/>
  <c r="AK4488" i="2" s="1"/>
  <c r="AG4488" i="2"/>
  <c r="AH4488" i="2"/>
  <c r="AI4488" i="2"/>
  <c r="AL4488" i="2" s="1"/>
  <c r="AJ4488" i="2"/>
  <c r="AF4489" i="2"/>
  <c r="AK4489" i="2"/>
  <c r="AG4489" i="2"/>
  <c r="AH4489" i="2"/>
  <c r="AI4489" i="2"/>
  <c r="AJ4489" i="2"/>
  <c r="AF4490" i="2"/>
  <c r="AK4490" i="2"/>
  <c r="AG4490" i="2"/>
  <c r="AL4490" i="2" s="1"/>
  <c r="AH4490" i="2"/>
  <c r="AI4490" i="2"/>
  <c r="AJ4490" i="2"/>
  <c r="AF4491" i="2"/>
  <c r="AK4491" i="2" s="1"/>
  <c r="AG4491" i="2"/>
  <c r="AH4491" i="2"/>
  <c r="AI4491" i="2"/>
  <c r="AJ4491" i="2"/>
  <c r="AF4492" i="2"/>
  <c r="AK4492" i="2"/>
  <c r="AG4492" i="2"/>
  <c r="AH4492" i="2"/>
  <c r="AI4492" i="2"/>
  <c r="AL4492" i="2"/>
  <c r="AJ4492" i="2"/>
  <c r="AF4493" i="2"/>
  <c r="AK4493" i="2"/>
  <c r="AL4493" i="2" s="1"/>
  <c r="AG4493" i="2"/>
  <c r="AH4493" i="2"/>
  <c r="AI4493" i="2"/>
  <c r="AJ4493" i="2"/>
  <c r="AF4494" i="2"/>
  <c r="AK4494" i="2" s="1"/>
  <c r="AG4494" i="2"/>
  <c r="AH4494" i="2"/>
  <c r="AI4494" i="2"/>
  <c r="AJ4494" i="2"/>
  <c r="AF4495" i="2"/>
  <c r="AK4495" i="2" s="1"/>
  <c r="AG4495" i="2"/>
  <c r="AH4495" i="2"/>
  <c r="AI4495" i="2"/>
  <c r="AJ4495" i="2"/>
  <c r="AF4496" i="2"/>
  <c r="AK4496" i="2" s="1"/>
  <c r="AG4496" i="2"/>
  <c r="AH4496" i="2"/>
  <c r="AI4496" i="2"/>
  <c r="AJ4496" i="2"/>
  <c r="AF4497" i="2"/>
  <c r="AK4497" i="2"/>
  <c r="AG4497" i="2"/>
  <c r="AL4497" i="2" s="1"/>
  <c r="AH4497" i="2"/>
  <c r="AI4497" i="2"/>
  <c r="AJ4497" i="2"/>
  <c r="AF4498" i="2"/>
  <c r="AK4498" i="2" s="1"/>
  <c r="AG4498" i="2"/>
  <c r="AH4498" i="2"/>
  <c r="AI4498" i="2"/>
  <c r="AJ4498" i="2"/>
  <c r="AF4499" i="2"/>
  <c r="AK4499" i="2" s="1"/>
  <c r="AL4499" i="2"/>
  <c r="AG4499" i="2"/>
  <c r="AH4499" i="2"/>
  <c r="AI4499" i="2"/>
  <c r="AJ4499" i="2"/>
  <c r="AF4500" i="2"/>
  <c r="AK4500" i="2" s="1"/>
  <c r="AG4500" i="2"/>
  <c r="AH4500" i="2"/>
  <c r="AI4500" i="2"/>
  <c r="AJ4500" i="2"/>
  <c r="AF4501" i="2"/>
  <c r="AK4501" i="2"/>
  <c r="AG4501" i="2"/>
  <c r="AH4501" i="2"/>
  <c r="AI4501" i="2"/>
  <c r="AJ4501" i="2"/>
  <c r="AF4502" i="2"/>
  <c r="AK4502" i="2"/>
  <c r="AG4502" i="2"/>
  <c r="AL4502" i="2" s="1"/>
  <c r="AH4502" i="2"/>
  <c r="AI4502" i="2"/>
  <c r="AJ4502" i="2"/>
  <c r="AF4503" i="2"/>
  <c r="AK4503" i="2"/>
  <c r="AG4503" i="2"/>
  <c r="AH4503" i="2"/>
  <c r="AI4503" i="2"/>
  <c r="AJ4503" i="2"/>
  <c r="AF4504" i="2"/>
  <c r="AK4504" i="2" s="1"/>
  <c r="AL4504" i="2" s="1"/>
  <c r="AG4504" i="2"/>
  <c r="AH4504" i="2"/>
  <c r="AI4504" i="2"/>
  <c r="AJ4504" i="2"/>
  <c r="AF4505" i="2"/>
  <c r="AK4505" i="2"/>
  <c r="AG4505" i="2"/>
  <c r="AH4505" i="2"/>
  <c r="AL4505" i="2" s="1"/>
  <c r="AI4505" i="2"/>
  <c r="AJ4505" i="2"/>
  <c r="AF4506" i="2"/>
  <c r="AK4506" i="2"/>
  <c r="AG4506" i="2"/>
  <c r="AH4506" i="2"/>
  <c r="AI4506" i="2"/>
  <c r="AJ4506" i="2"/>
  <c r="AF4507" i="2"/>
  <c r="AK4507" i="2"/>
  <c r="AL4507" i="2" s="1"/>
  <c r="AG4507" i="2"/>
  <c r="AH4507" i="2"/>
  <c r="AI4507" i="2"/>
  <c r="AJ4507" i="2"/>
  <c r="AF4508" i="2"/>
  <c r="AK4508" i="2"/>
  <c r="AG4508" i="2"/>
  <c r="AL4508" i="2" s="1"/>
  <c r="AH4508" i="2"/>
  <c r="AI4508" i="2"/>
  <c r="AJ4508" i="2"/>
  <c r="AF4509" i="2"/>
  <c r="AK4509" i="2"/>
  <c r="AG4509" i="2"/>
  <c r="AH4509" i="2"/>
  <c r="AI4509" i="2"/>
  <c r="AJ4509" i="2"/>
  <c r="AF4510" i="2"/>
  <c r="AK4510" i="2"/>
  <c r="AL4510" i="2" s="1"/>
  <c r="AG4510" i="2"/>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c r="AG4514" i="2"/>
  <c r="AH4514" i="2"/>
  <c r="AI4514" i="2"/>
  <c r="AJ4514" i="2"/>
  <c r="AL4514" i="2" s="1"/>
  <c r="AF4515" i="2"/>
  <c r="AK4515" i="2"/>
  <c r="AG4515" i="2"/>
  <c r="AH4515" i="2"/>
  <c r="AI4515" i="2"/>
  <c r="AJ4515" i="2"/>
  <c r="AF4516" i="2"/>
  <c r="AK4516" i="2"/>
  <c r="AG4516" i="2"/>
  <c r="AH4516" i="2"/>
  <c r="AI4516" i="2"/>
  <c r="AJ4516" i="2"/>
  <c r="AF4517" i="2"/>
  <c r="AK4517" i="2" s="1"/>
  <c r="AL4517" i="2" s="1"/>
  <c r="AG4517" i="2"/>
  <c r="AH4517" i="2"/>
  <c r="AI4517" i="2"/>
  <c r="AJ4517" i="2"/>
  <c r="AF4518" i="2"/>
  <c r="AK4518" i="2" s="1"/>
  <c r="AG4518" i="2"/>
  <c r="AH4518" i="2"/>
  <c r="AL4518" i="2" s="1"/>
  <c r="AI4518" i="2"/>
  <c r="AJ4518" i="2"/>
  <c r="AF4519" i="2"/>
  <c r="AK4519" i="2"/>
  <c r="AG4519" i="2"/>
  <c r="AH4519" i="2"/>
  <c r="AI4519" i="2"/>
  <c r="AJ4519" i="2"/>
  <c r="AF4520" i="2"/>
  <c r="AK4520" i="2"/>
  <c r="AL4520" i="2" s="1"/>
  <c r="AG4520" i="2"/>
  <c r="AH4520" i="2"/>
  <c r="AI4520" i="2"/>
  <c r="AJ4520" i="2"/>
  <c r="AF4521" i="2"/>
  <c r="AK4521" i="2"/>
  <c r="AG4521" i="2"/>
  <c r="AH4521" i="2"/>
  <c r="AI4521" i="2"/>
  <c r="AJ4521" i="2"/>
  <c r="AF4522" i="2"/>
  <c r="AK4522" i="2" s="1"/>
  <c r="AG4522" i="2"/>
  <c r="AH4522" i="2"/>
  <c r="AI4522" i="2"/>
  <c r="AJ4522" i="2"/>
  <c r="AF4523" i="2"/>
  <c r="AK4523" i="2"/>
  <c r="AG4523" i="2"/>
  <c r="AH4523" i="2"/>
  <c r="AI4523" i="2"/>
  <c r="AL4523" i="2" s="1"/>
  <c r="AJ4523" i="2"/>
  <c r="AF4524" i="2"/>
  <c r="AK4524" i="2" s="1"/>
  <c r="AG4524" i="2"/>
  <c r="AH4524" i="2"/>
  <c r="AI4524" i="2"/>
  <c r="AJ4524" i="2"/>
  <c r="AL4524" i="2" s="1"/>
  <c r="AF4525" i="2"/>
  <c r="AK4525" i="2" s="1"/>
  <c r="AG4525" i="2"/>
  <c r="AL4525" i="2" s="1"/>
  <c r="AH4525" i="2"/>
  <c r="AI4525" i="2"/>
  <c r="AJ4525" i="2"/>
  <c r="AF4526" i="2"/>
  <c r="AK4526" i="2"/>
  <c r="AG4526" i="2"/>
  <c r="AH4526" i="2"/>
  <c r="AI4526" i="2"/>
  <c r="AJ4526" i="2"/>
  <c r="AF4527" i="2"/>
  <c r="AK4527" i="2" s="1"/>
  <c r="AG4527" i="2"/>
  <c r="AH4527" i="2"/>
  <c r="AI4527" i="2"/>
  <c r="AJ4527" i="2"/>
  <c r="AF4528" i="2"/>
  <c r="AK4528" i="2" s="1"/>
  <c r="AG4528" i="2"/>
  <c r="AH4528" i="2"/>
  <c r="AI4528" i="2"/>
  <c r="AL4528" i="2" s="1"/>
  <c r="AJ4528" i="2"/>
  <c r="AF4529" i="2"/>
  <c r="AK4529" i="2" s="1"/>
  <c r="AG4529" i="2"/>
  <c r="AH4529" i="2"/>
  <c r="AI4529" i="2"/>
  <c r="AJ4529" i="2"/>
  <c r="AF4530" i="2"/>
  <c r="AK4530" i="2"/>
  <c r="AG4530" i="2"/>
  <c r="AH4530" i="2"/>
  <c r="AI4530" i="2"/>
  <c r="AJ4530" i="2"/>
  <c r="AF4531" i="2"/>
  <c r="AK4531" i="2" s="1"/>
  <c r="AG4531" i="2"/>
  <c r="AH4531" i="2"/>
  <c r="AI4531" i="2"/>
  <c r="AJ4531" i="2"/>
  <c r="AF4532" i="2"/>
  <c r="AK4532" i="2" s="1"/>
  <c r="AG4532" i="2"/>
  <c r="AH4532" i="2"/>
  <c r="AL4532" i="2" s="1"/>
  <c r="AI4532" i="2"/>
  <c r="AJ4532" i="2"/>
  <c r="AF4533" i="2"/>
  <c r="AK4533" i="2" s="1"/>
  <c r="AL4533" i="2" s="1"/>
  <c r="AG4533" i="2"/>
  <c r="AH4533" i="2"/>
  <c r="AI4533" i="2"/>
  <c r="AJ4533" i="2"/>
  <c r="AF4534" i="2"/>
  <c r="AK4534" i="2" s="1"/>
  <c r="AG4534" i="2"/>
  <c r="AH4534" i="2"/>
  <c r="AL4534" i="2" s="1"/>
  <c r="AI4534" i="2"/>
  <c r="AJ4534" i="2"/>
  <c r="AF4535" i="2"/>
  <c r="AK4535" i="2" s="1"/>
  <c r="AG4535" i="2"/>
  <c r="AH4535" i="2"/>
  <c r="AI4535" i="2"/>
  <c r="AJ4535" i="2"/>
  <c r="AF4536" i="2"/>
  <c r="AK4536" i="2" s="1"/>
  <c r="AG4536" i="2"/>
  <c r="AH4536" i="2"/>
  <c r="AI4536" i="2"/>
  <c r="AJ4536" i="2"/>
  <c r="AF4537" i="2"/>
  <c r="AK4537" i="2"/>
  <c r="AG4537" i="2"/>
  <c r="AH4537" i="2"/>
  <c r="AI4537" i="2"/>
  <c r="AJ4537" i="2"/>
  <c r="AF4538" i="2"/>
  <c r="AK4538" i="2" s="1"/>
  <c r="AG4538" i="2"/>
  <c r="AL4538" i="2"/>
  <c r="AH4538" i="2"/>
  <c r="AI4538" i="2"/>
  <c r="AJ4538" i="2"/>
  <c r="AF4539" i="2"/>
  <c r="AK4539" i="2" s="1"/>
  <c r="AL4539" i="2" s="1"/>
  <c r="AG4539" i="2"/>
  <c r="AH4539" i="2"/>
  <c r="AI4539" i="2"/>
  <c r="AJ4539" i="2"/>
  <c r="AF4540" i="2"/>
  <c r="AK4540" i="2" s="1"/>
  <c r="AG4540" i="2"/>
  <c r="AH4540" i="2"/>
  <c r="AI4540" i="2"/>
  <c r="AJ4540" i="2"/>
  <c r="AF4541" i="2"/>
  <c r="AK4541" i="2"/>
  <c r="AG4541" i="2"/>
  <c r="AH4541" i="2"/>
  <c r="AI4541" i="2"/>
  <c r="AJ4541" i="2"/>
  <c r="AF4542" i="2"/>
  <c r="AK4542" i="2" s="1"/>
  <c r="AL4542" i="2"/>
  <c r="AG4542" i="2"/>
  <c r="AH4542" i="2"/>
  <c r="AI4542" i="2"/>
  <c r="AJ4542" i="2"/>
  <c r="AF4543" i="2"/>
  <c r="AK4543" i="2"/>
  <c r="AG4543" i="2"/>
  <c r="AH4543" i="2"/>
  <c r="AI4543" i="2"/>
  <c r="AJ4543" i="2"/>
  <c r="AF4544" i="2"/>
  <c r="AK4544" i="2" s="1"/>
  <c r="AG4544" i="2"/>
  <c r="AL4544" i="2" s="1"/>
  <c r="AH4544" i="2"/>
  <c r="AI4544" i="2"/>
  <c r="AJ4544" i="2"/>
  <c r="AF4545" i="2"/>
  <c r="AK4545" i="2" s="1"/>
  <c r="AL4545" i="2" s="1"/>
  <c r="AG4545" i="2"/>
  <c r="AH4545" i="2"/>
  <c r="AI4545" i="2"/>
  <c r="AJ4545" i="2"/>
  <c r="AF4546" i="2"/>
  <c r="AK4546" i="2" s="1"/>
  <c r="AG4546" i="2"/>
  <c r="AH4546" i="2"/>
  <c r="AI4546" i="2"/>
  <c r="AJ4546" i="2"/>
  <c r="AF4547" i="2"/>
  <c r="AK4547" i="2" s="1"/>
  <c r="AG4547" i="2"/>
  <c r="AH4547" i="2"/>
  <c r="AL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c r="AG4557" i="2"/>
  <c r="AL4557" i="2" s="1"/>
  <c r="AH4557" i="2"/>
  <c r="AI4557" i="2"/>
  <c r="AJ4557" i="2"/>
  <c r="AF4558" i="2"/>
  <c r="AK4558" i="2"/>
  <c r="AG4558" i="2"/>
  <c r="AH4558" i="2"/>
  <c r="AI4558" i="2"/>
  <c r="AJ4558" i="2"/>
  <c r="AL4558" i="2" s="1"/>
  <c r="AF4559" i="2"/>
  <c r="AK4559" i="2"/>
  <c r="AG4559" i="2"/>
  <c r="AL4559" i="2" s="1"/>
  <c r="AH4559" i="2"/>
  <c r="AI4559" i="2"/>
  <c r="AJ4559" i="2"/>
  <c r="AF4560" i="2"/>
  <c r="AK4560" i="2"/>
  <c r="AL4560" i="2"/>
  <c r="AG4560" i="2"/>
  <c r="AH4560" i="2"/>
  <c r="AI4560" i="2"/>
  <c r="AJ4560" i="2"/>
  <c r="AF4561" i="2"/>
  <c r="AK4561" i="2"/>
  <c r="AG4561" i="2"/>
  <c r="AH4561" i="2"/>
  <c r="AI4561" i="2"/>
  <c r="AJ4561" i="2"/>
  <c r="AF4562" i="2"/>
  <c r="AK4562" i="2"/>
  <c r="AG4562" i="2"/>
  <c r="AH4562" i="2"/>
  <c r="AI4562" i="2"/>
  <c r="AL4562" i="2" s="1"/>
  <c r="AJ4562" i="2"/>
  <c r="AF4563" i="2"/>
  <c r="AK4563" i="2"/>
  <c r="AG4563" i="2"/>
  <c r="AL4563" i="2" s="1"/>
  <c r="AH4563" i="2"/>
  <c r="AI4563" i="2"/>
  <c r="AJ4563" i="2"/>
  <c r="AF4564" i="2"/>
  <c r="AK4564" i="2" s="1"/>
  <c r="AG4564" i="2"/>
  <c r="AH4564" i="2"/>
  <c r="AI4564" i="2"/>
  <c r="AJ4564" i="2"/>
  <c r="AF4565" i="2"/>
  <c r="AK4565" i="2" s="1"/>
  <c r="AL4565" i="2" s="1"/>
  <c r="AG4565" i="2"/>
  <c r="AH4565" i="2"/>
  <c r="AI4565" i="2"/>
  <c r="AJ4565" i="2"/>
  <c r="AF4566" i="2"/>
  <c r="AK4566" i="2"/>
  <c r="AG4566" i="2"/>
  <c r="AH4566" i="2"/>
  <c r="AI4566" i="2"/>
  <c r="AL4566" i="2" s="1"/>
  <c r="AJ4566" i="2"/>
  <c r="AF4567" i="2"/>
  <c r="AK4567" i="2" s="1"/>
  <c r="AG4567" i="2"/>
  <c r="AH4567" i="2"/>
  <c r="AI4567" i="2"/>
  <c r="AJ4567" i="2"/>
  <c r="AF4568" i="2"/>
  <c r="AK4568" i="2"/>
  <c r="AG4568" i="2"/>
  <c r="AL4568" i="2" s="1"/>
  <c r="AH4568" i="2"/>
  <c r="AI4568" i="2"/>
  <c r="AJ4568" i="2"/>
  <c r="AF4569" i="2"/>
  <c r="AK4569" i="2"/>
  <c r="AG4569" i="2"/>
  <c r="AH4569" i="2"/>
  <c r="AI4569" i="2"/>
  <c r="AJ4569" i="2"/>
  <c r="AF4570" i="2"/>
  <c r="AK4570" i="2" s="1"/>
  <c r="AG4570" i="2"/>
  <c r="AH4570" i="2"/>
  <c r="AI4570" i="2"/>
  <c r="AJ4570" i="2"/>
  <c r="AF4571" i="2"/>
  <c r="AK4571" i="2"/>
  <c r="AG4571" i="2"/>
  <c r="AH4571" i="2"/>
  <c r="AI4571" i="2"/>
  <c r="AJ4571" i="2"/>
  <c r="AF4572" i="2"/>
  <c r="AK4572" i="2"/>
  <c r="AG4572" i="2"/>
  <c r="AH4572" i="2"/>
  <c r="AI4572" i="2"/>
  <c r="AJ4572" i="2"/>
  <c r="AF4573" i="2"/>
  <c r="AK4573" i="2" s="1"/>
  <c r="AG4573" i="2"/>
  <c r="AH4573" i="2"/>
  <c r="AI4573" i="2"/>
  <c r="AJ4573" i="2"/>
  <c r="AF4574" i="2"/>
  <c r="AK4574" i="2" s="1"/>
  <c r="AG4574" i="2"/>
  <c r="AH4574" i="2"/>
  <c r="AI4574" i="2"/>
  <c r="AJ4574" i="2"/>
  <c r="AF4575" i="2"/>
  <c r="AK4575" i="2" s="1"/>
  <c r="AL4575" i="2" s="1"/>
  <c r="AG4575" i="2"/>
  <c r="AH4575" i="2"/>
  <c r="AI4575" i="2"/>
  <c r="AJ4575" i="2"/>
  <c r="AF4576" i="2"/>
  <c r="AK4576" i="2"/>
  <c r="AG4576" i="2"/>
  <c r="AL4576" i="2" s="1"/>
  <c r="AH4576" i="2"/>
  <c r="AI4576" i="2"/>
  <c r="AJ4576" i="2"/>
  <c r="AF4577" i="2"/>
  <c r="AK4577" i="2"/>
  <c r="AG4577" i="2"/>
  <c r="AH4577" i="2"/>
  <c r="AI4577" i="2"/>
  <c r="AJ4577" i="2"/>
  <c r="AF4578" i="2"/>
  <c r="AK4578" i="2" s="1"/>
  <c r="AG4578" i="2"/>
  <c r="AH4578" i="2"/>
  <c r="AI4578" i="2"/>
  <c r="AJ4578" i="2"/>
  <c r="AF4579" i="2"/>
  <c r="AK4579" i="2" s="1"/>
  <c r="AG4579" i="2"/>
  <c r="AH4579" i="2"/>
  <c r="AI4579" i="2"/>
  <c r="AL4579" i="2" s="1"/>
  <c r="AJ4579" i="2"/>
  <c r="AF4580" i="2"/>
  <c r="AK4580" i="2" s="1"/>
  <c r="AG4580" i="2"/>
  <c r="AH4580" i="2"/>
  <c r="AI4580" i="2"/>
  <c r="AJ4580" i="2"/>
  <c r="AF4581" i="2"/>
  <c r="AK4581" i="2"/>
  <c r="AG4581" i="2"/>
  <c r="AH4581" i="2"/>
  <c r="AL4581" i="2" s="1"/>
  <c r="AI4581" i="2"/>
  <c r="AJ4581" i="2"/>
  <c r="AF4582" i="2"/>
  <c r="AK4582" i="2"/>
  <c r="AG4582" i="2"/>
  <c r="AH4582" i="2"/>
  <c r="AI4582" i="2"/>
  <c r="AJ4582" i="2"/>
  <c r="AF4583" i="2"/>
  <c r="AK4583" i="2"/>
  <c r="AL4583" i="2" s="1"/>
  <c r="AG4583" i="2"/>
  <c r="AH4583" i="2"/>
  <c r="AI4583" i="2"/>
  <c r="AJ4583" i="2"/>
  <c r="AF4584" i="2"/>
  <c r="AK4584" i="2"/>
  <c r="AG4584" i="2"/>
  <c r="AH4584" i="2"/>
  <c r="AL4584" i="2" s="1"/>
  <c r="AI4584" i="2"/>
  <c r="AJ4584" i="2"/>
  <c r="AF4585" i="2"/>
  <c r="AK4585" i="2"/>
  <c r="AG4585" i="2"/>
  <c r="AH4585" i="2"/>
  <c r="AL4585" i="2" s="1"/>
  <c r="AI4585" i="2"/>
  <c r="AJ4585" i="2"/>
  <c r="AF4586" i="2"/>
  <c r="AK4586" i="2"/>
  <c r="AL4586" i="2" s="1"/>
  <c r="AG4586" i="2"/>
  <c r="AH4586" i="2"/>
  <c r="AI4586" i="2"/>
  <c r="AJ4586" i="2"/>
  <c r="AF4587" i="2"/>
  <c r="AK4587" i="2"/>
  <c r="AG4587" i="2"/>
  <c r="AH4587" i="2"/>
  <c r="AI4587" i="2"/>
  <c r="AJ4587" i="2"/>
  <c r="AL4587" i="2" s="1"/>
  <c r="AF4588" i="2"/>
  <c r="AK4588" i="2" s="1"/>
  <c r="AG4588" i="2"/>
  <c r="AH4588" i="2"/>
  <c r="AI4588" i="2"/>
  <c r="AJ4588" i="2"/>
  <c r="AF4589" i="2"/>
  <c r="AK4589" i="2" s="1"/>
  <c r="AG4589" i="2"/>
  <c r="AL4589" i="2" s="1"/>
  <c r="AH4589" i="2"/>
  <c r="AI4589" i="2"/>
  <c r="AJ4589" i="2"/>
  <c r="AF4590" i="2"/>
  <c r="AK4590" i="2" s="1"/>
  <c r="AG4590" i="2"/>
  <c r="AL4590" i="2" s="1"/>
  <c r="AH4590" i="2"/>
  <c r="AI4590" i="2"/>
  <c r="AJ4590" i="2"/>
  <c r="AF4591" i="2"/>
  <c r="AK4591" i="2" s="1"/>
  <c r="AG4591" i="2"/>
  <c r="AH4591" i="2"/>
  <c r="AI4591" i="2"/>
  <c r="AJ4591" i="2"/>
  <c r="AF4592" i="2"/>
  <c r="AK4592" i="2" s="1"/>
  <c r="AL4592" i="2" s="1"/>
  <c r="AG4592" i="2"/>
  <c r="AH4592" i="2"/>
  <c r="AI4592" i="2"/>
  <c r="AJ4592" i="2"/>
  <c r="AF4593" i="2"/>
  <c r="AK4593" i="2"/>
  <c r="AL4593" i="2"/>
  <c r="AG4593" i="2"/>
  <c r="AH4593" i="2"/>
  <c r="AI4593" i="2"/>
  <c r="AJ4593" i="2"/>
  <c r="AF4594" i="2"/>
  <c r="AK4594" i="2"/>
  <c r="AG4594" i="2"/>
  <c r="AH4594" i="2"/>
  <c r="AI4594" i="2"/>
  <c r="AJ4594" i="2"/>
  <c r="AF4595" i="2"/>
  <c r="AK4595" i="2"/>
  <c r="AG4595" i="2"/>
  <c r="AH4595" i="2"/>
  <c r="AI4595" i="2"/>
  <c r="AL4595" i="2"/>
  <c r="AJ4595" i="2"/>
  <c r="AF4596" i="2"/>
  <c r="AK4596" i="2"/>
  <c r="AG4596" i="2"/>
  <c r="AL4596" i="2" s="1"/>
  <c r="AH4596" i="2"/>
  <c r="AI4596" i="2"/>
  <c r="AJ4596" i="2"/>
  <c r="AF4597" i="2"/>
  <c r="AK4597" i="2"/>
  <c r="AG4597" i="2"/>
  <c r="AH4597" i="2"/>
  <c r="AI4597" i="2"/>
  <c r="AJ4597" i="2"/>
  <c r="AF4598" i="2"/>
  <c r="AK4598" i="2"/>
  <c r="AG4598" i="2"/>
  <c r="AH4598" i="2"/>
  <c r="AI4598" i="2"/>
  <c r="AL4598" i="2"/>
  <c r="AJ4598" i="2"/>
  <c r="AF4599" i="2"/>
  <c r="AK4599" i="2"/>
  <c r="AG4599" i="2"/>
  <c r="AH4599" i="2"/>
  <c r="AI4599" i="2"/>
  <c r="AJ4599" i="2"/>
  <c r="AF4600" i="2"/>
  <c r="AK4600" i="2"/>
  <c r="AG4600" i="2"/>
  <c r="AH4600" i="2"/>
  <c r="AI4600" i="2"/>
  <c r="AJ4600" i="2"/>
  <c r="AL4600" i="2" s="1"/>
  <c r="AF4601" i="2"/>
  <c r="AK4601" i="2"/>
  <c r="AG4601" i="2"/>
  <c r="AH4601" i="2"/>
  <c r="AI4601" i="2"/>
  <c r="AJ4601" i="2"/>
  <c r="AF4602" i="2"/>
  <c r="AK4602" i="2"/>
  <c r="AG4602" i="2"/>
  <c r="AL4602" i="2"/>
  <c r="AH4602" i="2"/>
  <c r="AI4602" i="2"/>
  <c r="AJ4602" i="2"/>
  <c r="AF4603" i="2"/>
  <c r="AK4603" i="2"/>
  <c r="AG4603" i="2"/>
  <c r="AL4603" i="2" s="1"/>
  <c r="AH4603" i="2"/>
  <c r="AI4603" i="2"/>
  <c r="AJ4603" i="2"/>
  <c r="AF4604" i="2"/>
  <c r="AK4604" i="2"/>
  <c r="AG4604" i="2"/>
  <c r="AH4604" i="2"/>
  <c r="AI4604" i="2"/>
  <c r="AJ4604" i="2"/>
  <c r="AF4605" i="2"/>
  <c r="AK4605" i="2"/>
  <c r="AG4605" i="2"/>
  <c r="AH4605" i="2"/>
  <c r="AI4605" i="2"/>
  <c r="AJ4605" i="2"/>
  <c r="AF4606" i="2"/>
  <c r="AK4606" i="2" s="1"/>
  <c r="AG4606" i="2"/>
  <c r="AH4606" i="2"/>
  <c r="AI4606" i="2"/>
  <c r="AJ4606" i="2"/>
  <c r="AF4607" i="2"/>
  <c r="AK4607" i="2"/>
  <c r="AG4607" i="2"/>
  <c r="AH4607" i="2"/>
  <c r="AI4607" i="2"/>
  <c r="AL4607" i="2" s="1"/>
  <c r="AJ4607" i="2"/>
  <c r="AF4608" i="2"/>
  <c r="AK4608" i="2"/>
  <c r="AG4608" i="2"/>
  <c r="AL4608" i="2" s="1"/>
  <c r="AH4608" i="2"/>
  <c r="AI4608" i="2"/>
  <c r="AJ4608" i="2"/>
  <c r="AF4609" i="2"/>
  <c r="AK4609" i="2"/>
  <c r="AG4609" i="2"/>
  <c r="AH4609" i="2"/>
  <c r="AI4609" i="2"/>
  <c r="AJ4609" i="2"/>
  <c r="AF4610" i="2"/>
  <c r="AK4610" i="2"/>
  <c r="AG4610" i="2"/>
  <c r="AH4610" i="2"/>
  <c r="AI4610" i="2"/>
  <c r="AL4610" i="2" s="1"/>
  <c r="AJ4610" i="2"/>
  <c r="AF4611" i="2"/>
  <c r="AK4611" i="2"/>
  <c r="AG4611" i="2"/>
  <c r="AL4611" i="2" s="1"/>
  <c r="AH4611" i="2"/>
  <c r="AI4611" i="2"/>
  <c r="AJ4611" i="2"/>
  <c r="AF4612" i="2"/>
  <c r="AK4612" i="2" s="1"/>
  <c r="AG4612" i="2"/>
  <c r="AL4612" i="2"/>
  <c r="AH4612" i="2"/>
  <c r="AI4612" i="2"/>
  <c r="AJ4612" i="2"/>
  <c r="AF4613" i="2"/>
  <c r="AK4613" i="2" s="1"/>
  <c r="AG4613" i="2"/>
  <c r="AL4613" i="2" s="1"/>
  <c r="AH4613" i="2"/>
  <c r="AI4613" i="2"/>
  <c r="AJ4613" i="2"/>
  <c r="AF4614" i="2"/>
  <c r="AK4614" i="2"/>
  <c r="AG4614" i="2"/>
  <c r="AH4614" i="2"/>
  <c r="AI4614" i="2"/>
  <c r="AJ4614" i="2"/>
  <c r="AF4615" i="2"/>
  <c r="AK4615" i="2" s="1"/>
  <c r="AG4615" i="2"/>
  <c r="AH4615" i="2"/>
  <c r="AI4615" i="2"/>
  <c r="AJ4615" i="2"/>
  <c r="AF4616" i="2"/>
  <c r="AK4616" i="2"/>
  <c r="AG4616" i="2"/>
  <c r="AL4616" i="2" s="1"/>
  <c r="AH4616" i="2"/>
  <c r="AI4616" i="2"/>
  <c r="AJ4616" i="2"/>
  <c r="AF4617" i="2"/>
  <c r="AK4617" i="2" s="1"/>
  <c r="AG4617" i="2"/>
  <c r="AH4617" i="2"/>
  <c r="AI4617" i="2"/>
  <c r="AJ4617" i="2"/>
  <c r="AF4618" i="2"/>
  <c r="AK4618" i="2" s="1"/>
  <c r="AG4618" i="2"/>
  <c r="AL4618" i="2" s="1"/>
  <c r="AH4618" i="2"/>
  <c r="AI4618" i="2"/>
  <c r="AJ4618" i="2"/>
  <c r="AF4619" i="2"/>
  <c r="AK4619" i="2"/>
  <c r="AG4619" i="2"/>
  <c r="AH4619" i="2"/>
  <c r="AL4619" i="2" s="1"/>
  <c r="AI4619" i="2"/>
  <c r="AJ4619" i="2"/>
  <c r="AF4620" i="2"/>
  <c r="AK4620" i="2"/>
  <c r="AG4620" i="2"/>
  <c r="AH4620" i="2"/>
  <c r="AI4620" i="2"/>
  <c r="AL4620" i="2" s="1"/>
  <c r="AJ4620" i="2"/>
  <c r="AF4621" i="2"/>
  <c r="AK4621" i="2" s="1"/>
  <c r="AG4621" i="2"/>
  <c r="AH4621" i="2"/>
  <c r="AI4621" i="2"/>
  <c r="AJ4621" i="2"/>
  <c r="AF4622" i="2"/>
  <c r="AK4622" i="2" s="1"/>
  <c r="AG4622" i="2"/>
  <c r="AH4622" i="2"/>
  <c r="AL4622" i="2"/>
  <c r="AI4622" i="2"/>
  <c r="AJ4622" i="2"/>
  <c r="AF4623" i="2"/>
  <c r="AK4623" i="2" s="1"/>
  <c r="AG4623" i="2"/>
  <c r="AH4623" i="2"/>
  <c r="AI4623" i="2"/>
  <c r="AJ4623" i="2"/>
  <c r="AF4624" i="2"/>
  <c r="AK4624" i="2"/>
  <c r="AG4624" i="2"/>
  <c r="AL4624" i="2" s="1"/>
  <c r="AH4624" i="2"/>
  <c r="AI4624" i="2"/>
  <c r="AJ4624" i="2"/>
  <c r="AF4625" i="2"/>
  <c r="AK4625" i="2"/>
  <c r="AG4625" i="2"/>
  <c r="AH4625" i="2"/>
  <c r="AI4625" i="2"/>
  <c r="AJ4625" i="2"/>
  <c r="AF4626" i="2"/>
  <c r="AK4626" i="2" s="1"/>
  <c r="AG4626" i="2"/>
  <c r="AH4626" i="2"/>
  <c r="AI4626" i="2"/>
  <c r="AJ4626" i="2"/>
  <c r="AL4626" i="2" s="1"/>
  <c r="AF4627" i="2"/>
  <c r="AK4627" i="2"/>
  <c r="AG4627" i="2"/>
  <c r="AL4627" i="2" s="1"/>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c r="AG4631" i="2"/>
  <c r="AL4631" i="2"/>
  <c r="AH4631" i="2"/>
  <c r="AI4631" i="2"/>
  <c r="AJ4631" i="2"/>
  <c r="AF4632" i="2"/>
  <c r="AK4632" i="2" s="1"/>
  <c r="AG4632" i="2"/>
  <c r="AH4632" i="2"/>
  <c r="AI4632" i="2"/>
  <c r="AJ4632" i="2"/>
  <c r="AF4633" i="2"/>
  <c r="AK4633" i="2"/>
  <c r="AG4633" i="2"/>
  <c r="AH4633" i="2"/>
  <c r="AI4633" i="2"/>
  <c r="AJ4633" i="2"/>
  <c r="AF4634" i="2"/>
  <c r="AK4634" i="2"/>
  <c r="AG4634" i="2"/>
  <c r="AH4634" i="2"/>
  <c r="AL4634" i="2" s="1"/>
  <c r="AI4634" i="2"/>
  <c r="AJ4634" i="2"/>
  <c r="AF4635" i="2"/>
  <c r="AK4635" i="2"/>
  <c r="AG4635" i="2"/>
  <c r="AH4635" i="2"/>
  <c r="AI4635" i="2"/>
  <c r="AJ4635" i="2"/>
  <c r="AF4636" i="2"/>
  <c r="AK4636" i="2" s="1"/>
  <c r="AG4636" i="2"/>
  <c r="AH4636" i="2"/>
  <c r="AI4636" i="2"/>
  <c r="AJ4636" i="2"/>
  <c r="AF4637" i="2"/>
  <c r="AK4637" i="2"/>
  <c r="AG4637" i="2"/>
  <c r="AL4637" i="2" s="1"/>
  <c r="AH4637" i="2"/>
  <c r="AI4637" i="2"/>
  <c r="AJ4637" i="2"/>
  <c r="AF4638" i="2"/>
  <c r="AK4638" i="2"/>
  <c r="AG4638" i="2"/>
  <c r="AH4638" i="2"/>
  <c r="AI4638" i="2"/>
  <c r="AJ4638" i="2"/>
  <c r="AF4639" i="2"/>
  <c r="AK4639" i="2"/>
  <c r="AG4639" i="2"/>
  <c r="AH4639" i="2"/>
  <c r="AL4639" i="2" s="1"/>
  <c r="AI4639" i="2"/>
  <c r="AJ4639" i="2"/>
  <c r="AF4640" i="2"/>
  <c r="AK4640" i="2"/>
  <c r="AL4640" i="2"/>
  <c r="AG4640" i="2"/>
  <c r="AH4640" i="2"/>
  <c r="AI4640" i="2"/>
  <c r="AJ4640" i="2"/>
  <c r="AF4641" i="2"/>
  <c r="AK4641" i="2"/>
  <c r="AG4641" i="2"/>
  <c r="AH4641" i="2"/>
  <c r="AI4641" i="2"/>
  <c r="AL4641" i="2" s="1"/>
  <c r="AJ4641" i="2"/>
  <c r="AF4642" i="2"/>
  <c r="AK4642" i="2" s="1"/>
  <c r="AG4642" i="2"/>
  <c r="AH4642" i="2"/>
  <c r="AI4642" i="2"/>
  <c r="AJ4642" i="2"/>
  <c r="AF4643" i="2"/>
  <c r="AK4643" i="2"/>
  <c r="AG4643" i="2"/>
  <c r="AH4643" i="2"/>
  <c r="AI4643" i="2"/>
  <c r="AJ4643" i="2"/>
  <c r="AF4644" i="2"/>
  <c r="AK4644" i="2"/>
  <c r="AG4644" i="2"/>
  <c r="AH4644" i="2"/>
  <c r="AI4644" i="2"/>
  <c r="AJ4644" i="2"/>
  <c r="AL4644" i="2" s="1"/>
  <c r="AF4645" i="2"/>
  <c r="AK4645" i="2"/>
  <c r="AG4645" i="2"/>
  <c r="AH4645" i="2"/>
  <c r="AI4645" i="2"/>
  <c r="AJ4645" i="2"/>
  <c r="AF4646" i="2"/>
  <c r="AK4646" i="2" s="1"/>
  <c r="AG4646" i="2"/>
  <c r="AH4646" i="2"/>
  <c r="AI4646" i="2"/>
  <c r="AJ4646" i="2"/>
  <c r="AF4647" i="2"/>
  <c r="AK4647" i="2" s="1"/>
  <c r="AL4647" i="2" s="1"/>
  <c r="AG4647" i="2"/>
  <c r="AH4647" i="2"/>
  <c r="AI4647" i="2"/>
  <c r="AJ4647" i="2"/>
  <c r="AF4648" i="2"/>
  <c r="AK4648" i="2"/>
  <c r="AG4648" i="2"/>
  <c r="AL4648" i="2" s="1"/>
  <c r="AH4648" i="2"/>
  <c r="AI4648" i="2"/>
  <c r="AJ4648" i="2"/>
  <c r="AF4649" i="2"/>
  <c r="AK4649" i="2" s="1"/>
  <c r="AG4649" i="2"/>
  <c r="AH4649" i="2"/>
  <c r="AI4649" i="2"/>
  <c r="AJ4649" i="2"/>
  <c r="AF4650" i="2"/>
  <c r="AK4650" i="2" s="1"/>
  <c r="AL4650" i="2" s="1"/>
  <c r="AG4650" i="2"/>
  <c r="AH4650" i="2"/>
  <c r="AI4650" i="2"/>
  <c r="AJ4650" i="2"/>
  <c r="AF4651" i="2"/>
  <c r="AK4651" i="2"/>
  <c r="AG4651" i="2"/>
  <c r="AL4651" i="2" s="1"/>
  <c r="AH4651" i="2"/>
  <c r="AI4651" i="2"/>
  <c r="AJ4651" i="2"/>
  <c r="AF4652" i="2"/>
  <c r="AK4652" i="2" s="1"/>
  <c r="AG4652" i="2"/>
  <c r="AH4652" i="2"/>
  <c r="AI4652" i="2"/>
  <c r="AJ4652" i="2"/>
  <c r="AL4652" i="2" s="1"/>
  <c r="AF4653" i="2"/>
  <c r="AK4653" i="2"/>
  <c r="AL4653" i="2" s="1"/>
  <c r="AG4653" i="2"/>
  <c r="AH4653" i="2"/>
  <c r="AI4653" i="2"/>
  <c r="AJ4653" i="2"/>
  <c r="AF4654" i="2"/>
  <c r="AK4654" i="2"/>
  <c r="AG4654" i="2"/>
  <c r="AH4654" i="2"/>
  <c r="AI4654" i="2"/>
  <c r="AJ4654" i="2"/>
  <c r="AF4655" i="2"/>
  <c r="AK4655" i="2" s="1"/>
  <c r="AG4655" i="2"/>
  <c r="AH4655" i="2"/>
  <c r="AI4655" i="2"/>
  <c r="AJ4655" i="2"/>
  <c r="AF4656" i="2"/>
  <c r="AK4656" i="2" s="1"/>
  <c r="AL4656" i="2" s="1"/>
  <c r="AG4656" i="2"/>
  <c r="AH4656" i="2"/>
  <c r="AI4656" i="2"/>
  <c r="AJ4656" i="2"/>
  <c r="AF4657" i="2"/>
  <c r="AK4657" i="2"/>
  <c r="AG4657" i="2"/>
  <c r="AH4657" i="2"/>
  <c r="AI4657" i="2"/>
  <c r="AJ4657" i="2"/>
  <c r="AF4658" i="2"/>
  <c r="AK4658" i="2"/>
  <c r="AG4658" i="2"/>
  <c r="AH4658" i="2"/>
  <c r="AI4658" i="2"/>
  <c r="AJ4658" i="2"/>
  <c r="AF4659" i="2"/>
  <c r="AK4659" i="2"/>
  <c r="AG4659" i="2"/>
  <c r="AH4659" i="2"/>
  <c r="AI4659" i="2"/>
  <c r="AJ4659" i="2"/>
  <c r="AF4660" i="2"/>
  <c r="AK4660" i="2"/>
  <c r="AG4660" i="2"/>
  <c r="AH4660" i="2"/>
  <c r="AI4660" i="2"/>
  <c r="AJ4660" i="2"/>
  <c r="AF4661" i="2"/>
  <c r="AK4661" i="2" s="1"/>
  <c r="AG4661" i="2"/>
  <c r="AH4661" i="2"/>
  <c r="AI4661" i="2"/>
  <c r="AL4661" i="2" s="1"/>
  <c r="AJ4661" i="2"/>
  <c r="AF4662" i="2"/>
  <c r="AK4662" i="2"/>
  <c r="AG4662" i="2"/>
  <c r="AL4662" i="2" s="1"/>
  <c r="AH4662" i="2"/>
  <c r="AI4662" i="2"/>
  <c r="AJ4662" i="2"/>
  <c r="AF4663" i="2"/>
  <c r="AK4663" i="2"/>
  <c r="AG4663" i="2"/>
  <c r="AH4663" i="2"/>
  <c r="AI4663" i="2"/>
  <c r="AL4663" i="2" s="1"/>
  <c r="AJ4663" i="2"/>
  <c r="AF4664" i="2"/>
  <c r="AK4664" i="2" s="1"/>
  <c r="AG4664" i="2"/>
  <c r="AH4664" i="2"/>
  <c r="AI4664" i="2"/>
  <c r="AJ4664" i="2"/>
  <c r="AF4665" i="2"/>
  <c r="AK4665" i="2"/>
  <c r="AG4665" i="2"/>
  <c r="AL4665" i="2" s="1"/>
  <c r="AH4665" i="2"/>
  <c r="AI4665" i="2"/>
  <c r="AJ4665" i="2"/>
  <c r="AF4666" i="2"/>
  <c r="AK4666" i="2" s="1"/>
  <c r="AG4666" i="2"/>
  <c r="AL4666" i="2"/>
  <c r="AH4666" i="2"/>
  <c r="AI4666" i="2"/>
  <c r="AJ4666" i="2"/>
  <c r="AF4667" i="2"/>
  <c r="AK4667" i="2" s="1"/>
  <c r="AL4667" i="2" s="1"/>
  <c r="AG4667" i="2"/>
  <c r="AH4667" i="2"/>
  <c r="AI4667" i="2"/>
  <c r="AJ4667" i="2"/>
  <c r="AF4668" i="2"/>
  <c r="AK4668" i="2"/>
  <c r="AG4668" i="2"/>
  <c r="AH4668" i="2"/>
  <c r="AL4668" i="2" s="1"/>
  <c r="AI4668" i="2"/>
  <c r="AJ4668" i="2"/>
  <c r="AF4669" i="2"/>
  <c r="AK4669" i="2" s="1"/>
  <c r="AG4669" i="2"/>
  <c r="AH4669" i="2"/>
  <c r="AL4669" i="2" s="1"/>
  <c r="AI4669" i="2"/>
  <c r="AJ4669" i="2"/>
  <c r="AF4670" i="2"/>
  <c r="AK4670" i="2"/>
  <c r="AG4670" i="2"/>
  <c r="AH4670" i="2"/>
  <c r="AL4670" i="2" s="1"/>
  <c r="AI4670" i="2"/>
  <c r="AJ4670" i="2"/>
  <c r="AF4671" i="2"/>
  <c r="AK4671" i="2"/>
  <c r="AG4671" i="2"/>
  <c r="AH4671" i="2"/>
  <c r="AI4671" i="2"/>
  <c r="AJ4671" i="2"/>
  <c r="AL4671" i="2" s="1"/>
  <c r="AF4672" i="2"/>
  <c r="AK4672" i="2"/>
  <c r="AG4672" i="2"/>
  <c r="AH4672" i="2"/>
  <c r="AI4672" i="2"/>
  <c r="AJ4672" i="2"/>
  <c r="AL4672" i="2" s="1"/>
  <c r="AF4673" i="2"/>
  <c r="AK4673" i="2"/>
  <c r="AG4673" i="2"/>
  <c r="AL4673" i="2" s="1"/>
  <c r="AH4673" i="2"/>
  <c r="AI4673" i="2"/>
  <c r="AJ4673" i="2"/>
  <c r="AF4674" i="2"/>
  <c r="AK4674" i="2" s="1"/>
  <c r="AG4674" i="2"/>
  <c r="AH4674" i="2"/>
  <c r="AI4674" i="2"/>
  <c r="AJ4674" i="2"/>
  <c r="AF4675" i="2"/>
  <c r="AK4675" i="2" s="1"/>
  <c r="AG4675" i="2"/>
  <c r="AH4675" i="2"/>
  <c r="AI4675" i="2"/>
  <c r="AJ4675" i="2"/>
  <c r="AF4676" i="2"/>
  <c r="AK4676" i="2" s="1"/>
  <c r="AG4676" i="2"/>
  <c r="AH4676" i="2"/>
  <c r="AI4676" i="2"/>
  <c r="AJ4676" i="2"/>
  <c r="AF4677" i="2"/>
  <c r="AK4677" i="2"/>
  <c r="AG4677" i="2"/>
  <c r="AH4677" i="2"/>
  <c r="AI4677" i="2"/>
  <c r="AJ4677" i="2"/>
  <c r="AF4678" i="2"/>
  <c r="AK4678" i="2"/>
  <c r="AL4678" i="2" s="1"/>
  <c r="AG4678" i="2"/>
  <c r="AH4678" i="2"/>
  <c r="AI4678" i="2"/>
  <c r="AJ4678" i="2"/>
  <c r="AF4679" i="2"/>
  <c r="AK4679" i="2"/>
  <c r="AG4679" i="2"/>
  <c r="AH4679" i="2"/>
  <c r="AI4679" i="2"/>
  <c r="AJ4679" i="2"/>
  <c r="AL4679" i="2" s="1"/>
  <c r="AF4680" i="2"/>
  <c r="AK4680" i="2"/>
  <c r="AG4680" i="2"/>
  <c r="AH4680" i="2"/>
  <c r="AI4680" i="2"/>
  <c r="AL4680" i="2" s="1"/>
  <c r="AJ4680" i="2"/>
  <c r="AF4681" i="2"/>
  <c r="AK4681" i="2"/>
  <c r="AG4681" i="2"/>
  <c r="AL4681" i="2" s="1"/>
  <c r="AH4681" i="2"/>
  <c r="AI4681" i="2"/>
  <c r="AJ4681" i="2"/>
  <c r="AF4682" i="2"/>
  <c r="AK4682" i="2" s="1"/>
  <c r="AG4682" i="2"/>
  <c r="AH4682" i="2"/>
  <c r="AI4682" i="2"/>
  <c r="AJ4682" i="2"/>
  <c r="AF4683" i="2"/>
  <c r="AK4683" i="2"/>
  <c r="AG4683" i="2"/>
  <c r="AH4683" i="2"/>
  <c r="AI4683" i="2"/>
  <c r="AL4683" i="2" s="1"/>
  <c r="AJ4683" i="2"/>
  <c r="AF4684" i="2"/>
  <c r="AK4684" i="2"/>
  <c r="AG4684" i="2"/>
  <c r="AH4684" i="2"/>
  <c r="AI4684" i="2"/>
  <c r="AJ4684" i="2"/>
  <c r="AF4685" i="2"/>
  <c r="AK4685" i="2" s="1"/>
  <c r="AL4685" i="2" s="1"/>
  <c r="AG4685" i="2"/>
  <c r="AH4685" i="2"/>
  <c r="AI4685" i="2"/>
  <c r="AJ4685" i="2"/>
  <c r="AF4686" i="2"/>
  <c r="AK4686" i="2"/>
  <c r="AL4686" i="2" s="1"/>
  <c r="AG4686" i="2"/>
  <c r="AH4686" i="2"/>
  <c r="AI4686" i="2"/>
  <c r="AJ4686" i="2"/>
  <c r="AF4687" i="2"/>
  <c r="AK4687" i="2"/>
  <c r="AG4687" i="2"/>
  <c r="AH4687" i="2"/>
  <c r="AI4687" i="2"/>
  <c r="AL4687" i="2"/>
  <c r="AJ4687" i="2"/>
  <c r="AF4688" i="2"/>
  <c r="AK4688" i="2" s="1"/>
  <c r="AL4688" i="2" s="1"/>
  <c r="AG4688" i="2"/>
  <c r="AH4688" i="2"/>
  <c r="AI4688" i="2"/>
  <c r="AJ4688" i="2"/>
  <c r="AF4689" i="2"/>
  <c r="AK4689" i="2"/>
  <c r="AG4689" i="2"/>
  <c r="AH4689" i="2"/>
  <c r="AI4689" i="2"/>
  <c r="AJ4689" i="2"/>
  <c r="AF4690" i="2"/>
  <c r="AK4690" i="2" s="1"/>
  <c r="AG4690" i="2"/>
  <c r="AH4690" i="2"/>
  <c r="AI4690" i="2"/>
  <c r="AJ4690" i="2"/>
  <c r="AF4691" i="2"/>
  <c r="AK4691" i="2" s="1"/>
  <c r="AG4691" i="2"/>
  <c r="AH4691" i="2"/>
  <c r="AL4691" i="2" s="1"/>
  <c r="AI4691" i="2"/>
  <c r="AJ4691" i="2"/>
  <c r="AF4692" i="2"/>
  <c r="AK4692" i="2"/>
  <c r="AG4692" i="2"/>
  <c r="AL4692" i="2"/>
  <c r="AH4692" i="2"/>
  <c r="AI4692" i="2"/>
  <c r="AJ4692" i="2"/>
  <c r="AF4693" i="2"/>
  <c r="AK4693" i="2" s="1"/>
  <c r="AL4693" i="2" s="1"/>
  <c r="AG4693" i="2"/>
  <c r="AH4693" i="2"/>
  <c r="AI4693" i="2"/>
  <c r="AJ4693" i="2"/>
  <c r="AF4694" i="2"/>
  <c r="AK4694" i="2"/>
  <c r="AG4694" i="2"/>
  <c r="AH4694" i="2"/>
  <c r="AL4694" i="2" s="1"/>
  <c r="AI4694" i="2"/>
  <c r="AJ4694" i="2"/>
  <c r="AF4695" i="2"/>
  <c r="AK4695" i="2"/>
  <c r="AL4695" i="2"/>
  <c r="AG4695" i="2"/>
  <c r="AH4695" i="2"/>
  <c r="AI4695" i="2"/>
  <c r="AJ4695" i="2"/>
  <c r="AF4696" i="2"/>
  <c r="AK4696" i="2"/>
  <c r="AG4696" i="2"/>
  <c r="AH4696" i="2"/>
  <c r="AL4696" i="2" s="1"/>
  <c r="AI4696" i="2"/>
  <c r="AJ4696" i="2"/>
  <c r="AF4697" i="2"/>
  <c r="AK4697" i="2"/>
  <c r="AG4697" i="2"/>
  <c r="AH4697" i="2"/>
  <c r="AI4697" i="2"/>
  <c r="AJ4697" i="2"/>
  <c r="AF4698" i="2"/>
  <c r="AK4698" i="2"/>
  <c r="AL4698" i="2" s="1"/>
  <c r="AG4698" i="2"/>
  <c r="AH4698" i="2"/>
  <c r="AI4698" i="2"/>
  <c r="AJ4698" i="2"/>
  <c r="AF4699" i="2"/>
  <c r="AK4699" i="2"/>
  <c r="AG4699" i="2"/>
  <c r="AH4699" i="2"/>
  <c r="AI4699" i="2"/>
  <c r="AJ4699" i="2"/>
  <c r="AF4700" i="2"/>
  <c r="AK4700" i="2"/>
  <c r="AG4700" i="2"/>
  <c r="AL4700" i="2" s="1"/>
  <c r="AH4700" i="2"/>
  <c r="AI4700" i="2"/>
  <c r="AJ4700" i="2"/>
  <c r="AF4701" i="2"/>
  <c r="AK4701" i="2"/>
  <c r="AL4701" i="2"/>
  <c r="AG4701" i="2"/>
  <c r="AH4701" i="2"/>
  <c r="AI4701" i="2"/>
  <c r="AJ4701" i="2"/>
  <c r="AF4702" i="2"/>
  <c r="AK4702" i="2"/>
  <c r="AG4702" i="2"/>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c r="AL4706" i="2" s="1"/>
  <c r="AG4706" i="2"/>
  <c r="AH4706" i="2"/>
  <c r="AI4706" i="2"/>
  <c r="AJ4706" i="2"/>
  <c r="AF4707" i="2"/>
  <c r="AK4707" i="2"/>
  <c r="AG4707" i="2"/>
  <c r="AH4707" i="2"/>
  <c r="AI4707" i="2"/>
  <c r="AJ4707" i="2"/>
  <c r="AF4708" i="2"/>
  <c r="AK4708" i="2" s="1"/>
  <c r="AL4708" i="2" s="1"/>
  <c r="AG4708" i="2"/>
  <c r="AH4708" i="2"/>
  <c r="AI4708" i="2"/>
  <c r="AJ4708" i="2"/>
  <c r="AF4709" i="2"/>
  <c r="AK4709" i="2"/>
  <c r="AL4709" i="2" s="1"/>
  <c r="AG4709" i="2"/>
  <c r="AH4709" i="2"/>
  <c r="AI4709" i="2"/>
  <c r="AJ4709" i="2"/>
  <c r="AF4710" i="2"/>
  <c r="AK4710" i="2" s="1"/>
  <c r="AG4710" i="2"/>
  <c r="AH4710" i="2"/>
  <c r="AI4710" i="2"/>
  <c r="AJ4710" i="2"/>
  <c r="AF4711" i="2"/>
  <c r="AG4711" i="2"/>
  <c r="AH4711" i="2"/>
  <c r="AI4711" i="2"/>
  <c r="AJ4711" i="2"/>
  <c r="AK4711" i="2"/>
  <c r="AF4712" i="2"/>
  <c r="AK4712" i="2"/>
  <c r="AG4712" i="2"/>
  <c r="AH4712" i="2"/>
  <c r="AI4712" i="2"/>
  <c r="AJ4712" i="2"/>
  <c r="AF4713" i="2"/>
  <c r="AK4713" i="2"/>
  <c r="AG4713" i="2"/>
  <c r="AH4713" i="2"/>
  <c r="AL4713" i="2" s="1"/>
  <c r="AI4713" i="2"/>
  <c r="AJ4713" i="2"/>
  <c r="AF4714" i="2"/>
  <c r="AK4714" i="2" s="1"/>
  <c r="AL4714" i="2" s="1"/>
  <c r="AG4714" i="2"/>
  <c r="AH4714" i="2"/>
  <c r="AI4714" i="2"/>
  <c r="AJ4714" i="2"/>
  <c r="AF4715" i="2"/>
  <c r="AK4715" i="2"/>
  <c r="AG4715" i="2"/>
  <c r="AL4715" i="2" s="1"/>
  <c r="AH4715" i="2"/>
  <c r="AI4715" i="2"/>
  <c r="AJ4715" i="2"/>
  <c r="AF4716" i="2"/>
  <c r="AK4716" i="2"/>
  <c r="AG4716" i="2"/>
  <c r="AH4716" i="2"/>
  <c r="AI4716" i="2"/>
  <c r="AJ4716" i="2"/>
  <c r="AF4717" i="2"/>
  <c r="AK4717" i="2" s="1"/>
  <c r="AG4717" i="2"/>
  <c r="AH4717" i="2"/>
  <c r="AL4717" i="2" s="1"/>
  <c r="AI4717" i="2"/>
  <c r="AJ4717" i="2"/>
  <c r="AF4718" i="2"/>
  <c r="AK4718" i="2"/>
  <c r="AG4718" i="2"/>
  <c r="AL4718" i="2"/>
  <c r="AH4718" i="2"/>
  <c r="AI4718" i="2"/>
  <c r="AJ4718" i="2"/>
  <c r="AF4719" i="2"/>
  <c r="AK4719" i="2" s="1"/>
  <c r="AL4719" i="2" s="1"/>
  <c r="AG4719" i="2"/>
  <c r="AH4719" i="2"/>
  <c r="AI4719" i="2"/>
  <c r="AJ4719" i="2"/>
  <c r="AF4720" i="2"/>
  <c r="AK4720" i="2" s="1"/>
  <c r="AG4720" i="2"/>
  <c r="AH4720" i="2"/>
  <c r="AI4720" i="2"/>
  <c r="AJ4720" i="2"/>
  <c r="AF4721" i="2"/>
  <c r="AK4721" i="2"/>
  <c r="AL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c r="AG4725" i="2"/>
  <c r="AL4725" i="2" s="1"/>
  <c r="AH4725" i="2"/>
  <c r="AI4725" i="2"/>
  <c r="AJ4725" i="2"/>
  <c r="AF4726" i="2"/>
  <c r="AK4726" i="2"/>
  <c r="AG4726" i="2"/>
  <c r="AH4726" i="2"/>
  <c r="AI4726" i="2"/>
  <c r="AL4726" i="2" s="1"/>
  <c r="AJ4726" i="2"/>
  <c r="AF4727" i="2"/>
  <c r="AK4727" i="2" s="1"/>
  <c r="AG4727" i="2"/>
  <c r="AH4727" i="2"/>
  <c r="AI4727" i="2"/>
  <c r="AJ4727" i="2"/>
  <c r="AF4728" i="2"/>
  <c r="AK4728" i="2"/>
  <c r="AG4728" i="2"/>
  <c r="AL4728" i="2" s="1"/>
  <c r="AH4728" i="2"/>
  <c r="AI4728" i="2"/>
  <c r="AJ4728" i="2"/>
  <c r="AF4729" i="2"/>
  <c r="AK4729" i="2" s="1"/>
  <c r="AG4729" i="2"/>
  <c r="AL4729" i="2" s="1"/>
  <c r="AH4729" i="2"/>
  <c r="AI4729" i="2"/>
  <c r="AJ4729" i="2"/>
  <c r="AF4730" i="2"/>
  <c r="AK4730" i="2" s="1"/>
  <c r="AL4730" i="2" s="1"/>
  <c r="AG4730" i="2"/>
  <c r="AH4730" i="2"/>
  <c r="AI4730" i="2"/>
  <c r="AJ4730" i="2"/>
  <c r="AF4731" i="2"/>
  <c r="AK4731" i="2" s="1"/>
  <c r="AL4731" i="2" s="1"/>
  <c r="AG4731" i="2"/>
  <c r="AH4731" i="2"/>
  <c r="AI4731" i="2"/>
  <c r="AJ4731" i="2"/>
  <c r="AF4732" i="2"/>
  <c r="AK4732" i="2" s="1"/>
  <c r="AG4732" i="2"/>
  <c r="AH4732" i="2"/>
  <c r="AL4732" i="2"/>
  <c r="AI4732" i="2"/>
  <c r="AJ4732" i="2"/>
  <c r="AF4733" i="2"/>
  <c r="AK4733" i="2"/>
  <c r="AG4733" i="2"/>
  <c r="AH4733" i="2"/>
  <c r="AI4733" i="2"/>
  <c r="AJ4733" i="2"/>
  <c r="AF4734" i="2"/>
  <c r="AK4734" i="2"/>
  <c r="AG4734" i="2"/>
  <c r="AH4734" i="2"/>
  <c r="AI4734" i="2"/>
  <c r="AJ4734" i="2"/>
  <c r="AF4735" i="2"/>
  <c r="AK4735" i="2"/>
  <c r="AG4735" i="2"/>
  <c r="AH4735" i="2"/>
  <c r="AL4735" i="2" s="1"/>
  <c r="AI4735" i="2"/>
  <c r="AJ4735" i="2"/>
  <c r="AF4736" i="2"/>
  <c r="AK4736" i="2" s="1"/>
  <c r="AL4736" i="2" s="1"/>
  <c r="AG4736" i="2"/>
  <c r="AH4736" i="2"/>
  <c r="AI4736" i="2"/>
  <c r="AJ4736" i="2"/>
  <c r="AF4737" i="2"/>
  <c r="AK4737" i="2"/>
  <c r="AG4737" i="2"/>
  <c r="AL4737" i="2" s="1"/>
  <c r="AH4737" i="2"/>
  <c r="AI4737" i="2"/>
  <c r="AJ4737" i="2"/>
  <c r="AF4738" i="2"/>
  <c r="AK4738" i="2"/>
  <c r="AG4738" i="2"/>
  <c r="AH4738" i="2"/>
  <c r="AI4738" i="2"/>
  <c r="AJ4738" i="2"/>
  <c r="AF4739" i="2"/>
  <c r="AK4739" i="2"/>
  <c r="AG4739" i="2"/>
  <c r="AH4739" i="2"/>
  <c r="AI4739" i="2"/>
  <c r="AL4739" i="2" s="1"/>
  <c r="AJ4739" i="2"/>
  <c r="AF4740" i="2"/>
  <c r="AK4740" i="2"/>
  <c r="AG4740" i="2"/>
  <c r="AL4740" i="2" s="1"/>
  <c r="AH4740" i="2"/>
  <c r="AI4740" i="2"/>
  <c r="AJ4740" i="2"/>
  <c r="AF4741" i="2"/>
  <c r="AK4741" i="2"/>
  <c r="AG4741" i="2"/>
  <c r="AH4741" i="2"/>
  <c r="AI4741" i="2"/>
  <c r="AJ4741" i="2"/>
  <c r="AF4742" i="2"/>
  <c r="AK4742" i="2" s="1"/>
  <c r="AG4742" i="2"/>
  <c r="AH4742" i="2"/>
  <c r="AI4742" i="2"/>
  <c r="AJ4742" i="2"/>
  <c r="AF4743" i="2"/>
  <c r="AK4743" i="2"/>
  <c r="AG4743" i="2"/>
  <c r="AL4743" i="2" s="1"/>
  <c r="AH4743" i="2"/>
  <c r="AI4743" i="2"/>
  <c r="AJ4743" i="2"/>
  <c r="AF4744" i="2"/>
  <c r="AK4744" i="2" s="1"/>
  <c r="AG4744" i="2"/>
  <c r="AH4744" i="2"/>
  <c r="AI4744" i="2"/>
  <c r="AL4744" i="2" s="1"/>
  <c r="AJ4744" i="2"/>
  <c r="AF4745" i="2"/>
  <c r="AK4745" i="2" s="1"/>
  <c r="AG4745" i="2"/>
  <c r="AH4745" i="2"/>
  <c r="AI4745" i="2"/>
  <c r="AL4745" i="2" s="1"/>
  <c r="AJ4745" i="2"/>
  <c r="AF4746" i="2"/>
  <c r="AK4746" i="2"/>
  <c r="AG4746" i="2"/>
  <c r="AH4746" i="2"/>
  <c r="AI4746" i="2"/>
  <c r="AJ4746" i="2"/>
  <c r="AF4747" i="2"/>
  <c r="AK4747" i="2"/>
  <c r="AG4747" i="2"/>
  <c r="AH4747" i="2"/>
  <c r="AI4747" i="2"/>
  <c r="AJ4747" i="2"/>
  <c r="AF4748" i="2"/>
  <c r="AK4748" i="2"/>
  <c r="AG4748" i="2"/>
  <c r="AH4748" i="2"/>
  <c r="AI4748" i="2"/>
  <c r="AJ4748" i="2"/>
  <c r="AF4749" i="2"/>
  <c r="AK4749" i="2"/>
  <c r="AL4749" i="2" s="1"/>
  <c r="AG4749" i="2"/>
  <c r="AH4749" i="2"/>
  <c r="AI4749" i="2"/>
  <c r="AJ4749" i="2"/>
  <c r="AF4750" i="2"/>
  <c r="AK4750" i="2"/>
  <c r="AG4750" i="2"/>
  <c r="AH4750" i="2"/>
  <c r="AI4750" i="2"/>
  <c r="AL4750" i="2" s="1"/>
  <c r="AJ4750" i="2"/>
  <c r="AF4751" i="2"/>
  <c r="AK4751" i="2" s="1"/>
  <c r="AL4751" i="2" s="1"/>
  <c r="AG4751" i="2"/>
  <c r="AH4751" i="2"/>
  <c r="AI4751" i="2"/>
  <c r="AJ4751" i="2"/>
  <c r="AF4752" i="2"/>
  <c r="AK4752" i="2"/>
  <c r="AG4752" i="2"/>
  <c r="AL4752" i="2" s="1"/>
  <c r="AH4752" i="2"/>
  <c r="AI4752" i="2"/>
  <c r="AJ4752" i="2"/>
  <c r="AF4753" i="2"/>
  <c r="AK4753" i="2" s="1"/>
  <c r="AG4753" i="2"/>
  <c r="AH4753" i="2"/>
  <c r="AI4753" i="2"/>
  <c r="AJ4753" i="2"/>
  <c r="AF4754" i="2"/>
  <c r="AK4754" i="2"/>
  <c r="AL4754" i="2" s="1"/>
  <c r="AG4754" i="2"/>
  <c r="AH4754" i="2"/>
  <c r="AI4754" i="2"/>
  <c r="AJ4754" i="2"/>
  <c r="AF4755" i="2"/>
  <c r="AK4755" i="2"/>
  <c r="AG4755" i="2"/>
  <c r="AL4755" i="2" s="1"/>
  <c r="AH4755" i="2"/>
  <c r="AI4755" i="2"/>
  <c r="AJ4755" i="2"/>
  <c r="AF4756" i="2"/>
  <c r="AK4756" i="2" s="1"/>
  <c r="AG4756" i="2"/>
  <c r="AH4756" i="2"/>
  <c r="AI4756" i="2"/>
  <c r="AJ4756" i="2"/>
  <c r="AF4757" i="2"/>
  <c r="AK4757" i="2" s="1"/>
  <c r="AL4757" i="2" s="1"/>
  <c r="AG4757" i="2"/>
  <c r="AH4757" i="2"/>
  <c r="AI4757" i="2"/>
  <c r="AJ4757" i="2"/>
  <c r="AF4758" i="2"/>
  <c r="AK4758" i="2"/>
  <c r="AG4758" i="2"/>
  <c r="AH4758" i="2"/>
  <c r="AL4758" i="2" s="1"/>
  <c r="AI4758" i="2"/>
  <c r="AJ4758" i="2"/>
  <c r="AF4759" i="2"/>
  <c r="AK4759" i="2"/>
  <c r="AG4759" i="2"/>
  <c r="AH4759" i="2"/>
  <c r="AI4759" i="2"/>
  <c r="AJ4759" i="2"/>
  <c r="AF4760" i="2"/>
  <c r="AK4760" i="2"/>
  <c r="AL4760" i="2" s="1"/>
  <c r="AG4760" i="2"/>
  <c r="AH4760" i="2"/>
  <c r="AI4760" i="2"/>
  <c r="AJ4760" i="2"/>
  <c r="AF4761" i="2"/>
  <c r="AK4761" i="2" s="1"/>
  <c r="AG4761" i="2"/>
  <c r="AH4761" i="2"/>
  <c r="AL4761" i="2" s="1"/>
  <c r="AI4761" i="2"/>
  <c r="AJ4761" i="2"/>
  <c r="AF4762" i="2"/>
  <c r="AK4762" i="2"/>
  <c r="AG4762" i="2"/>
  <c r="AL4762" i="2"/>
  <c r="AH4762" i="2"/>
  <c r="AI4762" i="2"/>
  <c r="AJ4762" i="2"/>
  <c r="AF4763" i="2"/>
  <c r="AK4763" i="2" s="1"/>
  <c r="AL4763" i="2" s="1"/>
  <c r="AG4763" i="2"/>
  <c r="AH4763" i="2"/>
  <c r="AI4763" i="2"/>
  <c r="AJ4763" i="2"/>
  <c r="AF4764" i="2"/>
  <c r="AK4764" i="2"/>
  <c r="AG4764" i="2"/>
  <c r="AL4764" i="2"/>
  <c r="AH4764" i="2"/>
  <c r="AI4764" i="2"/>
  <c r="AJ4764" i="2"/>
  <c r="AF4765" i="2"/>
  <c r="AK4765" i="2" s="1"/>
  <c r="AG4765" i="2"/>
  <c r="AL4765" i="2"/>
  <c r="AH4765" i="2"/>
  <c r="AI4765" i="2"/>
  <c r="AJ4765" i="2"/>
  <c r="AF4766" i="2"/>
  <c r="AK4766" i="2" s="1"/>
  <c r="AG4766" i="2"/>
  <c r="AL4766" i="2" s="1"/>
  <c r="AH4766" i="2"/>
  <c r="AI4766" i="2"/>
  <c r="AJ4766" i="2"/>
  <c r="AF4767" i="2"/>
  <c r="AK4767" i="2" s="1"/>
  <c r="AG4767" i="2"/>
  <c r="AH4767" i="2"/>
  <c r="AL4767" i="2"/>
  <c r="AI4767" i="2"/>
  <c r="AJ4767" i="2"/>
  <c r="AF4768" i="2"/>
  <c r="AK4768" i="2" s="1"/>
  <c r="AG4768" i="2"/>
  <c r="AH4768" i="2"/>
  <c r="AL4768" i="2" s="1"/>
  <c r="AI4768" i="2"/>
  <c r="AJ4768" i="2"/>
  <c r="AF4769" i="2"/>
  <c r="AK4769" i="2"/>
  <c r="AG4769" i="2"/>
  <c r="AL4769" i="2" s="1"/>
  <c r="AH4769" i="2"/>
  <c r="AI4769" i="2"/>
  <c r="AJ4769" i="2"/>
  <c r="AF4770" i="2"/>
  <c r="AK4770" i="2" s="1"/>
  <c r="AL4770" i="2" s="1"/>
  <c r="AG4770" i="2"/>
  <c r="AH4770" i="2"/>
  <c r="AI4770" i="2"/>
  <c r="AJ4770" i="2"/>
  <c r="AF4771" i="2"/>
  <c r="AK4771" i="2" s="1"/>
  <c r="AG4771" i="2"/>
  <c r="AH4771" i="2"/>
  <c r="AI4771" i="2"/>
  <c r="AJ4771" i="2"/>
  <c r="AF4772" i="2"/>
  <c r="AK4772" i="2"/>
  <c r="AG4772" i="2"/>
  <c r="AH4772" i="2"/>
  <c r="AL4772" i="2" s="1"/>
  <c r="AI4772" i="2"/>
  <c r="AJ4772" i="2"/>
  <c r="AF4773" i="2"/>
  <c r="AK4773" i="2"/>
  <c r="AG4773" i="2"/>
  <c r="AH4773" i="2"/>
  <c r="AL4773" i="2" s="1"/>
  <c r="AI4773" i="2"/>
  <c r="AJ4773" i="2"/>
  <c r="AF4774" i="2"/>
  <c r="AK4774" i="2" s="1"/>
  <c r="AG4774" i="2"/>
  <c r="AH4774" i="2"/>
  <c r="AI4774" i="2"/>
  <c r="AJ4774" i="2"/>
  <c r="AL4774" i="2" s="1"/>
  <c r="AF4775" i="2"/>
  <c r="AK4775" i="2"/>
  <c r="AG4775" i="2"/>
  <c r="AL4775" i="2" s="1"/>
  <c r="AH4775" i="2"/>
  <c r="AI4775" i="2"/>
  <c r="AJ4775" i="2"/>
  <c r="AF4776" i="2"/>
  <c r="AK4776" i="2" s="1"/>
  <c r="AG4776" i="2"/>
  <c r="AH4776" i="2"/>
  <c r="AI4776" i="2"/>
  <c r="AJ4776" i="2"/>
  <c r="AL4776" i="2" s="1"/>
  <c r="AF4777" i="2"/>
  <c r="AK4777" i="2" s="1"/>
  <c r="AL4777" i="2"/>
  <c r="AG4777" i="2"/>
  <c r="AH4777" i="2"/>
  <c r="AI4777" i="2"/>
  <c r="AJ4777" i="2"/>
  <c r="AF4778" i="2"/>
  <c r="AK4778" i="2"/>
  <c r="AG4778" i="2"/>
  <c r="AH4778" i="2"/>
  <c r="AL4778" i="2" s="1"/>
  <c r="AI4778" i="2"/>
  <c r="AJ4778" i="2"/>
  <c r="AF4779" i="2"/>
  <c r="AK4779" i="2"/>
  <c r="AG4779" i="2"/>
  <c r="AH4779" i="2"/>
  <c r="AI4779" i="2"/>
  <c r="AJ4779" i="2"/>
  <c r="AF4780" i="2"/>
  <c r="AK4780" i="2"/>
  <c r="AG4780" i="2"/>
  <c r="AH4780" i="2"/>
  <c r="AI4780" i="2"/>
  <c r="AJ4780" i="2"/>
  <c r="AF4781" i="2"/>
  <c r="AK4781" i="2"/>
  <c r="AG4781" i="2"/>
  <c r="AH4781" i="2"/>
  <c r="AI4781" i="2"/>
  <c r="AL4781" i="2" s="1"/>
  <c r="AJ4781" i="2"/>
  <c r="AF4782" i="2"/>
  <c r="AK4782" i="2" s="1"/>
  <c r="AG4782" i="2"/>
  <c r="AH4782" i="2"/>
  <c r="AL4782" i="2" s="1"/>
  <c r="AI4782" i="2"/>
  <c r="AJ4782" i="2"/>
  <c r="AF4783" i="2"/>
  <c r="AK4783" i="2"/>
  <c r="AL4783" i="2" s="1"/>
  <c r="AG4783" i="2"/>
  <c r="AH4783" i="2"/>
  <c r="AI4783" i="2"/>
  <c r="AJ4783" i="2"/>
  <c r="AF4784" i="2"/>
  <c r="AK4784" i="2" s="1"/>
  <c r="AG4784" i="2"/>
  <c r="AH4784" i="2"/>
  <c r="AI4784" i="2"/>
  <c r="AJ4784" i="2"/>
  <c r="AF4785" i="2"/>
  <c r="AK4785" i="2" s="1"/>
  <c r="AL4785" i="2" s="1"/>
  <c r="AG4785" i="2"/>
  <c r="AH4785" i="2"/>
  <c r="AI4785" i="2"/>
  <c r="AJ4785" i="2"/>
  <c r="AF4786" i="2"/>
  <c r="AK4786" i="2"/>
  <c r="AG4786" i="2"/>
  <c r="AH4786" i="2"/>
  <c r="AI4786" i="2"/>
  <c r="AL4786" i="2" s="1"/>
  <c r="AJ4786" i="2"/>
  <c r="AF4787" i="2"/>
  <c r="AK4787" i="2" s="1"/>
  <c r="AL4787" i="2" s="1"/>
  <c r="AG4787" i="2"/>
  <c r="AH4787" i="2"/>
  <c r="AI4787" i="2"/>
  <c r="AJ4787" i="2"/>
  <c r="AF4788" i="2"/>
  <c r="AK4788" i="2"/>
  <c r="AG4788" i="2"/>
  <c r="AH4788" i="2"/>
  <c r="AL4788" i="2" s="1"/>
  <c r="AI4788" i="2"/>
  <c r="AJ4788" i="2"/>
  <c r="AF4789" i="2"/>
  <c r="AK4789" i="2"/>
  <c r="AG4789" i="2"/>
  <c r="AH4789" i="2"/>
  <c r="AI4789" i="2"/>
  <c r="AL4789" i="2" s="1"/>
  <c r="AJ4789" i="2"/>
  <c r="AF4790" i="2"/>
  <c r="AK4790" i="2" s="1"/>
  <c r="AG4790" i="2"/>
  <c r="AL4790" i="2" s="1"/>
  <c r="AH4790" i="2"/>
  <c r="AI4790" i="2"/>
  <c r="AJ4790" i="2"/>
  <c r="AF4791" i="2"/>
  <c r="AK4791" i="2"/>
  <c r="AG4791" i="2"/>
  <c r="AH4791" i="2"/>
  <c r="AI4791" i="2"/>
  <c r="AL4791" i="2" s="1"/>
  <c r="AJ4791" i="2"/>
  <c r="AF4792" i="2"/>
  <c r="AK4792" i="2"/>
  <c r="AG4792" i="2"/>
  <c r="AL4792" i="2" s="1"/>
  <c r="AH4792" i="2"/>
  <c r="AI4792" i="2"/>
  <c r="AJ4792" i="2"/>
  <c r="AF4793" i="2"/>
  <c r="AK4793" i="2" s="1"/>
  <c r="AG4793" i="2"/>
  <c r="AH4793" i="2"/>
  <c r="AI4793" i="2"/>
  <c r="AJ4793" i="2"/>
  <c r="AF4794" i="2"/>
  <c r="AK4794" i="2"/>
  <c r="AG4794" i="2"/>
  <c r="AH4794" i="2"/>
  <c r="AI4794" i="2"/>
  <c r="AJ4794" i="2"/>
  <c r="AF4795" i="2"/>
  <c r="AK4795" i="2"/>
  <c r="AG4795" i="2"/>
  <c r="AH4795" i="2"/>
  <c r="AL4795" i="2" s="1"/>
  <c r="AI4795" i="2"/>
  <c r="AJ4795" i="2"/>
  <c r="AF4796" i="2"/>
  <c r="AK4796" i="2" s="1"/>
  <c r="AL4796" i="2" s="1"/>
  <c r="AG4796" i="2"/>
  <c r="AH4796" i="2"/>
  <c r="AI4796" i="2"/>
  <c r="AJ4796" i="2"/>
  <c r="AF4797" i="2"/>
  <c r="AK4797" i="2" s="1"/>
  <c r="AL4797" i="2" s="1"/>
  <c r="AG4797" i="2"/>
  <c r="AH4797" i="2"/>
  <c r="AI4797" i="2"/>
  <c r="AJ4797" i="2"/>
  <c r="AF4798" i="2"/>
  <c r="AK4798" i="2" s="1"/>
  <c r="AG4798" i="2"/>
  <c r="AH4798" i="2"/>
  <c r="AI4798" i="2"/>
  <c r="AL4798" i="2" s="1"/>
  <c r="AJ4798" i="2"/>
  <c r="AF4799" i="2"/>
  <c r="AK4799" i="2" s="1"/>
  <c r="AL4799" i="2" s="1"/>
  <c r="AG4799" i="2"/>
  <c r="AH4799" i="2"/>
  <c r="AI4799" i="2"/>
  <c r="AJ4799" i="2"/>
  <c r="AF4800" i="2"/>
  <c r="AK4800" i="2" s="1"/>
  <c r="AG4800" i="2"/>
  <c r="AH4800" i="2"/>
  <c r="AI4800" i="2"/>
  <c r="AJ4800" i="2"/>
  <c r="AF4801" i="2"/>
  <c r="AK4801" i="2" s="1"/>
  <c r="AG4801" i="2"/>
  <c r="AH4801" i="2"/>
  <c r="AI4801" i="2"/>
  <c r="AJ4801" i="2"/>
  <c r="AF4802" i="2"/>
  <c r="AK4802" i="2" s="1"/>
  <c r="AL4802" i="2" s="1"/>
  <c r="AG4802" i="2"/>
  <c r="AH4802" i="2"/>
  <c r="AI4802" i="2"/>
  <c r="AJ4802" i="2"/>
  <c r="AF4803" i="2"/>
  <c r="AK4803" i="2" s="1"/>
  <c r="AG4803" i="2"/>
  <c r="AL4803" i="2" s="1"/>
  <c r="AH4803" i="2"/>
  <c r="AI4803" i="2"/>
  <c r="AJ4803" i="2"/>
  <c r="AF4804" i="2"/>
  <c r="AK4804" i="2" s="1"/>
  <c r="AL4804" i="2" s="1"/>
  <c r="AG4804" i="2"/>
  <c r="AH4804" i="2"/>
  <c r="AI4804" i="2"/>
  <c r="AJ4804" i="2"/>
  <c r="AF4805" i="2"/>
  <c r="AK4805" i="2"/>
  <c r="AG4805" i="2"/>
  <c r="AL4805" i="2" s="1"/>
  <c r="AH4805" i="2"/>
  <c r="AI4805" i="2"/>
  <c r="AJ4805" i="2"/>
  <c r="AF4806" i="2"/>
  <c r="AK4806" i="2" s="1"/>
  <c r="AG4806" i="2"/>
  <c r="AH4806" i="2"/>
  <c r="AI4806" i="2"/>
  <c r="AJ4806" i="2"/>
  <c r="AF4807" i="2"/>
  <c r="AK4807" i="2" s="1"/>
  <c r="AG4807" i="2"/>
  <c r="AL4807" i="2" s="1"/>
  <c r="AH4807" i="2"/>
  <c r="AI4807" i="2"/>
  <c r="AJ4807" i="2"/>
  <c r="AF4808" i="2"/>
  <c r="AK4808" i="2" s="1"/>
  <c r="AG4808" i="2"/>
  <c r="AH4808" i="2"/>
  <c r="AL4808" i="2" s="1"/>
  <c r="AI4808" i="2"/>
  <c r="AJ4808" i="2"/>
  <c r="AF4809" i="2"/>
  <c r="AK4809" i="2"/>
  <c r="AG4809" i="2"/>
  <c r="AL4809" i="2"/>
  <c r="AH4809" i="2"/>
  <c r="AI4809" i="2"/>
  <c r="AJ4809" i="2"/>
  <c r="AF4810" i="2"/>
  <c r="AK4810" i="2" s="1"/>
  <c r="AG4810" i="2"/>
  <c r="AL4810" i="2" s="1"/>
  <c r="AH4810" i="2"/>
  <c r="AI4810" i="2"/>
  <c r="AJ4810" i="2"/>
  <c r="AF4811" i="2"/>
  <c r="AK4811" i="2"/>
  <c r="AG4811" i="2"/>
  <c r="AH4811" i="2"/>
  <c r="AI4811" i="2"/>
  <c r="AJ4811" i="2"/>
  <c r="AF4812" i="2"/>
  <c r="AK4812" i="2"/>
  <c r="AG4812" i="2"/>
  <c r="AH4812" i="2"/>
  <c r="AL4812" i="2" s="1"/>
  <c r="AI4812" i="2"/>
  <c r="AJ4812" i="2"/>
  <c r="AF4813" i="2"/>
  <c r="AK4813" i="2" s="1"/>
  <c r="AG4813" i="2"/>
  <c r="AH4813" i="2"/>
  <c r="AI4813" i="2"/>
  <c r="AJ4813" i="2"/>
  <c r="AF4814" i="2"/>
  <c r="AK4814" i="2" s="1"/>
  <c r="AG4814" i="2"/>
  <c r="AH4814" i="2"/>
  <c r="AI4814" i="2"/>
  <c r="AJ4814" i="2"/>
  <c r="AF4815" i="2"/>
  <c r="AK4815" i="2"/>
  <c r="AG4815" i="2"/>
  <c r="AH4815" i="2"/>
  <c r="AI4815" i="2"/>
  <c r="AJ4815" i="2"/>
  <c r="AF4816" i="2"/>
  <c r="AK4816" i="2"/>
  <c r="AG4816" i="2"/>
  <c r="AH4816" i="2"/>
  <c r="AI4816" i="2"/>
  <c r="AJ4816" i="2"/>
  <c r="AF4817" i="2"/>
  <c r="AK4817" i="2"/>
  <c r="AG4817" i="2"/>
  <c r="AH4817" i="2"/>
  <c r="AI4817" i="2"/>
  <c r="AJ4817" i="2"/>
  <c r="AL4817" i="2" s="1"/>
  <c r="AF4818" i="2"/>
  <c r="AK4818" i="2"/>
  <c r="AL4818" i="2" s="1"/>
  <c r="AG4818" i="2"/>
  <c r="AH4818" i="2"/>
  <c r="AI4818" i="2"/>
  <c r="AJ4818" i="2"/>
  <c r="AF4819" i="2"/>
  <c r="AK4819" i="2"/>
  <c r="AG4819" i="2"/>
  <c r="AH4819" i="2"/>
  <c r="AL4819" i="2" s="1"/>
  <c r="AI4819" i="2"/>
  <c r="AJ4819" i="2"/>
  <c r="AF4820" i="2"/>
  <c r="AK4820" i="2" s="1"/>
  <c r="AG4820" i="2"/>
  <c r="AL4820" i="2" s="1"/>
  <c r="AH4820" i="2"/>
  <c r="AI4820" i="2"/>
  <c r="AJ4820" i="2"/>
  <c r="AF4821" i="2"/>
  <c r="AK4821" i="2"/>
  <c r="AG4821" i="2"/>
  <c r="AH4821" i="2"/>
  <c r="AI4821" i="2"/>
  <c r="AJ4821" i="2"/>
  <c r="AF4822" i="2"/>
  <c r="AK4822" i="2"/>
  <c r="AG4822" i="2"/>
  <c r="AH4822" i="2"/>
  <c r="AI4822" i="2"/>
  <c r="AJ4822" i="2"/>
  <c r="AF4823" i="2"/>
  <c r="AK4823" i="2" s="1"/>
  <c r="AG4823" i="2"/>
  <c r="AH4823" i="2"/>
  <c r="AI4823" i="2"/>
  <c r="AL4823" i="2" s="1"/>
  <c r="AJ4823" i="2"/>
  <c r="AF4824" i="2"/>
  <c r="AK4824" i="2"/>
  <c r="AG4824" i="2"/>
  <c r="AL4824" i="2" s="1"/>
  <c r="AH4824" i="2"/>
  <c r="AI4824" i="2"/>
  <c r="AJ4824" i="2"/>
  <c r="AF4825" i="2"/>
  <c r="AK4825" i="2" s="1"/>
  <c r="AG4825" i="2"/>
  <c r="AH4825" i="2"/>
  <c r="AI4825" i="2"/>
  <c r="AJ4825" i="2"/>
  <c r="AF4826" i="2"/>
  <c r="AK4826" i="2" s="1"/>
  <c r="AG4826" i="2"/>
  <c r="AH4826" i="2"/>
  <c r="AL4826" i="2" s="1"/>
  <c r="AI4826" i="2"/>
  <c r="AJ4826" i="2"/>
  <c r="AF4827" i="2"/>
  <c r="AK4827" i="2"/>
  <c r="AG4827" i="2"/>
  <c r="AH4827" i="2"/>
  <c r="AI4827" i="2"/>
  <c r="AJ4827" i="2"/>
  <c r="AF4828" i="2"/>
  <c r="AK4828" i="2"/>
  <c r="AG4828" i="2"/>
  <c r="AH4828" i="2"/>
  <c r="AL4828" i="2" s="1"/>
  <c r="AI4828" i="2"/>
  <c r="AJ4828" i="2"/>
  <c r="AF4829" i="2"/>
  <c r="AK4829" i="2" s="1"/>
  <c r="AG4829" i="2"/>
  <c r="AH4829" i="2"/>
  <c r="AI4829" i="2"/>
  <c r="AJ4829" i="2"/>
  <c r="AF4830" i="2"/>
  <c r="AK4830" i="2"/>
  <c r="AG4830" i="2"/>
  <c r="AH4830" i="2"/>
  <c r="AL4830" i="2" s="1"/>
  <c r="AI4830" i="2"/>
  <c r="AJ4830" i="2"/>
  <c r="AF4831" i="2"/>
  <c r="AK4831" i="2" s="1"/>
  <c r="AG4831" i="2"/>
  <c r="AL4831" i="2" s="1"/>
  <c r="AH4831" i="2"/>
  <c r="AI4831" i="2"/>
  <c r="AJ4831" i="2"/>
  <c r="AF4832" i="2"/>
  <c r="AK4832" i="2" s="1"/>
  <c r="AG4832" i="2"/>
  <c r="AL4832" i="2" s="1"/>
  <c r="AH4832" i="2"/>
  <c r="AI4832" i="2"/>
  <c r="AJ4832" i="2"/>
  <c r="AF4833" i="2"/>
  <c r="AK4833" i="2"/>
  <c r="AG4833" i="2"/>
  <c r="AH4833" i="2"/>
  <c r="AI4833" i="2"/>
  <c r="AL4833" i="2" s="1"/>
  <c r="AJ4833" i="2"/>
  <c r="AF4834" i="2"/>
  <c r="AK4834" i="2" s="1"/>
  <c r="AG4834" i="2"/>
  <c r="AH4834" i="2"/>
  <c r="AI4834" i="2"/>
  <c r="AJ4834" i="2"/>
  <c r="AF4835" i="2"/>
  <c r="AK4835" i="2"/>
  <c r="AL4835" i="2" s="1"/>
  <c r="AG4835" i="2"/>
  <c r="AH4835" i="2"/>
  <c r="AI4835" i="2"/>
  <c r="AJ4835" i="2"/>
  <c r="AF4836" i="2"/>
  <c r="AK4836" i="2"/>
  <c r="AG4836" i="2"/>
  <c r="AH4836" i="2"/>
  <c r="AI4836" i="2"/>
  <c r="AJ4836" i="2"/>
  <c r="AL4836" i="2" s="1"/>
  <c r="AF4837" i="2"/>
  <c r="AK4837" i="2"/>
  <c r="AG4837" i="2"/>
  <c r="AH4837" i="2"/>
  <c r="AI4837" i="2"/>
  <c r="AJ4837" i="2"/>
  <c r="AF4838" i="2"/>
  <c r="AK4838" i="2"/>
  <c r="AG4838" i="2"/>
  <c r="AL4838" i="2"/>
  <c r="AH4838" i="2"/>
  <c r="AI4838" i="2"/>
  <c r="AJ4838" i="2"/>
  <c r="AF4839" i="2"/>
  <c r="AK4839" i="2" s="1"/>
  <c r="AG4839" i="2"/>
  <c r="AH4839" i="2"/>
  <c r="AI4839" i="2"/>
  <c r="AJ4839" i="2"/>
  <c r="AF4840" i="2"/>
  <c r="AK4840" i="2"/>
  <c r="AL4840" i="2" s="1"/>
  <c r="AG4840" i="2"/>
  <c r="AH4840" i="2"/>
  <c r="AI4840" i="2"/>
  <c r="AJ4840" i="2"/>
  <c r="AF4841" i="2"/>
  <c r="AK4841" i="2"/>
  <c r="AG4841" i="2"/>
  <c r="AH4841" i="2"/>
  <c r="AL4841" i="2" s="1"/>
  <c r="AI4841" i="2"/>
  <c r="AJ4841" i="2"/>
  <c r="AF4842" i="2"/>
  <c r="AK4842" i="2" s="1"/>
  <c r="AG4842" i="2"/>
  <c r="AH4842" i="2"/>
  <c r="AI4842" i="2"/>
  <c r="AJ4842" i="2"/>
  <c r="AF4843" i="2"/>
  <c r="AK4843" i="2" s="1"/>
  <c r="AL4843" i="2" s="1"/>
  <c r="AG4843" i="2"/>
  <c r="AH4843" i="2"/>
  <c r="AI4843" i="2"/>
  <c r="AJ4843" i="2"/>
  <c r="AF4844" i="2"/>
  <c r="AK4844" i="2" s="1"/>
  <c r="AG4844" i="2"/>
  <c r="AH4844" i="2"/>
  <c r="AI4844" i="2"/>
  <c r="AJ4844" i="2"/>
  <c r="AF4845" i="2"/>
  <c r="AK4845" i="2"/>
  <c r="AG4845" i="2"/>
  <c r="AL4845" i="2"/>
  <c r="AH4845" i="2"/>
  <c r="AI4845" i="2"/>
  <c r="AJ4845" i="2"/>
  <c r="AF4846" i="2"/>
  <c r="AK4846" i="2" s="1"/>
  <c r="AG4846" i="2"/>
  <c r="AL4846" i="2" s="1"/>
  <c r="AH4846" i="2"/>
  <c r="AI4846" i="2"/>
  <c r="AJ4846" i="2"/>
  <c r="AF4847" i="2"/>
  <c r="AK4847" i="2" s="1"/>
  <c r="AG4847" i="2"/>
  <c r="AH4847" i="2"/>
  <c r="AL4847" i="2"/>
  <c r="AI4847" i="2"/>
  <c r="AJ4847" i="2"/>
  <c r="AF4848" i="2"/>
  <c r="AK4848" i="2"/>
  <c r="AG4848" i="2"/>
  <c r="AH4848" i="2"/>
  <c r="AI4848" i="2"/>
  <c r="AJ4848" i="2"/>
  <c r="AF4849" i="2"/>
  <c r="AK4849" i="2"/>
  <c r="AG4849" i="2"/>
  <c r="AL4849" i="2" s="1"/>
  <c r="AH4849" i="2"/>
  <c r="AI4849" i="2"/>
  <c r="AJ4849" i="2"/>
  <c r="AF4850" i="2"/>
  <c r="AK4850" i="2" s="1"/>
  <c r="AG4850" i="2"/>
  <c r="AH4850" i="2"/>
  <c r="AI4850" i="2"/>
  <c r="AJ4850" i="2"/>
  <c r="AF4851" i="2"/>
  <c r="AK4851" i="2"/>
  <c r="AG4851" i="2"/>
  <c r="AH4851" i="2"/>
  <c r="AI4851" i="2"/>
  <c r="AJ4851" i="2"/>
  <c r="AL4851" i="2" s="1"/>
  <c r="AF4852" i="2"/>
  <c r="AK4852" i="2"/>
  <c r="AG4852" i="2"/>
  <c r="AL4852" i="2" s="1"/>
  <c r="AH4852" i="2"/>
  <c r="AI4852" i="2"/>
  <c r="AJ4852" i="2"/>
  <c r="AF4853" i="2"/>
  <c r="AK4853" i="2" s="1"/>
  <c r="AG4853" i="2"/>
  <c r="AH4853" i="2"/>
  <c r="AI4853" i="2"/>
  <c r="AJ4853" i="2"/>
  <c r="AF4854" i="2"/>
  <c r="AK4854" i="2" s="1"/>
  <c r="AG4854" i="2"/>
  <c r="AL4854" i="2" s="1"/>
  <c r="AH4854" i="2"/>
  <c r="AI4854" i="2"/>
  <c r="AJ4854" i="2"/>
  <c r="AF4855" i="2"/>
  <c r="AK4855" i="2"/>
  <c r="AG4855" i="2"/>
  <c r="AL4855" i="2"/>
  <c r="AH4855" i="2"/>
  <c r="AI4855" i="2"/>
  <c r="AJ4855" i="2"/>
  <c r="AF4856" i="2"/>
  <c r="AK4856" i="2" s="1"/>
  <c r="AG4856" i="2"/>
  <c r="AH4856" i="2"/>
  <c r="AI4856" i="2"/>
  <c r="AJ4856" i="2"/>
  <c r="AF4857" i="2"/>
  <c r="AK4857" i="2"/>
  <c r="AL4857" i="2" s="1"/>
  <c r="AG4857" i="2"/>
  <c r="AH4857" i="2"/>
  <c r="AI4857" i="2"/>
  <c r="AJ4857" i="2"/>
  <c r="AF4858" i="2"/>
  <c r="AK4858" i="2" s="1"/>
  <c r="AL4858" i="2" s="1"/>
  <c r="AG4858" i="2"/>
  <c r="AH4858" i="2"/>
  <c r="AI4858" i="2"/>
  <c r="AJ4858" i="2"/>
  <c r="AF4859" i="2"/>
  <c r="AK4859" i="2" s="1"/>
  <c r="AG4859" i="2"/>
  <c r="AH4859" i="2"/>
  <c r="AL4859" i="2" s="1"/>
  <c r="AI4859" i="2"/>
  <c r="AJ4859" i="2"/>
  <c r="AF4860" i="2"/>
  <c r="AK4860" i="2"/>
  <c r="AL4860" i="2" s="1"/>
  <c r="AG4860" i="2"/>
  <c r="AH4860" i="2"/>
  <c r="AI4860" i="2"/>
  <c r="AJ4860" i="2"/>
  <c r="AF4861" i="2"/>
  <c r="AK4861" i="2"/>
  <c r="AG4861" i="2"/>
  <c r="AH4861" i="2"/>
  <c r="AI4861" i="2"/>
  <c r="AJ4861" i="2"/>
  <c r="AF4862" i="2"/>
  <c r="AK4862" i="2" s="1"/>
  <c r="AG4862" i="2"/>
  <c r="AH4862" i="2"/>
  <c r="AI4862" i="2"/>
  <c r="AJ4862" i="2"/>
  <c r="AF4863" i="2"/>
  <c r="AK4863" i="2"/>
  <c r="AG4863" i="2"/>
  <c r="AL4863" i="2" s="1"/>
  <c r="AH4863" i="2"/>
  <c r="AI4863" i="2"/>
  <c r="AJ4863" i="2"/>
  <c r="AF4864" i="2"/>
  <c r="AK4864" i="2" s="1"/>
  <c r="AG4864" i="2"/>
  <c r="AH4864" i="2"/>
  <c r="AI4864" i="2"/>
  <c r="AJ4864" i="2"/>
  <c r="AF4865" i="2"/>
  <c r="AK4865" i="2" s="1"/>
  <c r="AG4865" i="2"/>
  <c r="AH4865" i="2"/>
  <c r="AI4865" i="2"/>
  <c r="AL4865" i="2" s="1"/>
  <c r="AJ4865" i="2"/>
  <c r="AF4866" i="2"/>
  <c r="AK4866" i="2"/>
  <c r="AL4866" i="2" s="1"/>
  <c r="AG4866" i="2"/>
  <c r="AH4866" i="2"/>
  <c r="AI4866" i="2"/>
  <c r="AJ4866" i="2"/>
  <c r="AF4867" i="2"/>
  <c r="AK4867" i="2" s="1"/>
  <c r="AG4867" i="2"/>
  <c r="AH4867" i="2"/>
  <c r="AI4867" i="2"/>
  <c r="AJ4867" i="2"/>
  <c r="AF4868" i="2"/>
  <c r="AK4868" i="2"/>
  <c r="AG4868" i="2"/>
  <c r="AL4868" i="2"/>
  <c r="AH4868" i="2"/>
  <c r="AI4868" i="2"/>
  <c r="AJ4868" i="2"/>
  <c r="AF4869" i="2"/>
  <c r="AK4869" i="2" s="1"/>
  <c r="AG4869" i="2"/>
  <c r="AH4869" i="2"/>
  <c r="AI4869" i="2"/>
  <c r="AJ4869" i="2"/>
  <c r="AF4870" i="2"/>
  <c r="AK4870" i="2" s="1"/>
  <c r="AG4870" i="2"/>
  <c r="AH4870" i="2"/>
  <c r="AL4870" i="2"/>
  <c r="AI4870" i="2"/>
  <c r="AJ4870" i="2"/>
  <c r="AF4871" i="2"/>
  <c r="AK4871" i="2"/>
  <c r="AG4871" i="2"/>
  <c r="AH4871" i="2"/>
  <c r="AI4871" i="2"/>
  <c r="AJ4871" i="2"/>
  <c r="AF4872" i="2"/>
  <c r="AK4872" i="2"/>
  <c r="AL4872" i="2" s="1"/>
  <c r="AG4872" i="2"/>
  <c r="AH4872" i="2"/>
  <c r="AI4872" i="2"/>
  <c r="AJ4872" i="2"/>
  <c r="AF4873" i="2"/>
  <c r="AK4873" i="2"/>
  <c r="AG4873" i="2"/>
  <c r="AH4873" i="2"/>
  <c r="AI4873" i="2"/>
  <c r="AJ4873" i="2"/>
  <c r="AF4874" i="2"/>
  <c r="AK4874" i="2"/>
  <c r="AG4874" i="2"/>
  <c r="AH4874" i="2"/>
  <c r="AI4874" i="2"/>
  <c r="AJ4874" i="2"/>
  <c r="AF4875" i="2"/>
  <c r="AK4875" i="2"/>
  <c r="AG4875" i="2"/>
  <c r="AL4875" i="2" s="1"/>
  <c r="AH4875" i="2"/>
  <c r="AI4875" i="2"/>
  <c r="AJ4875" i="2"/>
  <c r="AF4876" i="2"/>
  <c r="AK4876" i="2" s="1"/>
  <c r="AG4876" i="2"/>
  <c r="AH4876" i="2"/>
  <c r="AI4876" i="2"/>
  <c r="AJ4876" i="2"/>
  <c r="AF4877" i="2"/>
  <c r="AG4877" i="2"/>
  <c r="AH4877" i="2"/>
  <c r="AI4877" i="2"/>
  <c r="AJ4877" i="2"/>
  <c r="AK4877" i="2"/>
  <c r="AF4878" i="2"/>
  <c r="AK4878" i="2"/>
  <c r="AG4878" i="2"/>
  <c r="AH4878" i="2"/>
  <c r="AI4878" i="2"/>
  <c r="AJ4878" i="2"/>
  <c r="AF4879" i="2"/>
  <c r="AK4879" i="2" s="1"/>
  <c r="AL4879" i="2" s="1"/>
  <c r="AG4879" i="2"/>
  <c r="AH4879" i="2"/>
  <c r="AI4879" i="2"/>
  <c r="AJ4879" i="2"/>
  <c r="AF4880" i="2"/>
  <c r="AK4880" i="2" s="1"/>
  <c r="AG4880" i="2"/>
  <c r="AH4880" i="2"/>
  <c r="AL4880" i="2" s="1"/>
  <c r="AI4880" i="2"/>
  <c r="AJ4880" i="2"/>
  <c r="AF4881" i="2"/>
  <c r="AK4881" i="2"/>
  <c r="AG4881" i="2"/>
  <c r="AL4881" i="2" s="1"/>
  <c r="AH4881" i="2"/>
  <c r="AI4881" i="2"/>
  <c r="AJ4881" i="2"/>
  <c r="AF4882" i="2"/>
  <c r="AK4882" i="2" s="1"/>
  <c r="AG4882" i="2"/>
  <c r="AH4882" i="2"/>
  <c r="AI4882" i="2"/>
  <c r="AJ4882" i="2"/>
  <c r="AL4882" i="2" s="1"/>
  <c r="AF4883" i="2"/>
  <c r="AK4883" i="2" s="1"/>
  <c r="AG4883" i="2"/>
  <c r="AL4883" i="2" s="1"/>
  <c r="AH4883" i="2"/>
  <c r="AI4883" i="2"/>
  <c r="AJ4883" i="2"/>
  <c r="AF4884" i="2"/>
  <c r="AK4884" i="2"/>
  <c r="AG4884" i="2"/>
  <c r="AH4884" i="2"/>
  <c r="AI4884" i="2"/>
  <c r="AJ4884" i="2"/>
  <c r="AF4885" i="2"/>
  <c r="AK4885" i="2"/>
  <c r="AG4885" i="2"/>
  <c r="AH4885" i="2"/>
  <c r="AI4885" i="2"/>
  <c r="AJ4885" i="2"/>
  <c r="AF4886" i="2"/>
  <c r="AK4886" i="2"/>
  <c r="AL4886" i="2" s="1"/>
  <c r="AG4886" i="2"/>
  <c r="AH4886" i="2"/>
  <c r="AI4886" i="2"/>
  <c r="AJ4886" i="2"/>
  <c r="AF4887" i="2"/>
  <c r="AK4887" i="2" s="1"/>
  <c r="AG4887" i="2"/>
  <c r="AH4887" i="2"/>
  <c r="AI4887" i="2"/>
  <c r="AJ4887" i="2"/>
  <c r="AF4888" i="2"/>
  <c r="AK4888" i="2"/>
  <c r="AG4888" i="2"/>
  <c r="AL4888" i="2"/>
  <c r="AH4888" i="2"/>
  <c r="AI4888" i="2"/>
  <c r="AJ4888" i="2"/>
  <c r="AF4889" i="2"/>
  <c r="AK4889" i="2" s="1"/>
  <c r="AG4889" i="2"/>
  <c r="AH4889" i="2"/>
  <c r="AL4889" i="2" s="1"/>
  <c r="AI4889" i="2"/>
  <c r="AJ4889" i="2"/>
  <c r="AF4890" i="2"/>
  <c r="AK4890" i="2" s="1"/>
  <c r="AL4890" i="2" s="1"/>
  <c r="AG4890" i="2"/>
  <c r="AH4890" i="2"/>
  <c r="AI4890" i="2"/>
  <c r="AJ4890" i="2"/>
  <c r="AF4891" i="2"/>
  <c r="AK4891" i="2" s="1"/>
  <c r="AG4891" i="2"/>
  <c r="AH4891" i="2"/>
  <c r="AL4891" i="2" s="1"/>
  <c r="AI4891" i="2"/>
  <c r="AJ4891" i="2"/>
  <c r="AF4892" i="2"/>
  <c r="AK4892" i="2" s="1"/>
  <c r="AG4892" i="2"/>
  <c r="AL4892" i="2" s="1"/>
  <c r="AH4892" i="2"/>
  <c r="AI4892" i="2"/>
  <c r="AJ4892" i="2"/>
  <c r="AF4893" i="2"/>
  <c r="AK4893" i="2" s="1"/>
  <c r="AG4893" i="2"/>
  <c r="AH4893" i="2"/>
  <c r="AI4893" i="2"/>
  <c r="AJ4893" i="2"/>
  <c r="AF4894" i="2"/>
  <c r="AK4894" i="2"/>
  <c r="AG4894" i="2"/>
  <c r="AH4894" i="2"/>
  <c r="AI4894" i="2"/>
  <c r="AJ4894" i="2"/>
  <c r="AF4895" i="2"/>
  <c r="AK4895" i="2"/>
  <c r="AG4895" i="2"/>
  <c r="AH4895" i="2"/>
  <c r="AL4895" i="2" s="1"/>
  <c r="AI4895" i="2"/>
  <c r="AJ4895" i="2"/>
  <c r="AF4896" i="2"/>
  <c r="AK4896" i="2"/>
  <c r="AG4896" i="2"/>
  <c r="AH4896" i="2"/>
  <c r="AI4896" i="2"/>
  <c r="AJ4896" i="2"/>
  <c r="AF4897" i="2"/>
  <c r="AK4897" i="2"/>
  <c r="AL4897" i="2" s="1"/>
  <c r="AG4897" i="2"/>
  <c r="AH4897" i="2"/>
  <c r="AI4897" i="2"/>
  <c r="AJ4897" i="2"/>
  <c r="AF4898" i="2"/>
  <c r="AK4898" i="2" s="1"/>
  <c r="AG4898" i="2"/>
  <c r="AH4898" i="2"/>
  <c r="AI4898" i="2"/>
  <c r="AJ4898" i="2"/>
  <c r="AF4899" i="2"/>
  <c r="AK4899" i="2" s="1"/>
  <c r="AG4899" i="2"/>
  <c r="AH4899" i="2"/>
  <c r="AI4899" i="2"/>
  <c r="AJ4899" i="2"/>
  <c r="AF4900" i="2"/>
  <c r="AK4900" i="2"/>
  <c r="AG4900" i="2"/>
  <c r="AH4900" i="2"/>
  <c r="AL4900" i="2" s="1"/>
  <c r="AI4900" i="2"/>
  <c r="AJ4900" i="2"/>
  <c r="AF4901" i="2"/>
  <c r="AK4901" i="2"/>
  <c r="AG4901" i="2"/>
  <c r="AH4901" i="2"/>
  <c r="AL4901" i="2" s="1"/>
  <c r="AI4901" i="2"/>
  <c r="AJ4901" i="2"/>
  <c r="AF4902" i="2"/>
  <c r="AK4902" i="2" s="1"/>
  <c r="AG4902" i="2"/>
  <c r="AH4902" i="2"/>
  <c r="AI4902" i="2"/>
  <c r="AJ4902" i="2"/>
  <c r="AF4903" i="2"/>
  <c r="AK4903" i="2"/>
  <c r="AL4903" i="2" s="1"/>
  <c r="AG4903" i="2"/>
  <c r="AH4903" i="2"/>
  <c r="AI4903" i="2"/>
  <c r="AJ4903" i="2"/>
  <c r="AF4904" i="2"/>
  <c r="AK4904" i="2"/>
  <c r="AG4904" i="2"/>
  <c r="AH4904" i="2"/>
  <c r="AI4904" i="2"/>
  <c r="AJ4904" i="2"/>
  <c r="AF4905" i="2"/>
  <c r="AK4905" i="2"/>
  <c r="AL4905" i="2" s="1"/>
  <c r="AG4905" i="2"/>
  <c r="AH4905" i="2"/>
  <c r="AI4905" i="2"/>
  <c r="AJ4905" i="2"/>
  <c r="AF4906" i="2"/>
  <c r="AK4906" i="2" s="1"/>
  <c r="AG4906" i="2"/>
  <c r="AH4906" i="2"/>
  <c r="AI4906" i="2"/>
  <c r="AL4906" i="2" s="1"/>
  <c r="AJ4906" i="2"/>
  <c r="AF4907" i="2"/>
  <c r="AK4907" i="2" s="1"/>
  <c r="AL4907" i="2" s="1"/>
  <c r="AG4907" i="2"/>
  <c r="AH4907" i="2"/>
  <c r="AI4907" i="2"/>
  <c r="AJ4907" i="2"/>
  <c r="AF4908" i="2"/>
  <c r="AK4908" i="2"/>
  <c r="AL4908" i="2" s="1"/>
  <c r="AG4908" i="2"/>
  <c r="AH4908" i="2"/>
  <c r="AI4908" i="2"/>
  <c r="AJ4908" i="2"/>
  <c r="AF4909" i="2"/>
  <c r="AK4909" i="2"/>
  <c r="AG4909" i="2"/>
  <c r="AH4909" i="2"/>
  <c r="AI4909" i="2"/>
  <c r="AJ4909" i="2"/>
  <c r="AF4910" i="2"/>
  <c r="AK4910" i="2"/>
  <c r="AG4910" i="2"/>
  <c r="AH4910" i="2"/>
  <c r="AI4910" i="2"/>
  <c r="AJ4910" i="2"/>
  <c r="AF4911" i="2"/>
  <c r="AK4911" i="2"/>
  <c r="AG4911" i="2"/>
  <c r="AH4911" i="2"/>
  <c r="AL4911" i="2" s="1"/>
  <c r="AI4911" i="2"/>
  <c r="AJ4911" i="2"/>
  <c r="AF4912" i="2"/>
  <c r="AK4912" i="2"/>
  <c r="AG4912" i="2"/>
  <c r="AH4912" i="2"/>
  <c r="AI4912" i="2"/>
  <c r="AJ4912" i="2"/>
  <c r="AF4913" i="2"/>
  <c r="AK4913" i="2"/>
  <c r="AL4913" i="2" s="1"/>
  <c r="AG4913" i="2"/>
  <c r="AH4913" i="2"/>
  <c r="AI4913" i="2"/>
  <c r="AJ4913" i="2"/>
  <c r="AF4914" i="2"/>
  <c r="AK4914" i="2" s="1"/>
  <c r="AG4914" i="2"/>
  <c r="AH4914" i="2"/>
  <c r="AI4914" i="2"/>
  <c r="AJ4914" i="2"/>
  <c r="AF4915" i="2"/>
  <c r="AK4915" i="2" s="1"/>
  <c r="AG4915" i="2"/>
  <c r="AL4915" i="2" s="1"/>
  <c r="AH4915" i="2"/>
  <c r="AI4915" i="2"/>
  <c r="AJ4915" i="2"/>
  <c r="AF4916" i="2"/>
  <c r="AK4916" i="2"/>
  <c r="AG4916" i="2"/>
  <c r="AH4916" i="2"/>
  <c r="AL4916" i="2" s="1"/>
  <c r="AI4916" i="2"/>
  <c r="AJ4916" i="2"/>
  <c r="AF4917" i="2"/>
  <c r="AK4917" i="2"/>
  <c r="AG4917" i="2"/>
  <c r="AH4917" i="2"/>
  <c r="AI4917" i="2"/>
  <c r="AJ4917" i="2"/>
  <c r="AF4918" i="2"/>
  <c r="AK4918" i="2"/>
  <c r="AL4918" i="2" s="1"/>
  <c r="AG4918" i="2"/>
  <c r="AH4918" i="2"/>
  <c r="AI4918" i="2"/>
  <c r="AJ4918" i="2"/>
  <c r="AF4919" i="2"/>
  <c r="AK4919" i="2" s="1"/>
  <c r="AG4919" i="2"/>
  <c r="AH4919" i="2"/>
  <c r="AL4919" i="2"/>
  <c r="AI4919" i="2"/>
  <c r="AJ4919" i="2"/>
  <c r="AF4920" i="2"/>
  <c r="AK4920" i="2"/>
  <c r="AG4920" i="2"/>
  <c r="AH4920" i="2"/>
  <c r="AI4920" i="2"/>
  <c r="AJ4920" i="2"/>
  <c r="AF4921" i="2"/>
  <c r="AK4921" i="2"/>
  <c r="AG4921" i="2"/>
  <c r="AH4921" i="2"/>
  <c r="AL4921" i="2" s="1"/>
  <c r="AI4921" i="2"/>
  <c r="AJ4921" i="2"/>
  <c r="AF4922" i="2"/>
  <c r="AK4922" i="2"/>
  <c r="AG4922" i="2"/>
  <c r="AH4922" i="2"/>
  <c r="AI4922" i="2"/>
  <c r="AJ4922" i="2"/>
  <c r="AF4923" i="2"/>
  <c r="AK4923" i="2" s="1"/>
  <c r="AL4923" i="2" s="1"/>
  <c r="AG4923" i="2"/>
  <c r="AH4923" i="2"/>
  <c r="AI4923" i="2"/>
  <c r="AJ4923" i="2"/>
  <c r="AF4924" i="2"/>
  <c r="AK4924" i="2"/>
  <c r="AG4924" i="2"/>
  <c r="AL4924" i="2" s="1"/>
  <c r="AH4924" i="2"/>
  <c r="AI4924" i="2"/>
  <c r="AJ4924" i="2"/>
  <c r="AF4925" i="2"/>
  <c r="AK4925" i="2"/>
  <c r="AG4925" i="2"/>
  <c r="AH4925" i="2"/>
  <c r="AI4925" i="2"/>
  <c r="AJ4925" i="2"/>
  <c r="AL4925" i="2" s="1"/>
  <c r="AF4926" i="2"/>
  <c r="AK4926" i="2"/>
  <c r="AG4926" i="2"/>
  <c r="AH4926" i="2"/>
  <c r="AI4926" i="2"/>
  <c r="AJ4926" i="2"/>
  <c r="AF4927" i="2"/>
  <c r="AK4927" i="2"/>
  <c r="AG4927" i="2"/>
  <c r="AL4927" i="2" s="1"/>
  <c r="AH4927" i="2"/>
  <c r="AI4927" i="2"/>
  <c r="AJ4927" i="2"/>
  <c r="AF4928" i="2"/>
  <c r="AK4928" i="2" s="1"/>
  <c r="AG4928" i="2"/>
  <c r="AL4928" i="2" s="1"/>
  <c r="AH4928" i="2"/>
  <c r="AI4928" i="2"/>
  <c r="AJ4928" i="2"/>
  <c r="AF4929" i="2"/>
  <c r="AK4929" i="2" s="1"/>
  <c r="AL4929" i="2" s="1"/>
  <c r="AG4929" i="2"/>
  <c r="AH4929" i="2"/>
  <c r="AI4929" i="2"/>
  <c r="AJ4929" i="2"/>
  <c r="AF4930" i="2"/>
  <c r="AK4930" i="2" s="1"/>
  <c r="AG4930" i="2"/>
  <c r="AH4930" i="2"/>
  <c r="AI4930" i="2"/>
  <c r="AL4930" i="2" s="1"/>
  <c r="AJ4930" i="2"/>
  <c r="AF4931" i="2"/>
  <c r="AK4931" i="2" s="1"/>
  <c r="AG4931" i="2"/>
  <c r="AH4931" i="2"/>
  <c r="AI4931" i="2"/>
  <c r="AJ4931" i="2"/>
  <c r="AF4932" i="2"/>
  <c r="AK4932" i="2"/>
  <c r="AG4932" i="2"/>
  <c r="AL4932" i="2" s="1"/>
  <c r="AH4932" i="2"/>
  <c r="AI4932" i="2"/>
  <c r="AJ4932" i="2"/>
  <c r="AF4933" i="2"/>
  <c r="AK4933" i="2"/>
  <c r="AG4933" i="2"/>
  <c r="AH4933" i="2"/>
  <c r="AI4933" i="2"/>
  <c r="AJ4933" i="2"/>
  <c r="AF4934" i="2"/>
  <c r="AK4934" i="2"/>
  <c r="AG4934" i="2"/>
  <c r="AH4934" i="2"/>
  <c r="AI4934" i="2"/>
  <c r="AL4934" i="2" s="1"/>
  <c r="AJ4934" i="2"/>
  <c r="AF4935" i="2"/>
  <c r="AK4935" i="2"/>
  <c r="AG4935" i="2"/>
  <c r="AH4935" i="2"/>
  <c r="AI4935" i="2"/>
  <c r="AJ4935" i="2"/>
  <c r="AF4936" i="2"/>
  <c r="AK4936" i="2" s="1"/>
  <c r="AL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J4940" i="2"/>
  <c r="AF4941" i="2"/>
  <c r="AK4941" i="2" s="1"/>
  <c r="AG4941" i="2"/>
  <c r="AH4941" i="2"/>
  <c r="AI4941" i="2"/>
  <c r="AJ4941" i="2"/>
  <c r="AF4942" i="2"/>
  <c r="AK4942" i="2" s="1"/>
  <c r="AG4942" i="2"/>
  <c r="AL4942" i="2" s="1"/>
  <c r="AH4942" i="2"/>
  <c r="AI4942" i="2"/>
  <c r="AJ4942" i="2"/>
  <c r="AF4943" i="2"/>
  <c r="AK4943" i="2"/>
  <c r="AG4943" i="2"/>
  <c r="AH4943" i="2"/>
  <c r="AL4943" i="2" s="1"/>
  <c r="AI4943" i="2"/>
  <c r="AJ4943" i="2"/>
  <c r="AF4944" i="2"/>
  <c r="AK4944" i="2"/>
  <c r="AG4944" i="2"/>
  <c r="AH4944" i="2"/>
  <c r="AI4944" i="2"/>
  <c r="AJ4944" i="2"/>
  <c r="AF4945" i="2"/>
  <c r="AK4945" i="2"/>
  <c r="AL4945" i="2" s="1"/>
  <c r="AG4945" i="2"/>
  <c r="AH4945" i="2"/>
  <c r="AI4945" i="2"/>
  <c r="AJ4945" i="2"/>
  <c r="AF4946" i="2"/>
  <c r="AK4946" i="2" s="1"/>
  <c r="AG4946" i="2"/>
  <c r="AH4946" i="2"/>
  <c r="AL4946" i="2" s="1"/>
  <c r="AI4946" i="2"/>
  <c r="AJ4946" i="2"/>
  <c r="AF4947" i="2"/>
  <c r="AK4947" i="2"/>
  <c r="AG4947" i="2"/>
  <c r="AH4947" i="2"/>
  <c r="AL4947" i="2" s="1"/>
  <c r="AI4947" i="2"/>
  <c r="AJ4947" i="2"/>
  <c r="AF4948" i="2"/>
  <c r="AK4948" i="2" s="1"/>
  <c r="AG4948" i="2"/>
  <c r="AH4948" i="2"/>
  <c r="AL4948" i="2" s="1"/>
  <c r="AI4948" i="2"/>
  <c r="AJ4948" i="2"/>
  <c r="AF4949" i="2"/>
  <c r="AK4949" i="2"/>
  <c r="AG4949" i="2"/>
  <c r="AH4949" i="2"/>
  <c r="AI4949" i="2"/>
  <c r="AJ4949" i="2"/>
  <c r="AF4950" i="2"/>
  <c r="AK4950" i="2"/>
  <c r="AL4950" i="2" s="1"/>
  <c r="AG4950" i="2"/>
  <c r="AH4950" i="2"/>
  <c r="AI4950" i="2"/>
  <c r="AJ4950" i="2"/>
  <c r="AF4951" i="2"/>
  <c r="AK4951" i="2"/>
  <c r="AG4951" i="2"/>
  <c r="AH4951" i="2"/>
  <c r="AI4951" i="2"/>
  <c r="AL4951" i="2" s="1"/>
  <c r="AJ4951" i="2"/>
  <c r="AF4952" i="2"/>
  <c r="AG4952" i="2"/>
  <c r="AH4952" i="2"/>
  <c r="AI4952" i="2"/>
  <c r="AJ4952" i="2"/>
  <c r="AK4952" i="2"/>
  <c r="AF4953" i="2"/>
  <c r="AK4953" i="2"/>
  <c r="AG4953" i="2"/>
  <c r="AH4953" i="2"/>
  <c r="AI4953" i="2"/>
  <c r="AJ4953" i="2"/>
  <c r="AF4954" i="2"/>
  <c r="AK4954" i="2" s="1"/>
  <c r="AL4954" i="2" s="1"/>
  <c r="AG4954" i="2"/>
  <c r="AH4954" i="2"/>
  <c r="AI4954" i="2"/>
  <c r="AJ4954" i="2"/>
  <c r="AF4955" i="2"/>
  <c r="AK4955" i="2"/>
  <c r="AG4955" i="2"/>
  <c r="AH4955" i="2"/>
  <c r="AI4955" i="2"/>
  <c r="AJ4955" i="2"/>
  <c r="AF4956" i="2"/>
  <c r="AK4956" i="2" s="1"/>
  <c r="AG4956" i="2"/>
  <c r="AL4956" i="2" s="1"/>
  <c r="AH4956" i="2"/>
  <c r="AI4956" i="2"/>
  <c r="AJ4956" i="2"/>
  <c r="AF4957" i="2"/>
  <c r="AK4957" i="2" s="1"/>
  <c r="AG4957" i="2"/>
  <c r="AH4957" i="2"/>
  <c r="AI4957" i="2"/>
  <c r="AJ4957" i="2"/>
  <c r="AF4958" i="2"/>
  <c r="AK4958" i="2"/>
  <c r="AL4958" i="2" s="1"/>
  <c r="AG4958" i="2"/>
  <c r="AH4958" i="2"/>
  <c r="AI4958" i="2"/>
  <c r="AJ4958" i="2"/>
  <c r="AF4959" i="2"/>
  <c r="AK4959" i="2"/>
  <c r="AG4959" i="2"/>
  <c r="AH4959" i="2"/>
  <c r="AL4959" i="2" s="1"/>
  <c r="AI4959" i="2"/>
  <c r="AJ4959" i="2"/>
  <c r="AF4960" i="2"/>
  <c r="AK4960" i="2"/>
  <c r="AG4960" i="2"/>
  <c r="AH4960" i="2"/>
  <c r="AI4960" i="2"/>
  <c r="AJ4960" i="2"/>
  <c r="AF4961" i="2"/>
  <c r="AK4961" i="2"/>
  <c r="AG4961" i="2"/>
  <c r="AH4961" i="2"/>
  <c r="AI4961" i="2"/>
  <c r="AJ4961" i="2"/>
  <c r="AF4962" i="2"/>
  <c r="AK4962" i="2"/>
  <c r="AG4962" i="2"/>
  <c r="AH4962" i="2"/>
  <c r="AI4962" i="2"/>
  <c r="AJ4962" i="2"/>
  <c r="AF4963" i="2"/>
  <c r="AK4963" i="2"/>
  <c r="AG4963" i="2"/>
  <c r="AH4963" i="2"/>
  <c r="AI4963" i="2"/>
  <c r="AL4963" i="2" s="1"/>
  <c r="AJ4963" i="2"/>
  <c r="AF4964" i="2"/>
  <c r="AK4964" i="2"/>
  <c r="AG4964" i="2"/>
  <c r="AH4964" i="2"/>
  <c r="AI4964" i="2"/>
  <c r="AJ4964" i="2"/>
  <c r="AF4965" i="2"/>
  <c r="AK4965" i="2" s="1"/>
  <c r="AG4965" i="2"/>
  <c r="AH4965" i="2"/>
  <c r="AI4965" i="2"/>
  <c r="AJ4965" i="2"/>
  <c r="AL4965" i="2"/>
  <c r="AF4966" i="2"/>
  <c r="AK4966" i="2"/>
  <c r="AG4966" i="2"/>
  <c r="AH4966" i="2"/>
  <c r="AI4966" i="2"/>
  <c r="AJ4966" i="2"/>
  <c r="AF4967" i="2"/>
  <c r="AK4967" i="2" s="1"/>
  <c r="AG4967" i="2"/>
  <c r="AL4967" i="2" s="1"/>
  <c r="AH4967" i="2"/>
  <c r="AI4967" i="2"/>
  <c r="AJ4967" i="2"/>
  <c r="AF4968" i="2"/>
  <c r="AK4968" i="2"/>
  <c r="AG4968" i="2"/>
  <c r="AL4968" i="2"/>
  <c r="AH4968" i="2"/>
  <c r="AI4968" i="2"/>
  <c r="AJ4968" i="2"/>
  <c r="AF4969" i="2"/>
  <c r="AK4969" i="2" s="1"/>
  <c r="AG4969" i="2"/>
  <c r="AL4969" i="2" s="1"/>
  <c r="AH4969" i="2"/>
  <c r="AI4969" i="2"/>
  <c r="AJ4969" i="2"/>
  <c r="AF4970" i="2"/>
  <c r="AK4970" i="2" s="1"/>
  <c r="AG4970" i="2"/>
  <c r="AH4970" i="2"/>
  <c r="AI4970" i="2"/>
  <c r="AJ4970" i="2"/>
  <c r="AF4971" i="2"/>
  <c r="AK4971" i="2" s="1"/>
  <c r="AG4971" i="2"/>
  <c r="AH4971" i="2"/>
  <c r="AI4971" i="2"/>
  <c r="AJ4971" i="2"/>
  <c r="AF4972" i="2"/>
  <c r="AK4972" i="2"/>
  <c r="AL4972" i="2"/>
  <c r="AG4972" i="2"/>
  <c r="AH4972" i="2"/>
  <c r="AI4972" i="2"/>
  <c r="AJ4972" i="2"/>
  <c r="AF4973" i="2"/>
  <c r="AK4973" i="2"/>
  <c r="AG4973" i="2"/>
  <c r="AH4973" i="2"/>
  <c r="AI4973" i="2"/>
  <c r="AJ4973" i="2"/>
  <c r="AL4973" i="2" s="1"/>
  <c r="AF4974" i="2"/>
  <c r="AK4974" i="2"/>
  <c r="AL4974" i="2" s="1"/>
  <c r="AG4974" i="2"/>
  <c r="AH4974" i="2"/>
  <c r="AI4974" i="2"/>
  <c r="AJ4974" i="2"/>
  <c r="AF4975" i="2"/>
  <c r="AK4975" i="2"/>
  <c r="AG4975" i="2"/>
  <c r="AL4975" i="2"/>
  <c r="AH4975" i="2"/>
  <c r="AI4975" i="2"/>
  <c r="AJ4975" i="2"/>
  <c r="AF4976" i="2"/>
  <c r="AK4976" i="2" s="1"/>
  <c r="AG4976" i="2"/>
  <c r="AH4976" i="2"/>
  <c r="AI4976" i="2"/>
  <c r="AJ4976" i="2"/>
  <c r="AF4977" i="2"/>
  <c r="AK4977" i="2"/>
  <c r="AL4977" i="2" s="1"/>
  <c r="AG4977" i="2"/>
  <c r="AH4977" i="2"/>
  <c r="AI4977" i="2"/>
  <c r="AJ4977" i="2"/>
  <c r="AF4978" i="2"/>
  <c r="AK4978" i="2" s="1"/>
  <c r="AG4978" i="2"/>
  <c r="AH4978" i="2"/>
  <c r="AI4978" i="2"/>
  <c r="AJ4978" i="2"/>
  <c r="AF4979" i="2"/>
  <c r="AK4979" i="2" s="1"/>
  <c r="AG4979" i="2"/>
  <c r="AH4979" i="2"/>
  <c r="AI4979" i="2"/>
  <c r="AJ4979" i="2"/>
  <c r="AF4980" i="2"/>
  <c r="AK4980" i="2"/>
  <c r="AG4980" i="2"/>
  <c r="AL4980" i="2" s="1"/>
  <c r="AH4980" i="2"/>
  <c r="AI4980" i="2"/>
  <c r="AJ4980" i="2"/>
  <c r="AF4981" i="2"/>
  <c r="AK4981" i="2" s="1"/>
  <c r="AL4981" i="2" s="1"/>
  <c r="AG4981" i="2"/>
  <c r="AH4981" i="2"/>
  <c r="AI4981" i="2"/>
  <c r="AJ4981" i="2"/>
  <c r="AF4982" i="2"/>
  <c r="AK4982" i="2" s="1"/>
  <c r="AL4982" i="2" s="1"/>
  <c r="AG4982" i="2"/>
  <c r="AH4982" i="2"/>
  <c r="AI4982" i="2"/>
  <c r="AJ4982" i="2"/>
  <c r="AF4983" i="2"/>
  <c r="AK4983" i="2"/>
  <c r="AG4983" i="2"/>
  <c r="AL4983" i="2"/>
  <c r="AH4983" i="2"/>
  <c r="AI4983" i="2"/>
  <c r="AJ4983" i="2"/>
  <c r="AF4984" i="2"/>
  <c r="AK4984" i="2" s="1"/>
  <c r="AG4984" i="2"/>
  <c r="AH4984" i="2"/>
  <c r="AI4984" i="2"/>
  <c r="AJ4984" i="2"/>
  <c r="AF4985" i="2"/>
  <c r="AK4985" i="2"/>
  <c r="AL4985" i="2" s="1"/>
  <c r="AG4985" i="2"/>
  <c r="AH4985" i="2"/>
  <c r="AI4985" i="2"/>
  <c r="AJ4985" i="2"/>
  <c r="AF4986" i="2"/>
  <c r="AK4986" i="2"/>
  <c r="AG4986" i="2"/>
  <c r="AH4986" i="2"/>
  <c r="AL4986" i="2" s="1"/>
  <c r="AI4986" i="2"/>
  <c r="AJ4986" i="2"/>
  <c r="AF4987" i="2"/>
  <c r="AK4987" i="2" s="1"/>
  <c r="AL4987" i="2" s="1"/>
  <c r="AG4987" i="2"/>
  <c r="AH4987" i="2"/>
  <c r="AI4987" i="2"/>
  <c r="AJ4987" i="2"/>
  <c r="AF4988" i="2"/>
  <c r="AK4988" i="2"/>
  <c r="AG4988" i="2"/>
  <c r="AH4988" i="2"/>
  <c r="AL4988" i="2" s="1"/>
  <c r="AI4988" i="2"/>
  <c r="AJ4988" i="2"/>
  <c r="AF4989" i="2"/>
  <c r="AK4989" i="2"/>
  <c r="AG4989" i="2"/>
  <c r="AH4989" i="2"/>
  <c r="AI4989" i="2"/>
  <c r="AJ4989" i="2"/>
  <c r="AF4990" i="2"/>
  <c r="AK4990" i="2" s="1"/>
  <c r="AG4990" i="2"/>
  <c r="AH4990" i="2"/>
  <c r="AI4990" i="2"/>
  <c r="AJ4990" i="2"/>
  <c r="AF4991" i="2"/>
  <c r="AK4991" i="2"/>
  <c r="AG4991" i="2"/>
  <c r="AH4991" i="2"/>
  <c r="AI4991" i="2"/>
  <c r="AJ4991" i="2"/>
  <c r="AF4992" i="2"/>
  <c r="AK4992" i="2"/>
  <c r="AG4992" i="2"/>
  <c r="AH4992" i="2"/>
  <c r="AL4992" i="2" s="1"/>
  <c r="AI4992" i="2"/>
  <c r="AJ4992" i="2"/>
  <c r="AF4993" i="2"/>
  <c r="AK4993" i="2"/>
  <c r="AG4993" i="2"/>
  <c r="AH4993" i="2"/>
  <c r="AL4993" i="2" s="1"/>
  <c r="AI4993" i="2"/>
  <c r="AJ4993" i="2"/>
  <c r="AF4994" i="2"/>
  <c r="AK4994" i="2" s="1"/>
  <c r="AG4994" i="2"/>
  <c r="AH4994" i="2"/>
  <c r="AI4994" i="2"/>
  <c r="AJ4994" i="2"/>
  <c r="AF4995" i="2"/>
  <c r="AK4995" i="2" s="1"/>
  <c r="AG4995" i="2"/>
  <c r="AL4995" i="2" s="1"/>
  <c r="AH4995" i="2"/>
  <c r="AI4995" i="2"/>
  <c r="AJ4995" i="2"/>
  <c r="AF4996" i="2"/>
  <c r="AK4996" i="2"/>
  <c r="AG4996" i="2"/>
  <c r="AL4996" i="2" s="1"/>
  <c r="AH4996" i="2"/>
  <c r="AI4996" i="2"/>
  <c r="AJ4996" i="2"/>
  <c r="AF4997" i="2"/>
  <c r="AK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426" i="2"/>
  <c r="AL3653" i="2"/>
  <c r="AL2072" i="2"/>
  <c r="AL3773" i="2"/>
  <c r="AL3602" i="2"/>
  <c r="AL3187" i="2"/>
  <c r="AL3696" i="2"/>
  <c r="AL3664" i="2"/>
  <c r="AL3651" i="2"/>
  <c r="AL3632" i="2"/>
  <c r="AL3600" i="2"/>
  <c r="AL3587" i="2"/>
  <c r="AL3536" i="2"/>
  <c r="AL3512" i="2"/>
  <c r="AL3459" i="2"/>
  <c r="AL3448" i="2"/>
  <c r="AL3395" i="2"/>
  <c r="AL3384" i="2"/>
  <c r="AL3331" i="2"/>
  <c r="AL3267" i="2"/>
  <c r="AL3256" i="2"/>
  <c r="AL3203" i="2"/>
  <c r="AL3192" i="2"/>
  <c r="AL21" i="2"/>
  <c r="AM21" i="2" s="1"/>
  <c r="AL3671" i="2"/>
  <c r="AL3639" i="2"/>
  <c r="AL3607" i="2"/>
  <c r="AL3575" i="2"/>
  <c r="AL3543" i="2"/>
  <c r="AL3495" i="2"/>
  <c r="AL3483" i="2"/>
  <c r="AL3472" i="2"/>
  <c r="AL3466"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51" i="2"/>
  <c r="AL2927" i="2"/>
  <c r="AL2903" i="2"/>
  <c r="AL2895" i="2"/>
  <c r="AL2871" i="2"/>
  <c r="AL2863" i="2"/>
  <c r="AL2855" i="2"/>
  <c r="AL3688" i="2"/>
  <c r="AL3682" i="2"/>
  <c r="AL3675" i="2"/>
  <c r="AL3669" i="2"/>
  <c r="AL3656" i="2"/>
  <c r="AL3650" i="2"/>
  <c r="AL3643" i="2"/>
  <c r="AL3637" i="2"/>
  <c r="AL3624" i="2"/>
  <c r="AL3618" i="2"/>
  <c r="AL3605" i="2"/>
  <c r="AL3592" i="2"/>
  <c r="AL3586"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17" i="2"/>
  <c r="AL3109" i="2"/>
  <c r="AL3093" i="2"/>
  <c r="AL3085" i="2"/>
  <c r="AL3077" i="2"/>
  <c r="AL3069" i="2"/>
  <c r="AL3061" i="2"/>
  <c r="AL3053" i="2"/>
  <c r="AL3045" i="2"/>
  <c r="AL3037" i="2"/>
  <c r="AL3029" i="2"/>
  <c r="AL3021" i="2"/>
  <c r="AL3013" i="2"/>
  <c r="AL2997" i="2"/>
  <c r="AL2989"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280" i="2"/>
  <c r="AL272" i="2"/>
  <c r="AL264" i="2"/>
  <c r="AL256" i="2"/>
  <c r="AL248" i="2"/>
  <c r="AL240" i="2"/>
  <c r="AL233" i="2"/>
  <c r="AL226" i="2"/>
  <c r="AL143" i="2"/>
  <c r="AM143" i="2" s="1"/>
  <c r="AL107" i="2"/>
  <c r="AM107" i="2" s="1"/>
  <c r="AL103" i="2"/>
  <c r="AM103" i="2" s="1"/>
  <c r="AL99" i="2"/>
  <c r="AM99" i="2" s="1"/>
  <c r="AL132" i="2"/>
  <c r="AM132" i="2" s="1"/>
  <c r="AL128" i="2"/>
  <c r="AM128" i="2" s="1"/>
  <c r="AL124" i="2"/>
  <c r="AM124" i="2" s="1"/>
  <c r="AL116" i="2"/>
  <c r="AM116" i="2" s="1"/>
  <c r="AL92" i="2"/>
  <c r="AM92" i="2" s="1"/>
  <c r="AL82" i="2"/>
  <c r="AM82" i="2" s="1"/>
  <c r="AL157" i="2"/>
  <c r="AM157" i="2" s="1"/>
  <c r="AL129" i="2"/>
  <c r="AM129" i="2" s="1"/>
  <c r="AL121" i="2"/>
  <c r="AM121" i="2" s="1"/>
  <c r="AL83" i="2"/>
  <c r="AM83" i="2" s="1"/>
  <c r="AL134" i="2"/>
  <c r="AL126" i="2"/>
  <c r="AM126" i="2" s="1"/>
  <c r="AL122" i="2"/>
  <c r="AM122" i="2" s="1"/>
  <c r="AL118" i="2"/>
  <c r="AM118" i="2" s="1"/>
  <c r="AL62" i="2"/>
  <c r="AM62" i="2" s="1"/>
  <c r="AL71" i="2"/>
  <c r="AM71" i="2" s="1"/>
  <c r="AL63" i="2"/>
  <c r="AM63" i="2" s="1"/>
  <c r="AL31" i="2"/>
  <c r="AM31" i="2" s="1"/>
  <c r="AL49" i="2"/>
  <c r="AM49" i="2" s="1"/>
  <c r="AL51" i="2"/>
  <c r="AM51" i="2" s="1"/>
  <c r="AL43" i="2"/>
  <c r="AM43" i="2" s="1"/>
  <c r="AL35" i="2"/>
  <c r="AM35" i="2" s="1"/>
  <c r="AL15" i="2"/>
  <c r="AM15" i="2" s="1"/>
  <c r="AL4551" i="2"/>
  <c r="AL4512" i="2"/>
  <c r="AL4541" i="2"/>
  <c r="AL4509" i="2"/>
  <c r="AL4553" i="2"/>
  <c r="AL4329" i="2"/>
  <c r="AL4268" i="2"/>
  <c r="AL4200" i="2"/>
  <c r="AL4149" i="2"/>
  <c r="AL4136" i="2"/>
  <c r="AL4062" i="2"/>
  <c r="AL4387" i="2"/>
  <c r="AL4337" i="2"/>
  <c r="AL4333" i="2"/>
  <c r="AL4368" i="2"/>
  <c r="AL4331" i="2"/>
  <c r="AL4308" i="2"/>
  <c r="AL4291" i="2"/>
  <c r="AL4263" i="2"/>
  <c r="AL4239" i="2"/>
  <c r="AL4197" i="2"/>
  <c r="AL4184" i="2"/>
  <c r="AL4175" i="2"/>
  <c r="AL4140" i="2"/>
  <c r="AL4120" i="2"/>
  <c r="AL4107" i="2"/>
  <c r="AL4076" i="2"/>
  <c r="AL4064" i="2"/>
  <c r="AL4059" i="2"/>
  <c r="AL4032" i="2"/>
  <c r="AL4027" i="2"/>
  <c r="AL4012" i="2"/>
  <c r="AL3980" i="2"/>
  <c r="AL4201" i="2"/>
  <c r="AL4144" i="2"/>
  <c r="AL4137" i="2"/>
  <c r="AL4080" i="2"/>
  <c r="AL4067" i="2"/>
  <c r="AL4060" i="2"/>
  <c r="AL4049" i="2"/>
  <c r="AL4028" i="2"/>
  <c r="AL4392" i="2"/>
  <c r="AL4357" i="2"/>
  <c r="AL4316" i="2"/>
  <c r="AL4299" i="2"/>
  <c r="AL4284" i="2"/>
  <c r="AL4245" i="2"/>
  <c r="AL4232" i="2"/>
  <c r="AL4188" i="2"/>
  <c r="AL4181" i="2"/>
  <c r="AL4159" i="2"/>
  <c r="AL4124" i="2"/>
  <c r="AL4104" i="2"/>
  <c r="AL4016" i="2"/>
  <c r="AL3984" i="2"/>
  <c r="AL3968" i="2"/>
  <c r="AL4355" i="2"/>
  <c r="AL4247" i="2"/>
  <c r="AL4243" i="2"/>
  <c r="AL4185" i="2"/>
  <c r="AL4179" i="2"/>
  <c r="AL4121" i="2"/>
  <c r="AL4119" i="2"/>
  <c r="AL4115" i="2"/>
  <c r="AL4040" i="2"/>
  <c r="AL4469" i="2"/>
  <c r="AL4401" i="2"/>
  <c r="AL4363" i="2"/>
  <c r="AL4336" i="2"/>
  <c r="AL4313" i="2"/>
  <c r="AL4275" i="2"/>
  <c r="AL4229" i="2"/>
  <c r="AL4209" i="2"/>
  <c r="AL4203" i="2"/>
  <c r="AL4172" i="2"/>
  <c r="AL4152" i="2"/>
  <c r="AL4139" i="2"/>
  <c r="AL4108" i="2"/>
  <c r="AL4088" i="2"/>
  <c r="AL4048" i="2"/>
  <c r="AL4020" i="2"/>
  <c r="AL4004" i="2"/>
  <c r="AL3988" i="2"/>
  <c r="AL3972"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28" i="2"/>
  <c r="AL3781" i="2"/>
  <c r="AL3731"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8" i="2"/>
  <c r="AL4014" i="2"/>
  <c r="AL4010" i="2"/>
  <c r="AL4006" i="2"/>
  <c r="AL4002" i="2"/>
  <c r="AL3998" i="2"/>
  <c r="AL3994" i="2"/>
  <c r="AL3990" i="2"/>
  <c r="AL3982" i="2"/>
  <c r="AL3978" i="2"/>
  <c r="AL3974" i="2"/>
  <c r="AL3970" i="2"/>
  <c r="AL3966" i="2"/>
  <c r="AL3929" i="2"/>
  <c r="AL3906" i="2"/>
  <c r="AL3902" i="2"/>
  <c r="AL3878"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M60" i="2" s="1"/>
  <c r="AL5025" i="2"/>
  <c r="AL5114" i="2"/>
  <c r="AL5220" i="2"/>
  <c r="AL257" i="2"/>
  <c r="AL234" i="2"/>
  <c r="AL227" i="2"/>
  <c r="AL199" i="2"/>
  <c r="AL5204" i="2"/>
  <c r="AL5235" i="2"/>
  <c r="AL5251" i="2"/>
  <c r="AL5283" i="2"/>
  <c r="AL232" i="2"/>
  <c r="AL207" i="2"/>
  <c r="AL200" i="2"/>
  <c r="AL90" i="2"/>
  <c r="AM90" i="2" s="1"/>
  <c r="AL5017" i="2"/>
  <c r="AL5037" i="2"/>
  <c r="AL5074" i="2"/>
  <c r="AL5150" i="2"/>
  <c r="AL5157" i="2"/>
  <c r="AL5160" i="2"/>
  <c r="AL5165" i="2"/>
  <c r="AL5168" i="2"/>
  <c r="AL5182" i="2"/>
  <c r="AL5189" i="2"/>
  <c r="AL5192" i="2"/>
  <c r="AL5197" i="2"/>
  <c r="AL5222" i="2"/>
  <c r="AL5058" i="2"/>
  <c r="AL197" i="2"/>
  <c r="AL190" i="2"/>
  <c r="AL40" i="2"/>
  <c r="AM40" i="2" s="1"/>
  <c r="AL5070" i="2"/>
  <c r="AL5130" i="2"/>
  <c r="AL241" i="2"/>
  <c r="AL187" i="2"/>
  <c r="AL160" i="2"/>
  <c r="AM160" i="2" s="1"/>
  <c r="AL5009" i="2"/>
  <c r="AL5029" i="2"/>
  <c r="AL5123" i="2"/>
  <c r="AL222" i="2"/>
  <c r="AL208" i="2"/>
  <c r="AL5005" i="2"/>
  <c r="AL5049" i="2"/>
  <c r="AL5066" i="2"/>
  <c r="AL5132" i="2"/>
  <c r="AL5158" i="2"/>
  <c r="AL5190" i="2"/>
  <c r="AL4912" i="2"/>
  <c r="AL4885" i="2"/>
  <c r="AL4759" i="2"/>
  <c r="AL4748" i="2"/>
  <c r="AL4711" i="2"/>
  <c r="AL4829" i="2"/>
  <c r="AL4720" i="2"/>
  <c r="AL4933" i="2"/>
  <c r="AL4697" i="2"/>
  <c r="AL4447" i="2"/>
  <c r="AL4272" i="2"/>
  <c r="AL4215" i="2"/>
  <c r="AL4169" i="2"/>
  <c r="AL4163" i="2"/>
  <c r="AL4157" i="2"/>
  <c r="AL4109" i="2"/>
  <c r="AL4086" i="2"/>
  <c r="AL4051" i="2"/>
  <c r="AL3897" i="2"/>
  <c r="AL3803" i="2"/>
  <c r="AL3776" i="2"/>
  <c r="AL4605" i="2"/>
  <c r="AL4573" i="2"/>
  <c r="AL4151" i="2"/>
  <c r="AL3862" i="2"/>
  <c r="AL4126" i="2"/>
  <c r="AL4455" i="2"/>
  <c r="AL4335" i="2"/>
  <c r="AL4326" i="2"/>
  <c r="AL4658" i="2"/>
  <c r="AL4436" i="2"/>
  <c r="AL4226" i="2"/>
  <c r="AL4130" i="2"/>
  <c r="AL3812" i="2"/>
  <c r="AL3777" i="2"/>
  <c r="AL4378" i="2"/>
  <c r="AL4314" i="2"/>
  <c r="AL4118" i="2"/>
  <c r="AL4077" i="2"/>
  <c r="AL3973" i="2"/>
  <c r="AL4282" i="2"/>
  <c r="AL4267" i="2"/>
  <c r="AL4242" i="2"/>
  <c r="AL3940" i="2"/>
  <c r="AL3844" i="2"/>
  <c r="AL4300" i="2"/>
  <c r="AL4287" i="2"/>
  <c r="AL4255" i="2"/>
  <c r="AL425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307" i="2"/>
  <c r="AL298" i="2"/>
  <c r="AL279" i="2"/>
  <c r="AL166" i="2"/>
  <c r="AM166" i="2" s="1"/>
  <c r="AL5013" i="2"/>
  <c r="AL5198" i="2"/>
  <c r="AL5267" i="2"/>
  <c r="AL221" i="2"/>
  <c r="AL216" i="2"/>
  <c r="AL68" i="2"/>
  <c r="AM68" i="2" s="1"/>
  <c r="AL64" i="2"/>
  <c r="AM64" i="2" s="1"/>
  <c r="AL5243" i="2"/>
  <c r="AL173" i="2"/>
  <c r="AL5018" i="2"/>
  <c r="AL5021" i="2"/>
  <c r="AL5223" i="2"/>
  <c r="AL4489" i="2"/>
  <c r="AL4324" i="2"/>
  <c r="AL4225" i="2"/>
  <c r="AL4141" i="2"/>
  <c r="AL4966" i="2"/>
  <c r="AL4599" i="2"/>
  <c r="AL4459" i="2"/>
  <c r="AL4433" i="2"/>
  <c r="AL4303" i="2"/>
  <c r="AL3843" i="2"/>
  <c r="AL4654" i="2"/>
  <c r="AL4501" i="2"/>
  <c r="AL4466" i="2"/>
  <c r="AL4960" i="2"/>
  <c r="AL4949" i="2"/>
  <c r="AL4756" i="2"/>
  <c r="AL4738" i="2"/>
  <c r="AL4734" i="2"/>
  <c r="AL4724" i="2"/>
  <c r="AL4494" i="2"/>
  <c r="AL4478" i="2"/>
  <c r="AL4454" i="2"/>
  <c r="AL4431" i="2"/>
  <c r="AL4345" i="2"/>
  <c r="AL4338" i="2"/>
  <c r="AL4007" i="2"/>
  <c r="AL3986" i="2"/>
  <c r="AL4877" i="2"/>
  <c r="AL4684" i="2"/>
  <c r="AL4633" i="2"/>
  <c r="AL4571" i="2"/>
  <c r="AL4549" i="2"/>
  <c r="AL4461" i="2"/>
  <c r="AL4439" i="2"/>
  <c r="AL4262" i="2"/>
  <c r="AL4142" i="2"/>
  <c r="AL3824" i="2"/>
  <c r="AL3659" i="2"/>
  <c r="AL4386" i="2"/>
  <c r="AL4359" i="2"/>
  <c r="AL4241" i="2"/>
  <c r="AL4094" i="2"/>
  <c r="AL4017" i="2"/>
  <c r="AL3855" i="2"/>
  <c r="AL3808" i="2"/>
  <c r="AL4428" i="2"/>
  <c r="AL4029" i="2"/>
  <c r="AL3736" i="2"/>
  <c r="AL4091" i="2"/>
  <c r="AL4044" i="2"/>
  <c r="AL4033" i="2"/>
  <c r="AL3991" i="2"/>
  <c r="AL3904" i="2"/>
  <c r="AL3869" i="2"/>
  <c r="AL4327" i="2"/>
  <c r="AL4202" i="2"/>
  <c r="AL4106" i="2"/>
  <c r="AL4098" i="2"/>
  <c r="AL3944" i="2"/>
  <c r="AL4410" i="2"/>
  <c r="AL4348" i="2"/>
  <c r="AL4344" i="2"/>
  <c r="AL4317" i="2"/>
  <c r="AL4206" i="2"/>
  <c r="AL4189" i="2"/>
  <c r="AL4150" i="2"/>
  <c r="AL4127" i="2"/>
  <c r="AL4003" i="2"/>
  <c r="AL3967" i="2"/>
  <c r="AL3934"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057" i="2"/>
  <c r="AL3951" i="2"/>
  <c r="AL3931" i="2"/>
  <c r="AL3911" i="2"/>
  <c r="AL3889" i="2"/>
  <c r="AL3807" i="2"/>
  <c r="AL3793" i="2"/>
  <c r="AL3748" i="2"/>
  <c r="AL3745" i="2"/>
  <c r="AL3703" i="2"/>
  <c r="AL3690" i="2"/>
  <c r="AL3578" i="2"/>
  <c r="AL3186"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5045" i="2"/>
  <c r="AL5094" i="2"/>
  <c r="AL557" i="2"/>
  <c r="AL269" i="2"/>
  <c r="AL203" i="2"/>
  <c r="AL331" i="2"/>
  <c r="AL308" i="2"/>
  <c r="AL371" i="2"/>
  <c r="AL299" i="2"/>
  <c r="AL282" i="2"/>
  <c r="AL306" i="2"/>
  <c r="AL289" i="2"/>
  <c r="AL185" i="2"/>
  <c r="AL5042" i="2"/>
  <c r="AL5133" i="2"/>
  <c r="AL5275" i="2"/>
  <c r="AL5038" i="2"/>
  <c r="AL5141" i="2"/>
  <c r="AL5176" i="2"/>
  <c r="AL5144" i="2"/>
  <c r="AL5239" i="2"/>
  <c r="AL5271" i="2"/>
  <c r="AL193" i="2"/>
  <c r="AL186" i="2"/>
  <c r="AL5034" i="2"/>
  <c r="AL5102" i="2"/>
  <c r="AL5134" i="2"/>
  <c r="AL5010" i="2"/>
  <c r="AL5033" i="2"/>
  <c r="AL5054" i="2"/>
  <c r="AL5062" i="2"/>
  <c r="AL5078" i="2"/>
  <c r="AL5126" i="2"/>
  <c r="AL5279" i="2"/>
  <c r="AL5263" i="2"/>
  <c r="AL4976" i="2"/>
  <c r="AL4638" i="2"/>
  <c r="AL4615" i="2"/>
  <c r="AL4609" i="2"/>
  <c r="AL4482" i="2"/>
  <c r="AL4398" i="2"/>
  <c r="AL4388" i="2"/>
  <c r="AL4920" i="2"/>
  <c r="AL4917" i="2"/>
  <c r="AL4716" i="2"/>
  <c r="AL4601" i="2"/>
  <c r="AL4396" i="2"/>
  <c r="AL4952" i="2"/>
  <c r="AL4591" i="2"/>
  <c r="AL4332" i="2"/>
  <c r="AL4910" i="2"/>
  <c r="AL4636" i="2"/>
  <c r="AL4617" i="2"/>
  <c r="AL4979" i="2"/>
  <c r="AL4837" i="2"/>
  <c r="AL4629" i="2"/>
  <c r="AL4487" i="2"/>
  <c r="AL4453" i="2"/>
  <c r="AL4931" i="2"/>
  <c r="AL4516" i="2"/>
  <c r="AL4503" i="2"/>
  <c r="AL4445" i="2"/>
  <c r="AL4253" i="2"/>
  <c r="AL4171" i="2"/>
  <c r="AL4154" i="2"/>
  <c r="AL4132" i="2"/>
  <c r="AL4093" i="2"/>
  <c r="AL3985" i="2"/>
  <c r="AL3975" i="2"/>
  <c r="AL3839" i="2"/>
  <c r="AL3802" i="2"/>
  <c r="AL3524" i="2"/>
  <c r="AL3478" i="2"/>
  <c r="AL3416" i="2"/>
  <c r="AL4177" i="2"/>
  <c r="AL4155" i="2"/>
  <c r="AL4090" i="2"/>
  <c r="AL4055" i="2"/>
  <c r="AL3938" i="2"/>
  <c r="AL3886" i="2"/>
  <c r="AL4161" i="2"/>
  <c r="AL4073" i="2"/>
  <c r="AL4024" i="2"/>
  <c r="AL3952" i="2"/>
  <c r="AL3912" i="2"/>
  <c r="AL3833" i="2"/>
  <c r="AL3826" i="2"/>
  <c r="AL3715" i="2"/>
  <c r="AL3702" i="2"/>
  <c r="AL3640" i="2"/>
  <c r="AL3562" i="2"/>
  <c r="AL4230" i="2"/>
  <c r="AL3997" i="2"/>
  <c r="AL3882" i="2"/>
  <c r="AL3876" i="2"/>
  <c r="AL3859" i="2"/>
  <c r="AL3791" i="2"/>
  <c r="AL3608" i="2"/>
  <c r="AL4384" i="2"/>
  <c r="AL4249" i="2"/>
  <c r="AL4103" i="2"/>
  <c r="AL4078" i="2"/>
  <c r="AL4008" i="2"/>
  <c r="AL3905" i="2"/>
  <c r="AL3870" i="2"/>
  <c r="AL3823" i="2"/>
  <c r="AL3794" i="2"/>
  <c r="AL4377" i="2"/>
  <c r="AL4340" i="2"/>
  <c r="AL3564" i="2"/>
  <c r="AL3435" i="2"/>
  <c r="AL4429" i="2"/>
  <c r="AL4349" i="2"/>
  <c r="AL4309" i="2"/>
  <c r="AL4218" i="2"/>
  <c r="AL4099" i="2"/>
  <c r="AL3949" i="2"/>
  <c r="AL394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5127" i="2"/>
  <c r="AL214" i="2"/>
  <c r="AL182" i="2"/>
  <c r="AL202" i="2"/>
  <c r="AL195" i="2"/>
  <c r="AL5006" i="2"/>
  <c r="AL5149" i="2"/>
  <c r="AL5174" i="2"/>
  <c r="AL180" i="2"/>
  <c r="AL5002" i="2"/>
  <c r="AL5026" i="2"/>
  <c r="AL5053" i="2"/>
  <c r="AL5122" i="2"/>
  <c r="AL215" i="2"/>
  <c r="AL191" i="2"/>
  <c r="AL5059" i="2"/>
  <c r="AL5184" i="2"/>
  <c r="AL5255" i="2"/>
  <c r="AL6" i="2"/>
  <c r="AM6" i="2"/>
  <c r="AL4994" i="2"/>
  <c r="AL4955" i="2"/>
  <c r="AL4914" i="2"/>
  <c r="AL4649" i="2"/>
  <c r="AL4597" i="2"/>
  <c r="AL4704" i="2"/>
  <c r="AL4664" i="2"/>
  <c r="AL4853" i="2"/>
  <c r="AL4850" i="2"/>
  <c r="AL4964" i="2"/>
  <c r="AL4780" i="2"/>
  <c r="AL4385" i="2"/>
  <c r="AL4418" i="2"/>
  <c r="AL4298" i="2"/>
  <c r="AL4143" i="2"/>
  <c r="AL4083" i="2"/>
  <c r="AL4035" i="2"/>
  <c r="AL3999" i="2"/>
  <c r="AL3979" i="2"/>
  <c r="AL3969" i="2"/>
  <c r="AL3798" i="2"/>
  <c r="AL3744" i="2"/>
  <c r="AL3546" i="2"/>
  <c r="AL3523" i="2"/>
  <c r="AL4485" i="2"/>
  <c r="AL4366" i="2"/>
  <c r="AL4234" i="2"/>
  <c r="AL4167" i="2"/>
  <c r="AL4153" i="2"/>
  <c r="AL4110" i="2"/>
  <c r="AL4096"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353" i="2"/>
  <c r="AL5050" i="2"/>
  <c r="AL337" i="2"/>
  <c r="AL5110" i="2"/>
  <c r="AL316" i="2"/>
  <c r="AL5046" i="2"/>
  <c r="AL183" i="2"/>
  <c r="AL5086" i="2"/>
  <c r="AL5115" i="2"/>
  <c r="AL5259" i="2"/>
  <c r="AL315" i="2"/>
  <c r="AL192" i="2"/>
  <c r="AL5098" i="2"/>
  <c r="AL5152" i="2"/>
  <c r="AL5247" i="2"/>
  <c r="AL4939" i="2"/>
  <c r="AL4677" i="2"/>
  <c r="AL4989" i="2"/>
  <c r="AL4856" i="2"/>
  <c r="AL4779" i="2"/>
  <c r="AL4771" i="2"/>
  <c r="AL4733" i="2"/>
  <c r="AL4556" i="2"/>
  <c r="AL4537" i="2"/>
  <c r="AL4515" i="2"/>
  <c r="AL4926" i="2"/>
  <c r="AL4896" i="2"/>
  <c r="AL4874" i="2"/>
  <c r="AL4871" i="2"/>
  <c r="AL4588" i="2"/>
  <c r="AL4582" i="2"/>
  <c r="AL4997" i="2"/>
  <c r="AL4944" i="2"/>
  <c r="AL4825" i="2"/>
  <c r="AL4811" i="2"/>
  <c r="AL4806" i="2"/>
  <c r="AL4723" i="2"/>
  <c r="AL4675" i="2"/>
  <c r="AL4604" i="2"/>
  <c r="AL4594" i="2"/>
  <c r="AL4550" i="2"/>
  <c r="AL4506" i="2"/>
  <c r="AL4894" i="2"/>
  <c r="AL4904" i="2"/>
  <c r="AL4884" i="2"/>
  <c r="AL4794" i="2"/>
  <c r="AL4635" i="2"/>
  <c r="AL4580" i="2"/>
  <c r="AL4548" i="2"/>
  <c r="AL4522" i="2"/>
  <c r="AL4449" i="2"/>
  <c r="AL4953" i="2"/>
  <c r="AL4935" i="2"/>
  <c r="AL4848" i="2"/>
  <c r="AL4689" i="2"/>
  <c r="AL4659" i="2"/>
  <c r="AL4645" i="2"/>
  <c r="AL4623" i="2"/>
  <c r="AL4577" i="2"/>
  <c r="AL4572" i="2"/>
  <c r="AL4554" i="2"/>
  <c r="AL4529" i="2"/>
  <c r="AL4498" i="2"/>
  <c r="AL4404" i="2"/>
  <c r="AL4394" i="2"/>
  <c r="AL4375" i="2"/>
  <c r="AL4254" i="2"/>
  <c r="AL4632" i="2"/>
  <c r="AL4543" i="2"/>
  <c r="AL4526" i="2"/>
  <c r="AL4370" i="2"/>
  <c r="AL4500" i="2"/>
  <c r="AL4382" i="2"/>
  <c r="AL4367" i="2"/>
  <c r="AL4362" i="2"/>
  <c r="AL4236" i="2"/>
  <c r="AL4125" i="2"/>
  <c r="AL4643" i="2"/>
  <c r="AL4552" i="2"/>
  <c r="AL4442" i="2"/>
  <c r="AL4427" i="2"/>
  <c r="AL4416" i="2"/>
  <c r="AL4413" i="2"/>
  <c r="AL4288" i="2"/>
  <c r="AL4614" i="2"/>
  <c r="AL4519" i="2"/>
  <c r="AL4470" i="2"/>
  <c r="AL4100" i="2"/>
  <c r="AL4486" i="2"/>
  <c r="AL4425" i="2"/>
  <c r="AL4400" i="2"/>
  <c r="AL4381" i="2"/>
  <c r="AL4325" i="2"/>
  <c r="AL4302" i="2"/>
  <c r="AL4290" i="2"/>
  <c r="AL4210" i="2"/>
  <c r="AL4178" i="2"/>
  <c r="AL4246" i="2"/>
  <c r="AL4212" i="2"/>
  <c r="AL4079" i="2"/>
  <c r="AL4292" i="2"/>
  <c r="AL4276" i="2"/>
  <c r="AL4087" i="2"/>
  <c r="AL4005" i="2"/>
  <c r="AL3963" i="2"/>
  <c r="AL3939" i="2"/>
  <c r="AL3853"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5119" i="2"/>
  <c r="AL5136" i="2"/>
  <c r="AL385" i="2"/>
  <c r="AL5181" i="2"/>
  <c r="AL305" i="2"/>
  <c r="AL5041" i="2"/>
  <c r="AL178" i="2" l="1"/>
  <c r="AL176" i="2"/>
  <c r="AL174" i="2"/>
  <c r="AL172" i="2"/>
  <c r="AL17" i="2"/>
  <c r="AM17" i="2" s="1"/>
  <c r="AL10" i="2"/>
  <c r="AM10" i="2" s="1"/>
  <c r="AL9" i="2"/>
  <c r="AM9" i="2" s="1"/>
  <c r="AL8" i="2"/>
  <c r="AM8" i="2" s="1"/>
  <c r="AL7" i="2"/>
  <c r="AM7" i="2" s="1"/>
  <c r="AL131" i="2"/>
  <c r="AM131" i="2" s="1"/>
  <c r="AL41" i="2"/>
  <c r="AM41" i="2" s="1"/>
  <c r="AL37" i="2"/>
  <c r="AM37" i="2" s="1"/>
  <c r="AL12" i="2"/>
  <c r="AM12" i="2" s="1"/>
  <c r="AL85" i="2"/>
  <c r="AM85" i="2" s="1"/>
  <c r="AL164" i="2"/>
  <c r="AM164" i="2" s="1"/>
  <c r="AL140" i="2"/>
  <c r="AM140" i="2" s="1"/>
  <c r="AL109" i="2"/>
  <c r="AM109" i="2" s="1"/>
  <c r="AL24" i="2"/>
  <c r="AM24" i="2" s="1"/>
  <c r="AL170" i="2"/>
  <c r="AM170" i="2" s="1"/>
  <c r="AL117" i="2"/>
  <c r="AM117" i="2" s="1"/>
  <c r="AL145" i="2"/>
  <c r="AM145" i="2" s="1"/>
  <c r="AL151" i="2"/>
  <c r="AM151" i="2" s="1"/>
  <c r="AL147" i="2"/>
  <c r="AM147" i="2" s="1"/>
  <c r="AL163" i="2"/>
  <c r="AM163" i="2" s="1"/>
  <c r="AL4961" i="2"/>
  <c r="AL4940" i="2"/>
  <c r="AL4899" i="2"/>
  <c r="AL4844" i="2"/>
  <c r="AL4814" i="2"/>
  <c r="AL4742" i="2"/>
  <c r="AL4722" i="2"/>
  <c r="AL4674" i="2"/>
  <c r="AL4642" i="2"/>
  <c r="AL4630" i="2"/>
  <c r="AL4567" i="2"/>
  <c r="AL4540" i="2"/>
  <c r="AL4990" i="2"/>
  <c r="AL4861" i="2"/>
  <c r="AL4741" i="2"/>
  <c r="AL4957" i="2"/>
  <c r="AL4941" i="2"/>
  <c r="AL4902" i="2"/>
  <c r="AL4873" i="2"/>
  <c r="AL4813" i="2"/>
  <c r="AL4800" i="2"/>
  <c r="AL4727" i="2"/>
  <c r="AL4707" i="2"/>
  <c r="AL4682" i="2"/>
  <c r="AL4606" i="2"/>
  <c r="AL4341" i="2"/>
  <c r="AL4822" i="2"/>
  <c r="AL4747" i="2"/>
  <c r="AL4893" i="2"/>
  <c r="AL4878" i="2"/>
  <c r="AL4864" i="2"/>
  <c r="AL4834" i="2"/>
  <c r="AL4816" i="2"/>
  <c r="AL4753" i="2"/>
  <c r="AL4657" i="2"/>
  <c r="AL4625" i="2"/>
  <c r="AL4555" i="2"/>
  <c r="AL4283" i="2"/>
  <c r="AL4978" i="2"/>
  <c r="AL4867" i="2"/>
  <c r="AL4970" i="2"/>
  <c r="AL4922" i="2"/>
  <c r="AL4887" i="2"/>
  <c r="AL4862" i="2"/>
  <c r="AL4839" i="2"/>
  <c r="AL4821" i="2"/>
  <c r="AL4746" i="2"/>
  <c r="AL4628" i="2"/>
  <c r="AL4448" i="2"/>
  <c r="AL4403" i="2"/>
  <c r="AL4998" i="2"/>
  <c r="AL4984" i="2"/>
  <c r="AL4938" i="2"/>
  <c r="AL4876" i="2"/>
  <c r="AL4793" i="2"/>
  <c r="AL4710" i="2"/>
  <c r="AL4676" i="2"/>
  <c r="AL4660" i="2"/>
  <c r="AL4578" i="2"/>
  <c r="AL4574" i="2"/>
  <c r="AL4546" i="2"/>
  <c r="AL4869" i="2"/>
  <c r="AL4621" i="2"/>
  <c r="AL4495" i="2"/>
  <c r="AL4712" i="2"/>
  <c r="AL4646" i="2"/>
  <c r="AL4450" i="2"/>
  <c r="AL4323" i="2"/>
  <c r="AL4244" i="2"/>
  <c r="AL4147" i="2"/>
  <c r="AL4114" i="2"/>
  <c r="AL4827" i="2"/>
  <c r="AL4535" i="2"/>
  <c r="AL4513" i="2"/>
  <c r="AL4484" i="2"/>
  <c r="AL4471" i="2"/>
  <c r="AL4460" i="2"/>
  <c r="AL4405" i="2"/>
  <c r="AL4361" i="2"/>
  <c r="AL4252" i="2"/>
  <c r="AL4131" i="2"/>
  <c r="AL3712" i="2"/>
  <c r="AL4898" i="2"/>
  <c r="AL4784" i="2"/>
  <c r="AL4702" i="2"/>
  <c r="AL4690" i="2"/>
  <c r="AL4569" i="2"/>
  <c r="AL4491" i="2"/>
  <c r="AL4474" i="2"/>
  <c r="AL4462" i="2"/>
  <c r="AL4962" i="2"/>
  <c r="AL4909" i="2"/>
  <c r="AL4699" i="2"/>
  <c r="AL4561" i="2"/>
  <c r="AL4511" i="2"/>
  <c r="AL4354" i="2"/>
  <c r="AL4295" i="2"/>
  <c r="AL3936" i="2"/>
  <c r="AL3915" i="2"/>
  <c r="AL3892" i="2"/>
  <c r="AL4842" i="2"/>
  <c r="AL4801" i="2"/>
  <c r="AL4655" i="2"/>
  <c r="AL4564" i="2"/>
  <c r="AL4467" i="2"/>
  <c r="AL4306" i="2"/>
  <c r="AL4101" i="2"/>
  <c r="AL3741" i="2"/>
  <c r="AL4815" i="2"/>
  <c r="AL4705" i="2"/>
  <c r="AL4465" i="2"/>
  <c r="AL4408" i="2"/>
  <c r="AL4320" i="2"/>
  <c r="AL4084" i="2"/>
  <c r="AL4971" i="2"/>
  <c r="AL4570" i="2"/>
  <c r="AL4536" i="2"/>
  <c r="AL4531" i="2"/>
  <c r="AL4480" i="2"/>
  <c r="AL4437" i="2"/>
  <c r="AL4430" i="2"/>
  <c r="AL4289" i="2"/>
  <c r="AL4991" i="2"/>
  <c r="AL4703" i="2"/>
  <c r="AL4463" i="2"/>
  <c r="AL4423" i="2"/>
  <c r="AL4406" i="2"/>
  <c r="AL4383" i="2"/>
  <c r="AL4311" i="2"/>
  <c r="AL4213" i="2"/>
  <c r="AL4116" i="2"/>
  <c r="AL3928" i="2"/>
  <c r="AL3900" i="2"/>
  <c r="AL3810" i="2"/>
  <c r="AL3695" i="2"/>
  <c r="AL4521" i="2"/>
  <c r="AL4391" i="2"/>
  <c r="AL4192" i="2"/>
  <c r="AL4081" i="2"/>
  <c r="AL3927" i="2"/>
  <c r="AL3552" i="2"/>
  <c r="AL3307" i="2"/>
  <c r="AL4527" i="2"/>
  <c r="AL4228" i="2"/>
  <c r="AL4208" i="2"/>
  <c r="AL3953" i="2"/>
  <c r="AL3948" i="2"/>
  <c r="AL3925" i="2"/>
  <c r="AL3872" i="2"/>
  <c r="AL3775" i="2"/>
  <c r="AL3760" i="2"/>
  <c r="AL3758" i="2"/>
  <c r="AL3726" i="2"/>
  <c r="AL3721" i="2"/>
  <c r="AL3480" i="2"/>
  <c r="AL3464" i="2"/>
  <c r="AL3316" i="2"/>
  <c r="AL3284" i="2"/>
  <c r="AL2637" i="2"/>
  <c r="AL4421" i="2"/>
  <c r="AL3613" i="2"/>
  <c r="AL3610" i="2"/>
  <c r="AL3465" i="2"/>
  <c r="AL3289" i="2"/>
  <c r="AL3212" i="2"/>
  <c r="AL4530" i="2"/>
  <c r="AL3481" i="2"/>
  <c r="AL3442" i="2"/>
  <c r="AL3440" i="2"/>
  <c r="AL3885" i="2"/>
  <c r="AL3790" i="2"/>
  <c r="AL3761" i="2"/>
  <c r="AL3253" i="2"/>
  <c r="AL4265" i="2"/>
  <c r="AL3835" i="2"/>
  <c r="AL3611" i="2"/>
  <c r="AL3468" i="2"/>
  <c r="AL3414" i="2"/>
  <c r="AL3883" i="2"/>
  <c r="AL3764" i="2"/>
  <c r="AL3676" i="2"/>
  <c r="AL3630" i="2"/>
  <c r="AL3443" i="2"/>
  <c r="AL3234" i="2"/>
  <c r="AL2357" i="2"/>
  <c r="AL2530" i="2"/>
  <c r="AL3385" i="2"/>
  <c r="AL3005" i="2"/>
  <c r="AL2799" i="2"/>
  <c r="AL2448" i="2"/>
  <c r="AL2923" i="2"/>
  <c r="AL2568" i="2"/>
  <c r="AL2851" i="2"/>
  <c r="AL3447" i="2"/>
  <c r="AL2571" i="2"/>
  <c r="AL2557" i="2"/>
  <c r="AL2473" i="2"/>
  <c r="AL2462" i="2"/>
  <c r="AL2438" i="2"/>
  <c r="AL1088" i="2"/>
  <c r="AL2432" i="2"/>
  <c r="AL2006" i="2"/>
  <c r="AL1093" i="2"/>
  <c r="AL2416" i="2"/>
  <c r="AL2175" i="2"/>
  <c r="AL1455" i="2"/>
  <c r="AL2446" i="2"/>
  <c r="AL2149" i="2"/>
  <c r="AL2414" i="2"/>
  <c r="AL2191" i="2"/>
  <c r="AL2479" i="2"/>
  <c r="AL2303" i="2"/>
  <c r="AL2722" i="2"/>
  <c r="AL2366" i="2"/>
  <c r="AL1308" i="2"/>
  <c r="AL1111" i="2"/>
  <c r="AL1776" i="2"/>
  <c r="AL1486" i="2"/>
  <c r="AL1818" i="2"/>
  <c r="AL1590" i="2"/>
  <c r="AL1314" i="2"/>
  <c r="AL998" i="2"/>
  <c r="AL950" i="2"/>
  <c r="AL704" i="2"/>
  <c r="AL1001" i="2"/>
  <c r="AL2406" i="2"/>
  <c r="AL1135" i="2"/>
  <c r="AL925" i="2"/>
  <c r="AL253" i="2"/>
  <c r="AL5082" i="2"/>
  <c r="AL1327" i="2"/>
  <c r="AL1249" i="2"/>
  <c r="AL983" i="2"/>
  <c r="AL168" i="2"/>
  <c r="AM168" i="2" s="1"/>
  <c r="AL292" i="2"/>
  <c r="AL525" i="2"/>
  <c r="AL169" i="2"/>
  <c r="AM169" i="2" s="1"/>
  <c r="AL179" i="2"/>
  <c r="AL48" i="2"/>
  <c r="AM48" i="2" s="1"/>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<sst xmlns="http://schemas.openxmlformats.org/spreadsheetml/2006/main" count="2830" uniqueCount="492">
  <si>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</si>
  <si>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</si>
  <si>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</si>
  <si>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</si>
  <si>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</si>
  <si>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</si>
  <si>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</si>
  <si>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</si>
  <si>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</si>
  <si>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</si>
  <si>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</si>
  <si>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</si>
  <si>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</si>
  <si>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</si>
  <si>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</si>
  <si>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</si>
  <si>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</si>
  <si>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</si>
  <si>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</si>
  <si>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</si>
  <si>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</si>
  <si>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</si>
  <si>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</si>
  <si>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</si>
  <si>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</si>
  <si>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</si>
  <si>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</si>
  <si>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</si>
  <si>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</si>
  <si>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</si>
  <si>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</si>
  <si>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</si>
  <si>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</si>
  <si>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</si>
  <si>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</si>
  <si>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</si>
  <si>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</si>
  <si>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</si>
  <si>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</si>
  <si>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</si>
  <si>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</si>
  <si>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</si>
  <si>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</si>
  <si>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</si>
  <si>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</si>
  <si>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</si>
  <si>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</si>
  <si>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</si>
  <si>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</si>
  <si>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</si>
  <si>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</si>
  <si>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</si>
  <si>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</si>
  <si>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</si>
  <si>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</si>
  <si>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</si>
  <si>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</si>
  <si>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</si>
  <si>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</si>
  <si>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</si>
  <si>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</si>
  <si>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</si>
  <si>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</si>
  <si>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</si>
  <si>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</si>
  <si>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</si>
  <si>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</si>
  <si>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</si>
  <si>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</si>
  <si>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</si>
  <si>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</si>
  <si>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</si>
  <si>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</si>
  <si>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</si>
  <si>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</si>
  <si>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</si>
  <si>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</si>
  <si>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</si>
  <si>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</si>
  <si>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</si>
  <si>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</si>
  <si>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</si>
  <si>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</si>
  <si>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</si>
  <si>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</si>
  <si>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</si>
  <si>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</si>
  <si>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</si>
  <si>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</si>
  <si>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</si>
  <si>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</si>
  <si>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</si>
  <si>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fraser_2023_phase1</t>
  </si>
  <si>
    <t>Fraser Fish Passage Restoration Planning 2023 - Phase 1</t>
  </si>
  <si>
    <t>00180607</t>
  </si>
  <si>
    <t>Al Irvine</t>
  </si>
  <si>
    <t>250-777-1518</t>
  </si>
  <si>
    <t>al@newgraphenvironment.com</t>
  </si>
  <si>
    <t>00198456</t>
  </si>
  <si>
    <t>AI</t>
  </si>
  <si>
    <t>Tributary to Endako River</t>
  </si>
  <si>
    <t>Highway 16</t>
  </si>
  <si>
    <t>MOTI</t>
  </si>
  <si>
    <t>Closed Bottom Structure</t>
  </si>
  <si>
    <t>Round Culvert</t>
  </si>
  <si>
    <t>No</t>
  </si>
  <si>
    <t>Deep Fill</t>
  </si>
  <si>
    <t>Medium</t>
  </si>
  <si>
    <t>West Decker Road</t>
  </si>
  <si>
    <t>Yes</t>
  </si>
  <si>
    <t>Priestly Station Road</t>
  </si>
  <si>
    <t>MOTI Local</t>
  </si>
  <si>
    <t>Sam Ross Creek</t>
  </si>
  <si>
    <t>Alf Creek</t>
  </si>
  <si>
    <t>Low</t>
  </si>
  <si>
    <t>Tributary to Fraser Lake</t>
  </si>
  <si>
    <t>Perry Creek</t>
  </si>
  <si>
    <t>Stella Road</t>
  </si>
  <si>
    <t>Gala Bay Road</t>
  </si>
  <si>
    <t>High</t>
  </si>
  <si>
    <t>Scotch Creek</t>
  </si>
  <si>
    <t>Tributary to Nechako River</t>
  </si>
  <si>
    <t>Dog Creek Road</t>
  </si>
  <si>
    <t>Sutherland FSR</t>
  </si>
  <si>
    <t>West Fraser R09194 SE</t>
  </si>
  <si>
    <t>Aird Creek</t>
  </si>
  <si>
    <t>Upper Mud River Road</t>
  </si>
  <si>
    <t>Chilako Creek</t>
  </si>
  <si>
    <t>Tributary to Chelako River</t>
  </si>
  <si>
    <t>McBride Timber Road</t>
  </si>
  <si>
    <t>Beaverley Creek</t>
  </si>
  <si>
    <t>Blackwater Road</t>
  </si>
  <si>
    <t>MW</t>
  </si>
  <si>
    <t>Murray Creek</t>
  </si>
  <si>
    <t>Loop Rd</t>
  </si>
  <si>
    <t>Vanderhoof</t>
  </si>
  <si>
    <t>Snell Rd E</t>
  </si>
  <si>
    <t>Loop Road</t>
  </si>
  <si>
    <t>East Murray Creek</t>
  </si>
  <si>
    <t>McIntosh Creek</t>
  </si>
  <si>
    <t>Mcleod Pit Rd</t>
  </si>
  <si>
    <t>Stringer Rd</t>
  </si>
  <si>
    <t>Knight Creek</t>
  </si>
  <si>
    <t>Gulbranson Rd</t>
  </si>
  <si>
    <t>Tributary to Tritt Creek</t>
  </si>
  <si>
    <t>Sturgeon Pt Rd</t>
  </si>
  <si>
    <t>Clear Creek</t>
  </si>
  <si>
    <t>Braeside Rd</t>
  </si>
  <si>
    <t>Oval Culvert</t>
  </si>
  <si>
    <t>Tributary to Clear Creek</t>
  </si>
  <si>
    <t>Blue Mountain Road</t>
  </si>
  <si>
    <t>Highway 27 S</t>
  </si>
  <si>
    <t>Moss Creek</t>
  </si>
  <si>
    <t>Redmond Creek</t>
  </si>
  <si>
    <t>Walker Rd</t>
  </si>
  <si>
    <t>Tributary to Hulatt Creek</t>
  </si>
  <si>
    <t>Barsness Rd</t>
  </si>
  <si>
    <t>Gilbert Creek</t>
  </si>
  <si>
    <t>Gilbert Rd</t>
  </si>
  <si>
    <t>Sturgeon Point Rd</t>
  </si>
  <si>
    <t>Bave Rd</t>
  </si>
  <si>
    <t>Leona Creek</t>
  </si>
  <si>
    <t>Sackner Rd</t>
  </si>
  <si>
    <t>Leduc Creek</t>
  </si>
  <si>
    <t>Strieger Rd</t>
  </si>
  <si>
    <t>Nine Mile Creek</t>
  </si>
  <si>
    <t>Dog Creek FSR</t>
  </si>
  <si>
    <t>MOTI Unclassified</t>
  </si>
  <si>
    <t>Settlement Rd</t>
  </si>
  <si>
    <t>Goldie Creek</t>
  </si>
  <si>
    <t>Highway 16 W</t>
  </si>
  <si>
    <t>Croft Creek</t>
  </si>
  <si>
    <t>Landaluza Rd</t>
  </si>
  <si>
    <t>Endako River</t>
  </si>
  <si>
    <t>Allen Creek</t>
  </si>
  <si>
    <t>Powder House Creek</t>
  </si>
  <si>
    <t>Rail</t>
  </si>
  <si>
    <t>CN Rail</t>
  </si>
  <si>
    <t>Decker Creek</t>
  </si>
  <si>
    <t>Gauvin Creek</t>
  </si>
  <si>
    <t>Guyishton Creek</t>
  </si>
  <si>
    <t>Highway 35</t>
  </si>
  <si>
    <t>Wardrop Creek</t>
  </si>
  <si>
    <t>Sheraton Creek</t>
  </si>
  <si>
    <t>Unnamed</t>
  </si>
  <si>
    <t>Burns Lake</t>
  </si>
  <si>
    <t>Four Mile Creek</t>
  </si>
  <si>
    <t>Robertson Creek</t>
  </si>
  <si>
    <t>Lily Lake Rd</t>
  </si>
  <si>
    <t>Tributary to Smith Creek</t>
  </si>
  <si>
    <t>Smith Creek</t>
  </si>
  <si>
    <t>Lily Lake Road</t>
  </si>
  <si>
    <t>Neuro Creek</t>
  </si>
  <si>
    <t>Ens Rd</t>
  </si>
  <si>
    <t>Tributary to Neuco Creek</t>
  </si>
  <si>
    <t>Hulatt Creek</t>
  </si>
  <si>
    <t>Tributary to Cluculz Lake</t>
  </si>
  <si>
    <t>Norman Creek</t>
  </si>
  <si>
    <t>Lloyd Dr</t>
  </si>
  <si>
    <t>Tributary to Bednesti Lake</t>
  </si>
  <si>
    <t>Zelkwas Creek</t>
  </si>
  <si>
    <t>Isle Pierre Rd</t>
  </si>
  <si>
    <t>Sweden Creek</t>
  </si>
  <si>
    <t>Kellogg Creek</t>
  </si>
  <si>
    <t>Little Beaverley Creek</t>
  </si>
  <si>
    <t>Upper Mud River Rd</t>
  </si>
  <si>
    <t>Tributary to Beaverley Creek</t>
  </si>
  <si>
    <t>East Beaverley Rd</t>
  </si>
  <si>
    <t>Snowshoe Creek</t>
  </si>
  <si>
    <t>Highway 16a</t>
  </si>
  <si>
    <t>Tributary to Fraser River</t>
  </si>
  <si>
    <t>Penny Rd</t>
  </si>
  <si>
    <t>Unknown</t>
  </si>
  <si>
    <t>Railway</t>
  </si>
  <si>
    <t>72 Mile Creek</t>
  </si>
  <si>
    <t>Carrier R07924</t>
  </si>
  <si>
    <t>Tributary to Read Creek</t>
  </si>
  <si>
    <t>Gray Rd</t>
  </si>
  <si>
    <t>Robinson Creek</t>
  </si>
  <si>
    <t>Upper Fraser Rd</t>
  </si>
  <si>
    <t>Upper Fraser Road</t>
  </si>
  <si>
    <t>Tributary to Kenneth Creek</t>
  </si>
  <si>
    <t>Bowron FSR</t>
  </si>
  <si>
    <t>MOF</t>
  </si>
  <si>
    <t>Kenneth Creek</t>
  </si>
  <si>
    <t>Tributary to Sugarbowl Creek</t>
  </si>
  <si>
    <t>Hungary Creek</t>
  </si>
  <si>
    <t>Lunate Creek</t>
  </si>
  <si>
    <t>Penny Access Road</t>
  </si>
  <si>
    <t>Tributary to Driscoll Creek</t>
  </si>
  <si>
    <t>Driscoll Creek</t>
  </si>
  <si>
    <t>Catfish Creek</t>
  </si>
  <si>
    <t>Shallow Fill</t>
  </si>
  <si>
    <t>Clyde Creek</t>
  </si>
  <si>
    <t>Cranberry Creek</t>
  </si>
  <si>
    <t>Pine Road</t>
  </si>
  <si>
    <t>Hankins Creek</t>
  </si>
  <si>
    <t>Eddy Rd</t>
  </si>
  <si>
    <t>Dominion Creek</t>
  </si>
  <si>
    <t>1st Ave</t>
  </si>
  <si>
    <t>McBride</t>
  </si>
  <si>
    <t>Tributary to Dominion Creek</t>
  </si>
  <si>
    <t>Horseshoe Lake Rd</t>
  </si>
  <si>
    <t>Crooked Creek</t>
  </si>
  <si>
    <t>Loseth Road</t>
  </si>
  <si>
    <t>Teepee Creek</t>
  </si>
  <si>
    <t>Highway 5</t>
  </si>
  <si>
    <t>Tributary to Fraser river</t>
  </si>
  <si>
    <t>Hinkelman Rd</t>
  </si>
  <si>
    <t>L‚ÄôEsrange Creek</t>
  </si>
  <si>
    <t>L‚Äôheureux Road</t>
  </si>
  <si>
    <t>Goslin Creek</t>
  </si>
  <si>
    <t>Holliday Creek</t>
  </si>
  <si>
    <t>River Rd</t>
  </si>
  <si>
    <t>Spittal Creek</t>
  </si>
  <si>
    <t>Care Road</t>
  </si>
  <si>
    <t>Read Rd</t>
  </si>
  <si>
    <t>Concrete Box</t>
  </si>
  <si>
    <t>Rentoul Creek</t>
  </si>
  <si>
    <t>West Decker Rd</t>
  </si>
  <si>
    <t>Stearns Creek</t>
  </si>
  <si>
    <t>Tintagel Road</t>
  </si>
  <si>
    <t>Tahultzu Creek</t>
  </si>
  <si>
    <t>Zalenski Road</t>
  </si>
  <si>
    <t>Ormond Creek</t>
  </si>
  <si>
    <t>Northside Rd</t>
  </si>
  <si>
    <t>Larson Road</t>
  </si>
  <si>
    <t>Highway 27S</t>
  </si>
  <si>
    <t>Fourteen Mile Rd</t>
  </si>
  <si>
    <t>Chilco Ave</t>
  </si>
  <si>
    <t>Relief Creek</t>
  </si>
  <si>
    <t>Roumieu drive</t>
  </si>
  <si>
    <t>Steams Creek</t>
  </si>
  <si>
    <t>Tchesinkut Creek</t>
  </si>
  <si>
    <t>Tributary to Chilako River</t>
  </si>
  <si>
    <t>Gregg FSR</t>
  </si>
  <si>
    <t>Penny street</t>
  </si>
  <si>
    <t>Northwood R02900</t>
  </si>
  <si>
    <t>Wolfe Creek</t>
  </si>
  <si>
    <t>Tributary to Aleza Lake</t>
  </si>
  <si>
    <t>MOF 7141</t>
  </si>
  <si>
    <t>Sauls Creek</t>
  </si>
  <si>
    <t>Railway Avenue</t>
  </si>
  <si>
    <t>Sickness Road</t>
  </si>
  <si>
    <t>Trankle Creek</t>
  </si>
  <si>
    <t>Tintagel Creek</t>
  </si>
  <si>
    <t>Sugarbowl Creek</t>
  </si>
  <si>
    <t>Shelby Creek</t>
  </si>
  <si>
    <t>Airport Rd</t>
  </si>
  <si>
    <t>Cranberry Lake Road</t>
  </si>
  <si>
    <t>2nd Ave</t>
  </si>
  <si>
    <t>Teare Creek</t>
  </si>
  <si>
    <t>Jeck Rd</t>
  </si>
  <si>
    <t>Gala Lake Road</t>
  </si>
  <si>
    <t>Replace with New Open Bottom Structure</t>
  </si>
  <si>
    <t>Replace Structure with Streambed Simulation CBS</t>
  </si>
  <si>
    <t>This is two 1.55 m pipes plus a 0.6 m overflow.  The north large pipe has a strange apron on the inlet.  The stream is deeply incised (2.5 m deep) within an agricultural field on the downstream side.  No riparian for approximately 70 m downstream on the right bank.  The stream is partially dewatered with stagnant pools throughout.  Forgie Creek dam, owned by Hart George F/V B,  is upstream and may be influencing flow.  Channel is choked downstream with grasses in many places indicating flow is not occurring year around.       MoTi chris_culvert_id: 2883939, 2076427, 2076426. 12:57:11</t>
  </si>
  <si>
    <t>Was modelled as open bottom structure,  has now been changed to CBS.  Larger drainage with agricultural fields both upstream and downstream.  Heavily impacted riparian with primarily field on either side upstream and downstream.  Channel choked out with agronomic grasses.  Mostly dewatered except for intermittent stagnant pools.  Unassessed railway crossing downstream.           MoTi chris_culvert_id: 2077140, 2077139. 13:48:59</t>
  </si>
  <si>
    <t>Dry at time of survey.  Abundant gravels throughout.  Crossing on railway downstream still unassessed.  Modelled crossing below.  First 5 m of pipe is rusted through on the bottom side.  Deeply incised banks upstream indicate the stream has a lot of flow at sometimes in the year with a decent amount of power. 9m falls ~1km upstream.Upstream Co-op Lake stocked with KO from 2017-2023 and EB from 1963-2023. MoTi chris_culvert_id: 2069497. 10:56:54</t>
  </si>
  <si>
    <t>Small stream with very good flow immediately adjacent to the mainstem of the Endako River.  Could be valuable Chinook rearing area during high flow periods.  Pipe is bent in the middle so top half is backwatered but the bottom half is not.  Small outlet drop.  There is a large lump in the road at the pipe and pylons have been set up here likely to warn drivers.. 12:11:02</t>
  </si>
  <si>
    <t>Dry at time of survey.  Stream may be channelized upstream due to driveways to private properties on either side of the stream.  Appears to have narrow,  but decently healthy cottonwood dominated riparian,  which could help dissipate flows and floods and runoff.  Crack in Highway at culvert with minor erosion of road prism on downstream side.  Stream labelled as Ross creek on sign.            MoTi chris_culvert_id: 1793864. 12:42:58</t>
  </si>
  <si>
    <t>Dry with very poorly defined channel upstream and downstream.  Seems very unlikely that this system could support fish.  Pipe is rusted right through at the inlet for ~1m.  Pipe is in very bad shape.  MoTi chris_culvert_id: 1793794. 13:41:54</t>
  </si>
  <si>
    <t>Dry at time of survey.  Upstream channel is choked with reed canary grass.  Downstream is extremely thick willow with multiple channels present.  Stream provides access to Drywilliam lake.  Road fill was measured at 12m,  but changed to 9.9 to satisfy provincial submission requirements.               MoTi chris_culvert_id: 1793348. 14:31:28</t>
  </si>
  <si>
    <t>Small drainage. Dry with primarily vegetated channel indicating does not much flow for most of the year. Culvert rusting at inlet.  MoTi chris_culvert_id: 1794274. 10:53:44</t>
  </si>
  <si>
    <t>Very nice stream with good flow and abundant gravels upstream and downstream. Landowner indicated sockeye spotted along shoreline years ago. Massive outlet drop. Deserves habitat confirmation and consideration for replacement if no natural barriers upstream. There is a PSCIS assessed site (assessment_id = 7622) upstream that is a barrier.          MoTi chris_culvert_id: 1790951. 12:12:56</t>
  </si>
  <si>
    <t>Very nice little stream with excellent flow for this time of year on a dry year. Crossing downstream on Gala Bay Road was fully embedded and passible at the time of the assessment. There is a historic chinook observation within this stream. This could be valuable Chinook rearing habitat and connectivity within the system should be restored, should no natural barriers be observed on a habitat confirmation assessment.            MoTi chris_culvert_id: 1794198, 1794199. 12:47:26</t>
  </si>
  <si>
    <t>Very nice stream with excellent flow for this time of year on a dry year.  Very large deep outlet pool with extensive erosion undercutting the main pipe and 0.6 m overflow. Locally known as Dog Creek. Chinook captured upstream and downstream of Dog Creek FSR in 2021, 2022, and 2023 reported here https://a100.gov.bc.ca/pub/acat/public/viewReport.do?reportId=62942.  Connected to the Nechako River with observed chinook points downstream adjacent to the confluence. Road edge is failing at the culvert and eroding into stream. Highly degraded site upstream that would be a good candidate for restoration.       MoTi chris_culvert_id: 1794340. 13:43:26</t>
  </si>
  <si>
    <t>Extreme negative impacts due to cattle, particularly upstream of the FSR. Extensive trampling of the channel and banks, along with heavy grazing and removal of riparian. Dry at the time of assessment besides a small wallowing hole upstream of the inlet. Riparian exclusion fencing is required along with repairing vegetation, restoration irrigation, and monitoring. This is a fish bearing stream with high habitat values less than 2 km down the stream where it crosses Dog Creek Road.. 14:17:41</t>
  </si>
  <si>
    <t>Two pipes at 0.6 m each. Agricultural field downstream. Appears that the stream has been modified to put the stream in the ditch of the agricultural field. Aird lake upstream with rainbow trout presence. Dry channel. Very small stream. Massive outlet drops. May have historically provided some rearing refuge for wetted periods of the year.            MoTi chris_culvert_id: 1975643, 1975642. 09:41:29</t>
  </si>
  <si>
    <t>Dry at tme of assessment. One assessed crossing on private driveway located downstream. Stream is completely trampled and barely recognizable upstream due to cattle trampling and riparian removal. Downstream is ditch like with just grass and shrub riparian before mix forest begins proximately 40 m downstream of the road. Agricultural field on right back downstream. Some scouring of the channel downstream, but primarily choked with grasses indicating stream does not flow for much of the year lately.   MoTi chris_culvert_id: 1975651. 10:20:58</t>
  </si>
  <si>
    <t>Dry at time of assessment. Two other crossings located upstream on non-active forestry roads. Extensive beaver activity upstream with water above both upstream crossings. Could consider opportunity for upgrading this crossing and removing the upper two.  MoTi chris_culvert_id: 1976780. 12:17:51</t>
  </si>
  <si>
    <t>Moti major structure. Beaver dam located approximately 30 m downstream has backwatered the entire structure.   MoTi chris_hwy_structure_road_id: 3755. 13:13:41</t>
  </si>
  <si>
    <t>Huge system with wide channel. Hundreds of fry spotted upstream and some in culvert. Deep outlet pool suggesting culvert may be undersized.  Extensive restoration activities in the watershed with many led by Nechako Environment and Watershed Stewardship Society.. 09:13:29</t>
  </si>
  <si>
    <t>Grassy wetland habitat upstream and downstream. Culvert diameter used as channel width and stream slope estimated. Beaver grate present at inlet. Some flow in culvert.   MoTi chris_culvert_id: 1808533. 09:55:51</t>
  </si>
  <si>
    <t>Known chinook system upstream and down. Two culverts, only left one has water flowing through. Left one is warped in the middle. Very deep outlet pool. Wetland habitat upstream. Agricultural land downstream, with defined channel and good flow.   MoTi chris_culvert_id: 1802380, 1802381. 10:16:56</t>
  </si>
  <si>
    <t>No water in culvert. Dewatered upstream. Some standing water in outlet pool, then dewaters downstream. Clear signs of cattle intruding into channel upstream.   MoTi chris_culvert_id: 1808528. 12:00:12</t>
  </si>
  <si>
    <t>Three culverts. Water flowing through two pipes. The other one is dewatered, looks like it was installed too high. Overgrown channel upstream. Downstream goes through agricultural land.  MoTi chris_culvert_id: 1807160, 1807157, 1807159. 12:30:04</t>
  </si>
  <si>
    <t>Fully dewatered. Very small culvert. Signs of a stream channel but doesn't look like there has been water flowing in years.   MoTi chris_culvert_id: 1806918. 13:57:33</t>
  </si>
  <si>
    <t>Huge outlet pool, but no outlet drop. No water in pipe and no flowing water in stream.  MoTi chris_culvert_id: 1803926. 15:09:18</t>
  </si>
  <si>
    <t>Dewatered.  Vegetated stream channel. Three culverts, diameter totaled.  MoTi chris_culvert_id: 1801577, 1801578. 15:44:14</t>
  </si>
  <si>
    <t>High quality habitat upstream, wide channel with good flow. Lots of instream vegetation near culvert.  Fully backwatered and passable at time of assessement. MoTi chris_hwy_structure_road_id: 30525. 09:33:54</t>
  </si>
  <si>
    <t>Upstream, overgrown with smaller channel. than downstream. Significant outlet drop.. 10:44:11</t>
  </si>
  <si>
    <t>Big wetland upstream, beaver grate at inlet. Big debris jam in middle of culvert. Only water in pipe near inlet. Dewatered channel downstream at time of survey.  MoTi chris_culvert_id: 1797338. 11:44:44</t>
  </si>
  <si>
    <t>High value habitat, wide channel with good flow and gravels. Known chinook system downstream. Culvert is very damaged near outlet. There are holes on bottom of pipe about 5m from outlet where water is running through and under the pipe. Culvert is angled down near outlet.  Good candidate for replacement.   MoTi chris_culvert_id: 1806163. 12:15:10</t>
  </si>
  <si>
    <t>Inlet almost completely blocked by debris and wood. Wetland upstream. Beaver dam blocking most of water just downstream of outlet pool.  Chinook observations noted downstream MoTi chris_culvert_id: 1804629. 13:01:50</t>
  </si>
  <si>
    <t>Big, deep outlet pool. Water is flowing from inlet under the pipe for ~10m and then entering pipe through small hole and then flowing in pipe to outlet.  Very near Nechako on unpaved road.  Perched pipe. MoTi chris_culvert_id: 1804624. 13:44:39</t>
  </si>
  <si>
    <t>Very small channel. Agricultural fields upstream and downstream of crossing with no tree cover.  Seems likely historic wetland area. MoTi chris_culvert_id: 1800221. 14:39:14</t>
  </si>
  <si>
    <t>Dewatered pasture upstream with vegetated channel. Small channel downstream with no water.  MoTi chris_culvert_id: 1807349. 15:54:33</t>
  </si>
  <si>
    <t>Landowner reports there hasn't been water in stream since the spring.  MoTi chris_culvert_id: 1806660. 10:18:36</t>
  </si>
  <si>
    <t>Mostly dewatered channel with small amount of water in outlet pool.. Large outlet drop. No well defined channel upstream. Channel width and gradient estimated as areas immediately upstream and downstream are fenced off.  MoTi chris_culvert_id: 1801616. 10:37:09</t>
  </si>
  <si>
    <t>Two pipes. Dewatered at tiime of assessment.  Large outlet drop. Debris jam near outlet blocking channel. Grassy habitat upstream, with small channel.  MoTi chris_culvert_id: 1802489, 1802490. 11:10:27</t>
  </si>
  <si>
    <t>Dewatered at time of assessment. Very small channel upstream. Culvert was installed deep down into the valley.  MoTi chris_culvert_id: 1801777. 11:40:33</t>
  </si>
  <si>
    <t>Dewatered at time of assessment. Small channel. Inlet side is fenced off by barbed wire. MoTi chris_culvert_id: 1801803. 12:10:19</t>
  </si>
  <si>
    <t>Three pipes. Dewatered at time of assessment. Culverts appear old and near end of life.  Vegetated channel within pasture land upstream. Large debris jam blocking inlet of middle culvert.  MoTi chris_culvert_id: 1806925, 1806926. 12:39:13</t>
  </si>
  <si>
    <t>Very big outlet drop and deep outlet pool. Trickle of water flowing through culvert. Dewatered downstream of outlet pool and dewatered upstream of culvert. Channel width taken upstream but channel is wider downstream of crossing. Culvert is warped and a little corroded.  Channel primarily vegetated.. 13:09:19</t>
  </si>
  <si>
    <t>Very big outlet drop. Small channel upstream, grassy habitat near crossing.  Chinook confirmed downstream on nearby Clear Creek. MoTi chris_culvert_id: 1806169. 15:41:05</t>
  </si>
  <si>
    <t>High habitat value.  Abundant gravels and wide channel. Two pipes that look very old but fully backwatered.  Chinook were captured downstream of Settlement Road culvert in 2021 (https://a100.gov.bc.ca/pub/acat/public/viewReport.do?reportId=61991). MoTi chris_culvert_id: 1794329, 1794330. 16:59:42</t>
  </si>
  <si>
    <t>Two pipes (one at 1.8m, one at 1.5m), both with similar outlet drops. Inlet side has extensive beaver activity. Beaver dams are covering the inlet and culverts are not visible. Huge wetland upstream. Very big outlet pool so depth was estimated. Chinook were captured downstream of Settlement Road culvert in 2021 (https://a100.gov.bc.ca/pub/acat/public/viewReport.do?reportId=61991) and Rainbow Trout observed in stream from 2021-2023 (https://a100.gov.bc.ca/pub/acat/public/viewReport.do?reportId=61202 and https://a100.gov.bc.ca/pub/acat/public/viewReport.do?reportId=62942). Culverts should be replaced and beaver activity managed. Habitat looks good downstream. High habitat value at crossing upstream.  MoTi chris_culvert_id: 1793922, 1793923. 17:26:25</t>
  </si>
  <si>
    <t>Dewatered stream.  Large outlet pool. Pipe very corroded on outlet side. Wide stream channel upstream.  Grassy channel downstream.  Fully backwatered at time of assessdmnt. MoTi chris_culvert_id: 3738843. 08:55:03</t>
  </si>
  <si>
    <t>Wetland upstream and downstream. Culvert blocked with some debris and overgrown with vegetation. Probably hasn't been flow through pipe in a while.. 09:26:55</t>
  </si>
  <si>
    <t>Moderate flow, wide stream with nice gravels upstream. Runs through rural area. Big outlet drop and deep pool.  Erosion and embankment issues above culvert on outlet side. Rainbow confirmed upstream.  FISS has 3m falls locaed 3.5km upstream of Decker Lake but suspect not actually an issue. MoTi chris_culvert_id: 3100663. 11:36:12</t>
  </si>
  <si>
    <t>Dewatered at time of assessment.  Wide channel, private land on both sides. Culvert looks old and corroded, abundant fill in barrel.  MoTi chris_culvert_id: 2076438. 12:44:04</t>
  </si>
  <si>
    <t>Dewatered at time of assessment. Small pool near outlet.  Rainbow confirmed in past upstream. Two 3m falls noted 450m upstream. in FISS. Culvert is very old, corroded and has holes in bottom.  MoTi chris_culvert_id: 2076418. 13:18:49</t>
  </si>
  <si>
    <t>Two pipes at 1.1m diameter each. Debris jam blocking majority of inlet on both pipes.  Large channel dewatered at time of assessment.  Significant outlet drop on both culverts.  Two 3m high falls documented in FISS at ~500-600m upstream.  Rainbow trout historically captured upstream.  RB have historically been captured upstream. 13:50:33</t>
  </si>
  <si>
    <t>Dewatered stream at time of survey. Wide channel, abundant boulders downstream of crossing. Rainbow confirmed upstream in past. Culvert is old and corroded badly on outlet side. Stream most likely flows under culvert near outlet during high flow.  MoTi chris_culvert_id: 2076407. 14:15:04</t>
  </si>
  <si>
    <t>Very long culvert length and high fill depth, two pipes. Mostly dewatered stream. Small pools upstream, stagnant water. Small, confined channel. Can't see the other end of pipe, culvert slope estimated. Might be some blockage or culvert is bent in middle. Unassessed railway crossing just downstream. MoTi chris_culvert_id: 2076402. 14:49:25</t>
  </si>
  <si>
    <t>Small fry spotted in culvert and in outlet pool. Two pipes, both old and corroded with large outlet drops. Small holes in both pipes causing some water to flow under pipe. Very low fill depth, culverts almost at highway. Near Burns Lake, in residential area. Habitat looks good upstream. RB and LSU upstream in Guyishton Lake.  MoTi chris_culvert_id: 2070299, 2070298. 15:48:58</t>
  </si>
  <si>
    <t>Culvert almost fully embedded except for small section at inlet side. Small fish seen in culvert and upstream of crossing. Moderate flow, wide channel. RB confirmed upstream in past.  MoTi chris_hwy_structure_road_id: 3880. 16:36:18</t>
  </si>
  <si>
    <t>Very wide channel, culvert is undersized and perched. Deep outlet pool and massive outlet drop. Small fish seen in outlet pool. RB confirmed in past upstream and downstream.  Just upstream of Babine Forest Products Ltd lumber yard.  Railway downstream needs to be assessed. MoTi chris_culvert_id: 2069556. 11:11:26</t>
  </si>
  <si>
    <t>Near entrance to lumber yard, Babine Forest Products Ltd. Barrier just upstream. Railway downstream has not been assessed yet. Big outlet drop with very deep pool. Wide stream channel with low water levels. RB upstream.. 11:25:01</t>
  </si>
  <si>
    <t>Culverts runs underneath highway and railway. Outlet could not be located Creek found below railway and flows to the Endako confluence. Beaver grate on inlet side.  MoTi chris_culvert_id: 1793819. 13:07:39</t>
  </si>
  <si>
    <t>Dewatered at time of assessment.  RB, LKC and LSU confirmed upstream in past. Foster Creek joins this stream just upstream of crossing. Old culvert, bent in middle. Unassessed railway crossing downstream. MoTi chris_culvert_id: 1793375. 14:27:03</t>
  </si>
  <si>
    <t>Dewatered at time of assessment. Fenced off private land on both sides. Small outlet drop.  MoTi chris_culvert_id: 3343582. 15:19:42</t>
  </si>
  <si>
    <t>Wetland habitat upstream and downstream. Beaver in culvert at time of survey.  Beaver exclusion cage on inlet. Small debris jam at outlet. Fish presence confirmed just downstream of culvert.  Leg Lake just upstream. MoTi chris_culvert_id: 1795039. 15:51:16</t>
  </si>
  <si>
    <t>Wide stream channel, dewatered at time of survey.  Small pool near outlet, no flowing water.   Likely important migration corridor as this is a large system. MoTi chris_hwy_structure_road_id: 3743. 16:09:38</t>
  </si>
  <si>
    <t>Dewatered at time of assessment. Very small and hard to find channel. Overgrown and little stream substrate present. Upstream fenced off on private land. . 09:24:18</t>
  </si>
  <si>
    <t>Dewatered stream. Upstream is in fenced off private land, no clear channel visible. More obvious channel downstream of crossing. Moderate outlet drop with big dry area that looks like it would be an outlet pool when the stream is flowing.. 09:45:55</t>
  </si>
  <si>
    <t>Two pipes, they are closer together at outlet compared to inlet so they must be bent in middle. Dewatered. Fenced off private land downstream. Little riparian and evidence of cattle trampling. Upstream is in better shape, small channel visible.  MoTi chris_culvert_id: 1804941, 3693332. 10:17:48</t>
  </si>
  <si>
    <t>Dewatered. Fenced off private field upstream. Wide open grassy floodplain with little riparian and no channel visible. Downstream has wide area at outlet where pool used to be. Evidence of livestock trampling and/or big game near outlet.  MoTi chris_culvert_id: 1804931. 11:06:49</t>
  </si>
  <si>
    <t>Culvert runs under active highway construction site. Inlet could not be accessed. Looks like they are excavating near inlet. Possible bridge construction? Stream is mostly dewatered but there is some stagnant water in culvert. Baffles in pipe. Habitat downstream looks good, with abundant woody debris and healthy riparian.  MoTi chris_culvert_id: 1804902. 11:33:26</t>
  </si>
  <si>
    <t>Numerous baffles in pipe. Smaller secondary culvert next to main pipe but installed higher up so likely doesn't get much water. Little amount of flow in pipe but stops just short of outlet, most likely due to small split in pipe. Wide shallow outlet pool but no drop. Abundant algae on stream substrate upstream. RB and WSU confirmed up and downstream.  MoTi chris_culvert_id: 1802792. 12:18:02</t>
  </si>
  <si>
    <t>Dewatered upstream and downstream. Baffle steps in culvert containing pools with water but no flow. Efforts being made upstream to restore riparian vegetation with fencing and saplings present. No clear channel downstream. Fish confirmed upstream in 2020.   MoTi chris_culvert_id: 1975143. 13:34:52</t>
  </si>
  <si>
    <t>2 pipes. Wetland area upstream, beaver grate on inlet. Signs of beaver activity, dam near outlet. Hard to determine stream channel width so used combined culvert diameter. Little trickle flowing through one pipe but other one is dewatered.  Considered medium value habitat due to presence of suitale rearing habitat and water in drought period. MoTi chris_culvert_id: 1975493, 1975492. 14:05:44</t>
  </si>
  <si>
    <t>Outlet drop but no pool. Small amount of flow in pipe. Holes in bottom of pipe near outlet where water is flowing through and under. Very murky, turbid water upstream with no flow. Abundant boulders around outlet.  MoTi chris_culvert_id: 3773627. 14:57:37</t>
  </si>
  <si>
    <t>4 pipes seen at outlet but only 2 bigger ones visible on inlet side. Only one big pipe has flowing water, has beaver grate on inlet. Small debris jam in front of inlet, likely from beaver. Upstream is grassy with little riparian on banks near crossing. Downstream is different, good habitat and wide channel. Very deep, wide outlet pool. Small fish seen in pool.  No fish confirmed on system.  MoTi chris_culvert_id: 3773624, 3773623, 1975211. 15:48:26</t>
  </si>
  <si>
    <t>Chinook confirmed upstream in past.  Two pipes, only one had water flowing through at time of survey. Small outlet drop. Abundant boulders present downstream. High value habitat upstream with wide channel and gravels present.  MoTi chris_hwy_structure_road_id: 4166. 16:33:33</t>
  </si>
  <si>
    <t>Two pipes but only one is functioning and has small amount of flow through it. Very small channel.  Observed chinook in FISS downstream of confluence with Beaverley Creek at ~100m from the crossing and ~30m from the confluence.  MoTi chris_culvert_id: 1975199. 16:46:37</t>
  </si>
  <si>
    <t>Small stream, very close to Chelako confluence.  Large outlet drop but no deep outlet pool. Abundant gravels upstream. MoTi chris_culvert_id: 1975638. 09:45:56</t>
  </si>
  <si>
    <t>Dewatered stream, small channel with little to no gravels or cobbles. Two pipes but only one functioning. with other pipe is not visible at outlet.  MoTi chris_culvert_id: 3389486. 10:26:08</t>
  </si>
  <si>
    <t>Two pipes and one overflow pipe. Small amount of flowing water through one pipe. Wetland type habitat downstream with beaver dam near outlet. Medium sized channel downstream with medium value habitat with functional woody debris and some gravels.  MoTi chris_culvert_id: 1976123, 1976122. 13:17:26</t>
  </si>
  <si>
    <t>High value spawning and rearing habitat upstream.  Massive outlet pool with erosion indicates culvert is extremely under sized.   Candy et al 2002 notes chinoook spawning in this system.   MoTi chris_hwy_structure_road_id: 3751. 17:54:33</t>
  </si>
  <si>
    <t>Small stream, overgrown with vegetation in sections. Pipe is made of plastic. Some gravels present,  with moderate flow. Unassessed rail crossing just upstream that appears passable. Downstream crossings on private property.. 11:30:44</t>
  </si>
  <si>
    <t>Three pipes at 0.9 m each, but only one has flowing water,  other two are blocked by vegetation. Made of concrete and built in 1930. Nice stream with good flow. Abundant rearing habitat located upstream.  Although the stream has a lot of volume, the depth in the one pipe functioning is extremely shallow and has a 50cm concrete drop at the outlet.  This road is the only access to the town of Penny just downstream, therefore a wash out could leave them stranded.. 11:38:41</t>
  </si>
  <si>
    <t>Two 0.9m pipes, both plastic. Nice stream with good flow. There is another culvert located downstream on the driveway to a private residence that has a small outlet drop (approximately 20cm). Some gravel is upstream of the railway.  No barrel photos. Penny Street is the only vehicle access to and from the community of Penny located just up the road.. 12:00:42</t>
  </si>
  <si>
    <t>Two pipes made of concrete under the railway 0.9 m each. Crossing constructed in 1934. Nice stream good flow. Some small gravel's located upstream. Wire mesh cages attached to inlets upstream - poentially for beaver. Fill depth measured at 12m, but changed to 9.9 to satisfy submission template macros.. 12:07:26</t>
  </si>
  <si>
    <t>Predominantly fine substrate downstream but abundant gravels upstream as. Wide channel with good flow immediately adjacent to Fraser mainstem. Small debris jam near outlet, backwatering pipe.  Does not appear to be a barrier to adults but could have value for juvenile rearing and potentially hindered access during high flow times when refuge needed.  Sampling could help determine if chinook are accessing upstream. Very deep, muddy outlet pool.  Unassessed railway crossing ~900m upstream.. 12:16:38</t>
  </si>
  <si>
    <t>Wetland area upstream. Beaver exclusion cage on inlet but the cage is completely blocked with material so there is a wetland upstream. Appears to be recent maintenance on the site. Road prism is eroding at the location of the culvert with a piece of pipe set aside that has possibly been recently removed.    Culvert slope estimated as could not see through the pipe. Unassessed railway crossing ~1.3km upstream.. 12:55:42</t>
  </si>
  <si>
    <t>Stream dry the time assessment. Flows through agricultural field on both sides. Very minimal willow and cottonwood riparian. Stream is incorrectly mapped in the Freshwater Atlas and actually crosses under the road ~350m further east on Penny road.  Satellite imagery shows there are signs of the old meandering channel near the FWA streamline, suggesting the stream may have been redirected at one point.Road embankment is sloughing around the inlet with pipe 50% blocked due to the road fill. Penny Road is the only access to the community of Penny.. 13:20:38</t>
  </si>
  <si>
    <t>Small debris jam at outlet causing drop. Culvert is old and warped. Velocity is much higher in pipe than upstream. Predominantly fine substrate upstream, some gravels downstream.. 13:30:15</t>
  </si>
  <si>
    <t>Very nice stream with abundant gravels and good flow upstream. Some old growth cedar within the upstream riparian area. Culvert must be bent in the middle because cannot see through. Pipe gradient estimated. Large outlet drop and deep outlet pool indicates culvert is extremely undersized.   Penny Road is only access in and out of the community of Penny.  Unassessed railway crossing ~300m upstream.. 13:38:13</t>
  </si>
  <si>
    <t>Beaver grate at inlet, moderate outlet drop and pool. Wetland type habitat upstream. Very turbid stream water.. 14:03:23</t>
  </si>
  <si>
    <t>Good flow. Small channel with fine substrate. Pipe is bent up approximately 2m downstream of the inlet. Debris guard has been built around the inlet.  Penny Road is the only access in and out of the community of Penny.   Is 500m downstream to the fraser river confluence. with another crossing that should be considered.. 14:08:24</t>
  </si>
  <si>
    <t>Stream not present at this location within freshwater atlas. Good flow and abundant, small gravels upstream and downstream. Although pipe appears undersized, the size and depth of the outlet pool indicates that it handles the flow decently well.            MoTi chris_culvert_id: 1995103. 14:41:27</t>
  </si>
  <si>
    <t>Small channel with no outlet drop or pool. Moderate flow and a lot of grassy vegetation on stream banks downstream.  MoTi chris_culvert_id: 1994901. 15:31:18</t>
  </si>
  <si>
    <t>Grassy vegetation upstream and downstream, little to no riparian. Runs through private property downstream. Small channel with low flow.. 16:11:20</t>
  </si>
  <si>
    <t>Newly installed pipe. Good flow with beaver activity prevalent upstream and downstream.  MoTi chris_culvert_id: 1994777. 16:14:28</t>
  </si>
  <si>
    <t>Concrete pipe. Smaller stream with some flow. Chinook observations upstream and downstream of this crossing in FISS.   Located on Upper Fraser Road which is only access to communities beyond including town of Penny.         MoTi chris_culvert_id: 1994747. 16:28:14</t>
  </si>
  <si>
    <t>Chinook confirmed upstream in 2018. Structure goes under highway and railway. Culvert visible at inlet but outlet has different structure. Slope estimated. Small step at outlet creating drop.   MoTi chris_culvert_id: 1994444. 17:35:22</t>
  </si>
  <si>
    <t>The crossing is actually located ~150m south of the modelled crossing (at km 31.9), on an unmapped Freshwater Atlas stream which flows into the crossing from the east, flowing along the ditch for approximately 60-70m. The streamline can be seen in satellite imagery. Very nice stream with good flow, abundant gravels, and some pools to 50cm deep. The inlet is completely buried and the outlet is blocked by beaver debris. Culvert slope estimated.. 09:31:27</t>
  </si>
  <si>
    <t>Very wide stream with high flow. Velocity is high in culvert. Very deep and big outlet pool, depth estimated. Known salmon spawning location. Chinook confirmed with carcass noted just upstream in 2022 by same field team.  MoTi chris_hwy_structure_road_id: 3750. 10:13:57</t>
  </si>
  <si>
    <t>Wetland type habitat upstream with multiple small channels threaded through it. Inlet of pipe is extremely bent. Nice little stream with well defined channel downstream. Good amount of flow and connected to known chinook system.            MoTi chris_culvert_id: 1992666. 10:35:14</t>
  </si>
  <si>
    <t>Very big outlet drop. Gravels present upstream that could be suitable for spawning. Small debris jam ~15m upstream of crossing but likely not a major barrier.  MoTi chris_culvert_id: 1992618. 10:50:45</t>
  </si>
  <si>
    <t>Very nice stream with steeper cobble boulder habitat, potentially valuable rearing for Bulltrout . Very steep and long pipe with transmission line vegetation cleared at outlet.  There's a 20m section of dewatered stream approximately 10m downstream of the outlet due to a graded substrate likely related to highway corridor.  Crossing is within provincial park.   MoTi chris_culvert_id: 1992817. 11:05:47</t>
  </si>
  <si>
    <t>Large stream with abundant gravels present upstream suitable for spawning. Massive outlet drop with powerline riparian cleared downstream of the highway.   Old growth cedar hemlock riparian within Sugar bowl grizzly den provincial park. Follow up with habitat confirmation recommended.                  MoTi chris_culvert_id: 1992815. 11:30:20</t>
  </si>
  <si>
    <t>Culvert very old. Big wetland complex upstream. Inlet barely visible, covered in woody debris and rusty metal. Culvert slope estimated. High velocity coming out of outlet with moderate drop. Habitat looks good downstream, wide channel with high flow. Crossing is within the Sugarbowl grizzly den provincial park.  MoTi chris_culvert_id: 1992569. 12:49:05</t>
  </si>
  <si>
    <t>Very large, low gradient stream with chinook points. Hydrometric station upstream. Outlet drop is comprised of boulders, likely placed there to aid in passage. Located at the downstream end of powerline corridor, there is a steep cascade section for approximately 30m that is 8% gradient.  Cascade could be as much or more of a passage issue as the pipe.       MoTi chris_hwy_structure_road_id: 3749. 12:57:36</t>
  </si>
  <si>
    <t>Massive outlet drop and deep pool,  both depths estimated. Signs of beaver activity near inlet. There is an old well-like structure attached to inlet side.Water could be flowing through underneath surface, not visible.   MoTi chris_culvert_id: 1992863. 13:34:08</t>
  </si>
  <si>
    <t>Horsetail and willow wetland upstream with a small well-defined channel with fine gradients. Pipe is blocked by beaver debris. There is a second pipe that's approximately 1.5 m higher and 0.9m in diameter that is free of debris and functions as an overflow. Potential refuge area during periods of high flow in the Fraser river,  which was only 40m downstream at the time of assessment.  Gate at the end of the road preventing access to launch point for Penny.  Could consider road deactivation as a solution.  Crossing is located in the Ancient Forest/Chun T'oh Whudujut Protected Area.         MoTi chris_culvert_id: 1993423. 13:44:19</t>
  </si>
  <si>
    <t>Big wetland upstream. Inlet could not be found, likely submerged. Small channel downstream, pipe looks old and in bad shape. Overflow pipe near first pipe but not functioning currently.   MoTi chris_culvert_id: 1992855. 14:06:57</t>
  </si>
  <si>
    <t>Could not locate pipe as it is underwater at both inlet and outlet. There appears to be a bunch of logs under the road so suspect that there may be no structure at all as the drainage may have been put in with logs - although MOT culvert layer says 0.6 m galvanized pipe.. Road is failing with 3 foot deep and 2 foot wide hole in the road marked with a pilon.            MoTi chris_culvert_id: 1993428. 14:32:19</t>
  </si>
  <si>
    <t>Big beaver dam near inlet of culvert spanning across whole channel approx 1.2m high.  Boulders in pipe near inlet creating small drop and increasing velocity.  Channel widens downstream, high value habitat. RB and CCG confirmed upstream and downstream with chinook observed way downstream at mouth.    Low gradient upstream and downsteram with decent outlet drop so resampling to determine chinook presence could be insightful. MoTi chris_culvert_id: 1992674. 14:54:00</t>
  </si>
  <si>
    <t>Very large system with beaver complex upstream, including a large beaver dam approximately 1.3m high located 25m upstream of the inlet. Approximately 20m downstream of the outlet is a rock chiute that is over 30% gradient but only for 5m with a total height of 1.7m.  There are two other falls noted as FISS obstables between this crossing and the fraser river doenstream. There is significant erosion of the road prism on the upstream side above the culvert. Culvert is located on the bend of Highway 16 under 10m of road fill.  Noted falls and lack of fish observations indicated access issues downstream. MoTi chris_culvert_id: 1992752. 16:16:08</t>
  </si>
  <si>
    <t>Steep waterfall 10m downstream of crossing,  approximately 8m in height. Stream gradient and channel width taken upstream. Gravels present upstream, but definite barrier downstream.  Crossing is within the West Twin Protected Area.  MoTi chris_culvert_id: 1473114. 16:34:20</t>
  </si>
  <si>
    <t>Absolutely massive structure with 12 m of fill plus the height of the culvert which appears to be approximately 7m. Fill depth changed to 9.9m to satisfy submission template macros. Very nice large stream with  boulder step pool habitat suitable for bull trout.  Falls noted just downstream in FISS but not observed in field with minmal survey. MoTi chris_hwy_structure_road_id: 3691. 17:00:34</t>
  </si>
  <si>
    <t>Deep canyon and high waterfall directly downstream of crossing which is a definite barrier to all fish. Rough estimate 20m height. Outlet drop and pool estimated because it was unsafe to get near stream due to steep embankment. RB confirmed upstream of crossing in 2017 and 2020, but the falls downstream is a definite barrier.   MoTi chris_hwy_structure_road_id: 30367. 17:27:23</t>
  </si>
  <si>
    <t>Newly installed culvert with beaver grate on inlet. Beaver influenced wetland area upstream and downstream. Channel width estimated as wetland areas present.  Approximately 700m downstream this stream flows into Swift Creek which is a known chinook stream.    MoTi chris_culvert_id: 1468490. 09:14:05</t>
  </si>
  <si>
    <t>Wide channel and high flowing stream. Small outlet drop and high velocity in pipe with shallow flows over unembedded pipe. Chinook confirmed downstream near Fraser River confluence in the past. Railway bridge downstream seen in photos.  MoTi chris_hwy_structure_road_id: 30365. 10:49:31</t>
  </si>
  <si>
    <t>Two culverts,  one bigger than the other. Debris jams at inlet creating drop and increasing stream velocity in pipe. Rail crossing upstream is a concrete OBS. Channel wider downstream than upstream.. 11:06:36</t>
  </si>
  <si>
    <t>Dewateredat crossing with large wetland area upstream. Flow goes through mainstem of Dominion Creek just north through town.  MoTi chris_culvert_id: 1462891. 11:52:44</t>
  </si>
  <si>
    <t>Two pipes at 1.4m diameter each. Crossing is only 5m downstream of the railway crossing. The stream has bigger volume of water at this location than it did below Highway 5 downstream.  Water may be recharging beaver influenced wetlands downstream. Road edge has been armoured with riprap and downstream side of road bank is eroding significantly for approximately 60m.            MoTi chris_culvert_id: 1468680, 1468681. 12:14:12</t>
  </si>
  <si>
    <t>Culvert runs under both sets of tracks. Model Crossing will need to be removed from bcfishpass. Outlet of this pipe is immediately upstream of Loseth road with significant armouring around the outlet pool and road at the inlet downstream. Very nice stream with significant amounts of flow. Known rainbow stream. Much less flow downstream below Highway 5,  which is very interesting.. 12:21:02</t>
  </si>
  <si>
    <t>Very nice stream with salmon point in FISS located upstream. Very good flow with some pools present to 80cm deep upstream. Unassessed railway crossing approximately 200m upstream.  There is no crossing at the pipeline but construction activities have resulted in a small cascade of boulders at the pipe which is similar to the natural cascade section observed approximately 50m upstream.  Railway crossing downstream which is ranked as a barrier.          MoTi chris_culvert_id: 1467202. 12:56:09</t>
  </si>
  <si>
    <t>Very small stream with low flow. Embankment above outlet has been covered to prevent rockslide.  MoTi chris_culvert_id: 1461358. 13:46:10</t>
  </si>
  <si>
    <t>Nice little stream with good flow and abundant small gravel's upstream. There may be crossings downstream on private land. Significant amount of large riprap placed around inlet and outlet to protect the crossing. Outlet is placed on large piece of riprap, so 0.3m was added to the 0.2m outlet drop to account for the additional distance from the stream to the outlet. RB observed upstream.   MoTi chris_culvert_id: 1466467. 14:00:15</t>
  </si>
  <si>
    <t>Very nice stream with good flow and abundant gravels upstream. Pipe is an extremely bad shape with extensive corrosion inside of the pipe particularly at the downstream and - see photos.  Likely at least one crossing downstream on private land.  Transmission line corridor is located immediately upstream and the channel appears to be modified in this location to be straighter and narrower than its natural state.  No crossing immediately upstream on Goslin Road (no road - crossing should be removed as potential barrier in bcfishpass)             MoTi chris_culvert_id: 1465295. 14:28:28</t>
  </si>
  <si>
    <t>Culvert is undersized for a stream of this size. High flow,  channel is just over 10m wide upstream. Chinook confirmed downstream in the past.   MoTi chris_hwy_structure_road_id: 29925. 14:39:41</t>
  </si>
  <si>
    <t>Small stream with low flow. Muddy, fine substrate makes up most of streambed. Very close to Fraser River.  MoTi chris_culvert_id: 3189063. 15:17:53</t>
  </si>
  <si>
    <t>Pipes and road are in extremely poor condition with evidence of embankment failure and pipes rusted all the way through on the bottom side in places. Small side road parallel to Highway 16 with residences that could be accessed from either side. Removal of crossing could perhaps be considered. Large high value system suitable for bulltrout rearing.  Culvert upstream is relatively new concrete box culvert on the highway which is over half embedded and 3.7m wide.  MoTi chris_culvert_id: 1466350. 15:53:19</t>
  </si>
  <si>
    <t>Stream flows through private fenced off land on both sides. Moderate flow and a wide entrenched channel upstream. It appears cobbles are the predominant stream substrate and gravels subdominant.  MoTi chris_culvert_id: 1463590. 15:57:40</t>
  </si>
  <si>
    <t>Large stream with cobble boulder substrate suitable for bull trout. Concrete box culvert is 60% embedded on the downstream side. Decent amount of debris is clogging the inlet.  Although not perfect, this culvert appears to be fairly new with some embeddedment so not earmarked for follow up.   MoTi chris_hwy_structure_road_id: 29885. 22:39:24</t>
  </si>
  <si>
    <t>Nice stream with good flow and abundant gravel throughout low gradients.  Adjacent property is northern wildlife design.  Crossing is currently 100% backwaters and passable to all life stages and species at these lower flow levels.                     MoTi chris_culvert_id: 2076441. 12:01:27</t>
  </si>
  <si>
    <t>Major beaver activity with inlet of pipe 3/4 blocked by mud.  0.6m overflow pipe also present.  Low gradient, willow dominated,  beaver influenced floodplain habitat upstream and downstream.  Pipe is backwatered however, the inlet is blocked so fish passage was not happening at time of assessment.  Crossing on railway upstream, not yet assessed.                  MoTi chris_culvert_id: 2077136, 2077137. 14:10:33</t>
  </si>
  <si>
    <t>Two pipes at 1.8 m each,  north pipe slightly lower than south pipe at outlet.  Good sized stream with great flow for this time of year on a dry year.  Abundant black algae on gravel and cobble substrate.  Very nice stream.  Appears to have decent riparian health adjacent to the crossing but riparian buffer to be enlarged particularly on upstream south side.  Downstream crossing on highway was fully backwatered and not a barrier at the time of assessment.         MoTi chris_culvert_id: 2070691, 2070692. 09:42:44</t>
  </si>
  <si>
    <t>Three 4 m diameter pipes.  All three pipes are 100% backwatered, and passable.  Road prism and pipes appear to be in good condition.  Extensive beaver activity upstream and downstream.            MoTi chris_hwy_structure_road_id: 3812. 11:35:39</t>
  </si>
  <si>
    <t>Stream is extremely impacted by cattle ranching.  Banks eroded and trampled.  Algae indicates nutrient inputs from cows are high.  Pipes are old with a lot of rust.  Habitat value is currently very poor,  but historically would've been high.  Still a good amount of flow for a dry year.  100% backwatered however,  depth of the water is only approximately 1 cm.  Absolutely no riparian vegetation or cattle exclusion fencing on the upstream side for as far as the eye can see (approximately 1 km.).            MoTi chris_culvert_id: 1790770, 1790769. 15:33:57</t>
  </si>
  <si>
    <t>100% backwatered at time of assessment. Beaver dams downstream backwatering the crossing. Pipe and road prism in great shape. Fully passable for all species and life stages at the time of assessment. Some small amount of embeddedment but only for a small piece of the pipe diameter.  Known chinook system with significant restoration works upstream.   MoTi chris_hwy_structure_road_id: 2678. 11:25:13</t>
  </si>
  <si>
    <t>Agricultural land on both sides and cow pasture downstream. Fully backwatered culvert with no flowing water. Cows seen intruding into the stream channel at time of survey.  MoTi chris_culvert_id: 1799951. 10:55:03</t>
  </si>
  <si>
    <t>Stream section is part of rehab project. New - fully backwatered structure likley passable to all life stages and species at time of assessment. MoTi chris_hwy_structure_road_id: 26621. 11:25:02</t>
  </si>
  <si>
    <t>Wetland habitat upstream and downstream. Huge beaver dam on inlet side creating drop. Adjacent landowner Ron reports there are no fish near this location. He reports that beaver activity increased significantly in the past few years, that is the only reason there is water here.   MoTi chris_hwy_structure_road_id: 30585. 13:09:51</t>
  </si>
  <si>
    <t>Wetland upstream and downstream. A lot of beaver activity upstream, big pond near inlet. Culvert is very warped on inlet side.  Chinook observations downstream on nearby Clear Creek. MoTi chris_culvert_id: 1806178. 09:56:44</t>
  </si>
  <si>
    <t>Two pipes, approx 15m apart but part of same system. No flowing water through either. Signs of beaver activity upstream.  MoTi chris_culvert_id: 3343588. 11:05:23</t>
  </si>
  <si>
    <t>Very small channel downstream, wider upstream. Small amount of flow, grassy wetland habitat. Not likely fish bearing stream section. Considered medium habitat value due to larger size of watershed and presence of some water in drought period when many adjacent systems were dry.. 13:50:05</t>
  </si>
  <si>
    <t>Wetland downstream.  Vegetated channel upstream. Several unassessed crossings downstream.. 13:56:33</t>
  </si>
  <si>
    <t>Stream not flowing at the time of assessment.  Horse pasture downstream.  Fenced off on both sides of pipe.  Nechako Environment and Water Stewardship Society ( https://newssociety.org/watersheds/goldie-creek ) report that stream was historically impacted adjacent to this site when Highway 27 was constructed 20-30 years ago due to fill from the excavation of the highway contributing significant amounts of sediment into Stoney Creek and ultimately into the spawning beds of Nechako White Sturgeon just below the Stoney Creek/Nechako River confluence. Extensive works completed upstream of the crossing in 2021 including culvert replaced with bridge, installation of beaver dam analogues, riparian planting and addition of large woody debris just upstream of the crossing.  MoTi chris_culvert_id: 1806217. 08:23:29</t>
  </si>
  <si>
    <t>Long pipe, no outlet drop but culvert is partially backwatered at outlet. Small fish spotted in outlet pool. Upstream goes into private land and is fenced off.  MoTi chris_culvert_id: 2076443. 12:13:13</t>
  </si>
  <si>
    <t>Culvert is backwatered and fully submerged on inlet side. Outlet side barely visible. Wetland/grassy habitat upstream and downstream. Stagnant water present in pools, no flowing water. Assuming beaver activity due to beaver grate on inlet and beaver dam seen downstream in photos.  Silt fencing seen on downstream left bank and major erosion on downstream right bank, based on photos.. 17:02:58</t>
  </si>
  <si>
    <t>Backwatered at outlet but some flow upstream and downstream.  Some gravels upstream.  Private property on both sides.  RB confirmed upstream.  Downstream railway crossing yet to be assessed.  MoTi chris_culvert_id: 3100655. 09:23:27</t>
  </si>
  <si>
    <t>Wetland downstream and upstream. Stream channel upstream is more defined. Pipe is fully backwatered.  Medium habitat value given due to presence of water at this location when other areas of this same stream were dry. MoTi chris_hwy_structure_road_id: 2141. 12:21:46</t>
  </si>
  <si>
    <t>Obvious signs of beaver activity. Big dam near inlet and small dam just downstream of outlet as well. Small channel downstream with no water with wetland upstream. MoTi chris_culvert_id: 1976775. 12:19:45</t>
  </si>
  <si>
    <t>Nice stream with good flow. Railway crossings approximately 30 m upstream are much more of a barrier then the crossing on Penny Street.. 11:19:24</t>
  </si>
  <si>
    <t>Abundant gravels present downstream and upstream. Small fish seen in culvert and downstream. There's flow upstream and downstream but culvert is backwatered.  Unassessed railway crossing ~900m upstream.. 12:52:51</t>
  </si>
  <si>
    <t>Wide channel with four culverts. Culvert diameter totaled for all 4 culverts. Two are in good condition, other two are bent and look older. Railway crossing just upstream which consists of three culverts and appears likely passable for most species at most flows.  Abundant gravels present downstream of road.  This road is the only to access the town of Penny.  MoTi chris_culvert_id: 1994890, 1994893, 1994894. 14:48:37</t>
  </si>
  <si>
    <t>No well defined stream channel visible. Flooded wetland area downstream, surveyed during heavy rain. Backwatered pipe.   MoTi chris_culvert_id: 1994950. 16:43:39</t>
  </si>
  <si>
    <t>Two pipes each with 1m diameter on the south side of the railway. It is not clear where the stream crosses under the railway upstream, this crossing still needs to be assessed.  Agricultural field located upstream with what appears to be very minimal riparian buffer. Stream has been channelized beside the railway.  A 1m overflow pipe has been installed above the level of the other 2 pipes.        MoTi chris_culvert_id: 1994283, 1994682, 1994683. 18:08:11</t>
  </si>
  <si>
    <t>Big wetland area upstream. Smaller, grassy, wetland downstream.  RB confirmed upstream in the past. Culvert is very old and in bad shape. There is a bigger overflow pipe present.. 09:37:55</t>
  </si>
  <si>
    <t>Wetland lake area upstream with small channels threaded through it. Beaver grate on culvert inlet and pipe is in poor shape as it is rusted and bent out of shape. Outlet backwater for 40%. Small stream with some flow.. 10:14:44</t>
  </si>
  <si>
    <t>Culvert is a little backwatered at outlet. Small fish seen in pipe. Trib to major spawning stream. Crossing appears passable. Slight inlet drop due to woody debris.  MoTi chris_culvert_id: 1992616. 11:30:43</t>
  </si>
  <si>
    <t>Wetland habitat upstream and downstream. Crossing is near transmission line so trees have been cut down. Backwatered culvert and pipe appears undersized. Chinook confirmed in the past downstream of crossing.  MoTi chris_culvert_id: 1473381. 09:43:53</t>
  </si>
  <si>
    <t>Culvert spans McLennan Rd and highway. Small stream with good flow and primarily fine substrate. Extensive beaver activity both upstream and downstream, with dams of up to 1 1/2 m high in both locations.  Very long structure.  Culvert gradient estimated as could not see through the pipe.        MoTi chris_culvert_id: 1467210. 11:30:35</t>
  </si>
  <si>
    <t>There are three 1.5m pipes located under Railway Avenue continuing all the way under the railway line.  Pipes are embedded at or more than 50% of their depth.  Stream was dry at the time of assessment and scoured channels indicate a fairly small system.. 15:25:25</t>
  </si>
  <si>
    <t>No water in pipe. Periodic pools of standing water upstream and downstream but no flowing water. NEWWS has completed restoration work for this site with sign posted at this location. Culvert appears fully embedded in photos so have changed inputs to reflect this.. 14:51:44</t>
  </si>
  <si>
    <t>Dewatered, no well-defined stream channel. Agricultural fields on both sides.  Embeddedness estimated from photos. MoTi chris_culvert_id: 1804664. 14:18:04</t>
  </si>
  <si>
    <t>Wide channel, nicely installed moti major structure that appears passable as fully embedded.  3m falls noted in FISS as 1.3 km upstream.  Railway crossing just downstream noted as passable in bcfishpass. MoTi chris_hwy_structure_road_id: 3811. 09:56:11</t>
  </si>
  <si>
    <t>Fully embedded pipes. Three pipes total, with two at 1.8 m and one at 1.2m in diameter. Nice habitat upstream with abundant gravels, some deeper pools and deeply undercut banks.. 15:31:23</t>
  </si>
  <si>
    <t>Embedded culvert, high flowing mountain stream. Very clear and wide channel. Gradient increases upstream.  Fully embedded pipe so likley passable for all species and life stages at perhaps all but very high flows. MoTi chris_culvert_id: 1992808. 11:55:36</t>
  </si>
  <si>
    <t>Chinook and mountain whitefish confirmed just upstream in 2019. Continuously embedded culvert. Grassy habitat upstream with little riparian on streambanks near crossing. Fines were the predominant stream substrate.. 09:09:59</t>
  </si>
  <si>
    <t>Stream is mostly dewatered. Large beaver dam (1.7m high) located approximately 30m upstream. Fully embedded pipe with beaver grate on the inlet.  Unassessed crossing on private driveway upstream from here. Adjacent landowner has concerns about the recent lack of water and says it is un-characteristic for the section of stream. They have concerns that recent pipeline construction just upstream of this crossing has potentially influenced beaver populations and water flow.. 09:47:05</t>
  </si>
  <si>
    <t>Continuously embedded culvert. Wide channel with moderate flow. High value habitat. 10:09:03</t>
  </si>
  <si>
    <t>RB and CCG confirmed downstream in past. Private agricultural land upstream and downstream. Embedded culvert. Small wooden dam just downstream of crossing, approx 0.8m high. Small trickle of water beside structure that would allow fish to swim upstream.   MoTi chris_culvert_id: 1461195. 12:32:44</t>
  </si>
  <si>
    <t>Continuously embedded culvert. Agricultural fields upstream and downstream. Very little riparian vegetation. Small fish seen near inlet. Channel looks like it gets smaller upstream, flows through cow field. Not a fish passage issue, but riparian restoration could be pursued.  RB confirmed in the past near crossing.  MoTi chris_culvert_id: 1473360. 12:54:06</t>
  </si>
  <si>
    <t>Two pipes (1.2m and 0.6m). 100% backwater. Guessing the pipes are embedded but cannot see due to poor water quality. This stream is extremely impacted by poor cattle ranching practices. There is no riparian fencing and cattle have completely trampled all the banks.  There is no riparian vegetation and water quality is extremely poor. This stream could likely be very productive for chinook and other species if eventually restored.            MoTi chris_culvert_id: 1795014, 1795015. 16:01:11</t>
  </si>
  <si>
    <t>Good flow. Abundant gravel downstream and upstream. Pipes are both fully embedded with partial backwatering. Chinook point on the stream immediately adjacent to the site. Upstream left bank riparian has been cleared for what appears to be a parking space.  Upstream crossing on Stella Road could be addressed by MoT. MoTi chris_culvert_id: 1790947, 3365573. 11:54:44</t>
  </si>
  <si>
    <t>Three pipes total, two at 1.2m diameter which were completely submerged underwater and one at 2m diameter which was 100% backwatered.  Assuming embedded due to the depth of the backwatering. Bridge located just upstream on River Road.  Unassessed railway crossing located downstream which, based off satellite imagery, leads to a wetland area, but no modelled crossing present.  There is a second unassessed crossing (24715896) downstream which should be assessed. Multiple non-salmonid FISS observations downstream. Chinook and sockeye salmon have been observed just upstream of the confluence of this creek with the Fraser River, roughly 1km downstream of the crossing.     MoTi chris_culvert_id: 1994579, 1994580, 1994581. 17:04:42</t>
  </si>
  <si>
    <t>Dry channel.  Bridge.. 14:56:53</t>
  </si>
  <si>
    <t>Pipe arch. Passable.  Modelled crossings 5406290 and 5400675 downstream adjacent to Burn's Lake shoreline have not been assessed.. 17:53:31</t>
  </si>
  <si>
    <t>Bridge with sign from Fraser lake sawmills. Extensive cattle trampling underneath the bridge, but some decent amount of water at this location.. 14:46:03</t>
  </si>
  <si>
    <t>Bridge. Good flow. 15:02:17</t>
  </si>
  <si>
    <t>Restoration work conducted at this crossing. No flowing water at time of survey. Livestock field upstream. Goats seen trampling through stream channel.. 09:59:33</t>
  </si>
  <si>
    <t>Wide stream with high flows and good habitat. Bridge on railway just upstream. Major moti structure was in the wrong spot on the map.  MoTi chris_hwy_structure_road_id: 3626. 11:13:09</t>
  </si>
  <si>
    <t>Deactivated road. Ford passable by 4x4 vehicles. 11:50:24</t>
  </si>
  <si>
    <t>NA. 14:54:00</t>
  </si>
  <si>
    <t>Deactivated road. Old culverts seen in pictures, now a ford.. 16:15:48</t>
  </si>
  <si>
    <t>Small trail, wide channel.. 10:00:48</t>
  </si>
  <si>
    <t>Government Rd</t>
  </si>
  <si>
    <t>Open Bottom Structure</t>
  </si>
  <si>
    <t>Bridge</t>
  </si>
  <si>
    <t>Glans Drive</t>
  </si>
  <si>
    <t>Pipe Arch</t>
  </si>
  <si>
    <t>Williams FSR</t>
  </si>
  <si>
    <t>Tatsutnai Creek</t>
  </si>
  <si>
    <t>Barlow FSR</t>
  </si>
  <si>
    <t>Canfor R11286</t>
  </si>
  <si>
    <t>Spur</t>
  </si>
  <si>
    <t>Redmountain Creek</t>
  </si>
  <si>
    <t>Penny St</t>
  </si>
  <si>
    <t>AI MW</t>
  </si>
  <si>
    <t>Dahl Creek</t>
  </si>
  <si>
    <t>Gregg Creek FSR</t>
  </si>
  <si>
    <t>MOF 5416</t>
  </si>
  <si>
    <t>Other</t>
  </si>
  <si>
    <t>Unclassified</t>
  </si>
  <si>
    <t>Canfor R09185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</si>
</sst>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G11" sqref="G11"/>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92</v>
      </c>
    </row>
    <row r="5" spans="1:20">
      <c r="A5" s="4" t="s">
        <v>58</v>
      </c>
      <c r="B5" t="s">
        <v>93</v>
      </c>
    </row>
    <row r="6" spans="1:20">
      <c r="A6" s="4"/>
      <c r="B6" s="10"/>
    </row>
    <row r="7" spans="1:20">
      <c r="A7" s="4" t="s">
        <v>86</v>
      </c>
      <c r="B7" s="83" t="s">
        <v>94</v>
      </c>
    </row>
    <row r="8" spans="1:20">
      <c r="A8" s="4" t="s">
        <v>73</v>
      </c>
      <c r="B8" t="s">
        <v>95</v>
      </c>
    </row>
    <row r="9" spans="1:20">
      <c r="A9" s="4" t="s">
        <v>74</v>
      </c>
      <c r="B9" t="s">
        <v>96</v>
      </c>
    </row>
    <row r="10" spans="1:20">
      <c r="A10" s="4" t="s">
        <v>75</v>
      </c>
      <c r="B10" s="84" t="s">
        <v>97</v>
      </c>
    </row>
    <row r="11" spans="1:20">
      <c r="A11" s="4"/>
      <c r="B11" s="10"/>
    </row>
    <row r="12" spans="1:20">
      <c r="A12" s="4" t="s">
        <v>36</v>
      </c>
      <c r="B12" s="83" t="s">
        <v>98</v>
      </c>
    </row>
    <row r="13" spans="1:20">
      <c r="A13" s="4" t="s">
        <v>37</v>
      </c>
      <c r="B13" t="s">
        <v>95</v>
      </c>
    </row>
    <row r="14" spans="1:20">
      <c r="A14" s="4" t="s">
        <v>38</v>
      </c>
      <c r="B14" t="s">
        <v>96</v>
      </c>
    </row>
    <row r="15" spans="1:20">
      <c r="A15" s="4" t="s">
        <v>39</v>
      </c>
      <c r="B15" s="84" t="s">
        <v>97</v>
      </c>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O1" zoomScale="85" zoomScaleNormal="85" workbookViewId="0">
      <pane ySplit="4" topLeftCell="A5" activePane="bottomLeft" state="frozen"/>
      <selection pane="bottomLeft" activeCell="AE33" sqref="AE33"/>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45197</v>
      </c>
      <c r="C5" s="10">
        <v>5400442</v>
      </c>
      <c r="D5" s="10" t="s">
        <v>99</v>
      </c>
      <c r="E5" s="11">
        <v>10</v>
      </c>
      <c r="F5" s="39">
        <v>311759</v>
      </c>
      <c r="G5" s="39">
        <v>6025526</v>
      </c>
      <c r="H5" s="11" t="s">
        <v>100</v>
      </c>
      <c r="I5" s="11" t="s">
        <v>101</v>
      </c>
      <c r="J5" s="33"/>
      <c r="K5" s="11" t="s">
        <v>102</v>
      </c>
      <c r="L5" s="10" t="s">
        <v>103</v>
      </c>
      <c r="M5" s="10" t="s">
        <v>104</v>
      </c>
      <c r="N5" s="85">
        <v>7.1</v>
      </c>
      <c r="O5" s="85">
        <v>24</v>
      </c>
      <c r="P5" s="10" t="s">
        <v>105</v>
      </c>
      <c r="Q5" s="86"/>
      <c r="R5" s="10" t="s">
        <v>105</v>
      </c>
      <c r="S5" s="10" t="s">
        <v>105</v>
      </c>
      <c r="T5" s="86"/>
      <c r="U5" s="10">
        <v>1.8</v>
      </c>
      <c r="V5" s="10">
        <v>0.85</v>
      </c>
      <c r="W5" s="10">
        <v>1.3</v>
      </c>
      <c r="X5" s="10" t="s">
        <v>105</v>
      </c>
      <c r="Y5" s="10">
        <v>2.5</v>
      </c>
      <c r="Z5" s="10">
        <v>10</v>
      </c>
      <c r="AA5" s="10">
        <v>1.5</v>
      </c>
      <c r="AB5" s="10" t="s">
        <v>105</v>
      </c>
      <c r="AC5" s="10" t="s">
        <v>105</v>
      </c>
      <c r="AD5" s="10" t="s">
        <v>106</v>
      </c>
      <c r="AE5" s="10" t="s">
        <v>107</v>
      </c>
      <c r="AF5" s="20">
        <f>IF(ISBLANK(Z5), 0, IF(ISBLANK(N5) &lt; 0, 0,Z5 / N5))</f>
        <v>1.4084507042253522</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34</v>
      </c>
      <c r="AM5" s="14" t="str">
        <f>IF(ISBLANK(L5), "", IF(L5 = "Open Bottom Structure", "Passable", IF(L5 = "Other", "Unknown", IF(AL5 &lt; 15, "Passable", IF(AND(AL5 &gt;= 15,AL5 &lt;= 19), "Potential", IF(AL5 &gt; 19, "Barrier", ""))))))</f>
        <v>Barrier</v>
      </c>
      <c r="AN5" s="10" t="s">
        <v>294</v>
      </c>
      <c r="AO5" s="10">
        <v>15</v>
      </c>
      <c r="AP5" s="78" t="s">
        <v>296</v>
      </c>
    </row>
    <row r="6" spans="1:42" ht="16">
      <c r="A6" s="59">
        <v>45197</v>
      </c>
      <c r="C6" s="10">
        <v>24707052</v>
      </c>
      <c r="D6" s="10" t="s">
        <v>99</v>
      </c>
      <c r="E6" s="11">
        <v>10</v>
      </c>
      <c r="F6" s="39">
        <v>311577</v>
      </c>
      <c r="G6" s="39">
        <v>6025364</v>
      </c>
      <c r="H6" s="10" t="s">
        <v>100</v>
      </c>
      <c r="I6" s="11" t="s">
        <v>108</v>
      </c>
      <c r="J6" s="33"/>
      <c r="K6" s="10" t="s">
        <v>102</v>
      </c>
      <c r="L6" s="10" t="s">
        <v>103</v>
      </c>
      <c r="M6" s="10" t="s">
        <v>104</v>
      </c>
      <c r="N6" s="85">
        <v>3.6</v>
      </c>
      <c r="O6" s="85">
        <v>22.5</v>
      </c>
      <c r="P6" s="10" t="s">
        <v>105</v>
      </c>
      <c r="Q6" s="86"/>
      <c r="R6" s="10" t="s">
        <v>105</v>
      </c>
      <c r="S6" s="10" t="s">
        <v>105</v>
      </c>
      <c r="T6" s="86"/>
      <c r="U6" s="10">
        <v>2</v>
      </c>
      <c r="V6" s="10">
        <v>0</v>
      </c>
      <c r="W6" s="10">
        <v>0.6</v>
      </c>
      <c r="X6" s="10" t="s">
        <v>105</v>
      </c>
      <c r="Y6" s="10">
        <v>0</v>
      </c>
      <c r="Z6" s="10">
        <v>4</v>
      </c>
      <c r="AA6" s="10">
        <v>0.5</v>
      </c>
      <c r="AB6" s="10" t="s">
        <v>105</v>
      </c>
      <c r="AC6" s="10" t="s">
        <v>105</v>
      </c>
      <c r="AD6" s="10" t="s">
        <v>106</v>
      </c>
      <c r="AE6" s="10" t="s">
        <v>107</v>
      </c>
      <c r="AF6" s="20">
        <f t="shared" ref="AF6:AF11" si="0">IF(ISBLANK(Z6), 0, IF(ISBLANK(N6) &lt; 0, 0,Z6 / N6))</f>
        <v>1.1111111111111112</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0</v>
      </c>
      <c r="AK6" s="7">
        <f t="shared" ref="AK6:AK67" si="5">IF(AF6&lt;1,0,IF(AND(AF6&gt;=1,AF6&lt;1.3),3,IF(AF6&gt;=1.3,6,0)))</f>
        <v>3</v>
      </c>
      <c r="AL6" s="12">
        <f t="shared" ref="AL6:AL11" si="6">AG6 + AH6 + AI6 + AJ6 + AK6</f>
        <v>16</v>
      </c>
      <c r="AM6" s="14" t="str">
        <f t="shared" ref="AM6:AM67" si="7">IF(ISBLANK(L6), "", IF(L6 = "Open Bottom Structure", "Passable", IF(L6 = "Other", "Unknown", IF(AL6 &lt; 15, "Passable", IF(AND(AL6 &gt;= 15,AL6 &lt;= 19), "Potential", IF(AL6 &gt; 19, "Barrier", ""))))))</f>
        <v>Potential</v>
      </c>
      <c r="AN6" s="10" t="s">
        <v>294</v>
      </c>
      <c r="AO6" s="10">
        <v>15</v>
      </c>
      <c r="AP6" s="78" t="s">
        <v>297</v>
      </c>
    </row>
    <row r="7" spans="1:42" ht="16">
      <c r="A7" s="59">
        <v>45198</v>
      </c>
      <c r="C7" s="10">
        <v>5400216</v>
      </c>
      <c r="D7" s="10" t="s">
        <v>99</v>
      </c>
      <c r="E7" s="11">
        <v>10</v>
      </c>
      <c r="F7" s="39">
        <v>341709</v>
      </c>
      <c r="G7" s="39">
        <v>6003118</v>
      </c>
      <c r="H7" s="10" t="s">
        <v>100</v>
      </c>
      <c r="I7" s="11" t="s">
        <v>101</v>
      </c>
      <c r="J7" s="33"/>
      <c r="K7" s="10" t="s">
        <v>102</v>
      </c>
      <c r="L7" s="10" t="s">
        <v>103</v>
      </c>
      <c r="M7" s="10" t="s">
        <v>104</v>
      </c>
      <c r="N7" s="21">
        <v>1.8</v>
      </c>
      <c r="O7" s="21">
        <v>25</v>
      </c>
      <c r="P7" s="10" t="s">
        <v>105</v>
      </c>
      <c r="Q7" s="86"/>
      <c r="R7" s="10" t="s">
        <v>109</v>
      </c>
      <c r="S7" s="10" t="s">
        <v>105</v>
      </c>
      <c r="T7" s="86"/>
      <c r="U7" s="10">
        <v>2</v>
      </c>
      <c r="V7" s="10">
        <v>0</v>
      </c>
      <c r="W7" s="10">
        <v>0.3</v>
      </c>
      <c r="X7" s="10" t="s">
        <v>105</v>
      </c>
      <c r="Y7" s="10">
        <v>2</v>
      </c>
      <c r="Z7" s="10">
        <v>2.6</v>
      </c>
      <c r="AA7" s="10">
        <v>1</v>
      </c>
      <c r="AB7" s="10" t="s">
        <v>105</v>
      </c>
      <c r="AC7" s="10" t="s">
        <v>105</v>
      </c>
      <c r="AD7" s="10" t="s">
        <v>106</v>
      </c>
      <c r="AE7" s="10" t="s">
        <v>107</v>
      </c>
      <c r="AF7" s="20">
        <f t="shared" si="0"/>
        <v>1.4444444444444444</v>
      </c>
      <c r="AG7" s="13">
        <f t="shared" si="1"/>
        <v>3</v>
      </c>
      <c r="AH7" s="7">
        <f t="shared" si="2"/>
        <v>10</v>
      </c>
      <c r="AI7" s="7">
        <f t="shared" si="3"/>
        <v>0</v>
      </c>
      <c r="AJ7" s="7">
        <f t="shared" si="4"/>
        <v>5</v>
      </c>
      <c r="AK7" s="7">
        <f t="shared" si="5"/>
        <v>6</v>
      </c>
      <c r="AL7" s="12">
        <f t="shared" si="6"/>
        <v>24</v>
      </c>
      <c r="AM7" s="14" t="str">
        <f t="shared" si="7"/>
        <v>Barrier</v>
      </c>
      <c r="AN7" s="10" t="s">
        <v>294</v>
      </c>
      <c r="AO7" s="10">
        <v>15</v>
      </c>
      <c r="AP7" s="10" t="s">
        <v>298</v>
      </c>
    </row>
    <row r="8" spans="1:42" ht="16">
      <c r="A8" s="59">
        <v>45198</v>
      </c>
      <c r="B8" s="82"/>
      <c r="C8" s="10">
        <v>5400121</v>
      </c>
      <c r="D8" s="10" t="s">
        <v>99</v>
      </c>
      <c r="E8" s="11">
        <v>10</v>
      </c>
      <c r="F8" s="39">
        <v>346590</v>
      </c>
      <c r="G8" s="39">
        <v>6001339</v>
      </c>
      <c r="H8" s="10" t="s">
        <v>100</v>
      </c>
      <c r="I8" s="11" t="s">
        <v>110</v>
      </c>
      <c r="J8" s="79"/>
      <c r="K8" s="81" t="s">
        <v>111</v>
      </c>
      <c r="L8" s="10" t="s">
        <v>103</v>
      </c>
      <c r="M8" s="10" t="s">
        <v>104</v>
      </c>
      <c r="N8" s="21">
        <v>0.6</v>
      </c>
      <c r="O8" s="21">
        <v>13.5</v>
      </c>
      <c r="P8" s="10" t="s">
        <v>105</v>
      </c>
      <c r="Q8" s="86"/>
      <c r="R8" s="10" t="s">
        <v>105</v>
      </c>
      <c r="S8" s="10" t="s">
        <v>105</v>
      </c>
      <c r="T8" s="86"/>
      <c r="U8" s="10">
        <v>0.7</v>
      </c>
      <c r="V8" s="10">
        <v>0.1</v>
      </c>
      <c r="W8" s="10">
        <v>0.25</v>
      </c>
      <c r="X8" s="10" t="s">
        <v>105</v>
      </c>
      <c r="Y8" s="10">
        <v>3</v>
      </c>
      <c r="Z8" s="10">
        <v>1.8</v>
      </c>
      <c r="AA8" s="10">
        <v>0.5</v>
      </c>
      <c r="AB8" s="10" t="s">
        <v>109</v>
      </c>
      <c r="AC8" s="10" t="s">
        <v>105</v>
      </c>
      <c r="AD8" s="10" t="s">
        <v>106</v>
      </c>
      <c r="AE8" s="10" t="s">
        <v>107</v>
      </c>
      <c r="AF8" s="20">
        <f t="shared" si="0"/>
        <v>3</v>
      </c>
      <c r="AG8" s="13">
        <f t="shared" si="1"/>
        <v>0</v>
      </c>
      <c r="AH8" s="7">
        <f t="shared" si="2"/>
        <v>10</v>
      </c>
      <c r="AI8" s="7">
        <f t="shared" si="3"/>
        <v>0</v>
      </c>
      <c r="AJ8" s="7">
        <f t="shared" si="4"/>
        <v>10</v>
      </c>
      <c r="AK8" s="7">
        <f t="shared" si="5"/>
        <v>6</v>
      </c>
      <c r="AL8" s="12">
        <f t="shared" si="6"/>
        <v>26</v>
      </c>
      <c r="AM8" s="14" t="str">
        <f t="shared" si="7"/>
        <v>Barrier</v>
      </c>
      <c r="AN8" s="10" t="s">
        <v>295</v>
      </c>
      <c r="AO8" s="10">
        <v>3</v>
      </c>
      <c r="AP8" s="10" t="s">
        <v>299</v>
      </c>
    </row>
    <row r="9" spans="1:42" ht="16">
      <c r="A9" s="59">
        <v>45198</v>
      </c>
      <c r="C9" s="10">
        <v>5400192</v>
      </c>
      <c r="D9" s="10" t="s">
        <v>99</v>
      </c>
      <c r="E9" s="11">
        <v>10</v>
      </c>
      <c r="F9" s="39">
        <v>353705</v>
      </c>
      <c r="G9" s="39">
        <v>5996651</v>
      </c>
      <c r="H9" s="78" t="s">
        <v>112</v>
      </c>
      <c r="I9" s="11" t="s">
        <v>101</v>
      </c>
      <c r="J9" s="33"/>
      <c r="K9" s="81" t="s">
        <v>102</v>
      </c>
      <c r="L9" s="10" t="s">
        <v>103</v>
      </c>
      <c r="M9" s="10" t="s">
        <v>104</v>
      </c>
      <c r="N9" s="21">
        <v>1.55</v>
      </c>
      <c r="O9" s="21">
        <v>23</v>
      </c>
      <c r="P9" s="10" t="s">
        <v>105</v>
      </c>
      <c r="Q9" s="86"/>
      <c r="R9" s="10" t="s">
        <v>105</v>
      </c>
      <c r="S9" s="10" t="s">
        <v>105</v>
      </c>
      <c r="T9" s="86"/>
      <c r="U9" s="10">
        <v>1.8</v>
      </c>
      <c r="V9" s="10">
        <v>0</v>
      </c>
      <c r="W9" s="10">
        <v>0</v>
      </c>
      <c r="X9" s="10" t="s">
        <v>105</v>
      </c>
      <c r="Y9" s="10">
        <v>1</v>
      </c>
      <c r="Z9" s="10">
        <v>1.6</v>
      </c>
      <c r="AA9" s="10">
        <v>2.5</v>
      </c>
      <c r="AB9" s="10" t="s">
        <v>105</v>
      </c>
      <c r="AC9" s="10" t="s">
        <v>105</v>
      </c>
      <c r="AD9" s="10" t="s">
        <v>106</v>
      </c>
      <c r="AE9" s="10" t="s">
        <v>107</v>
      </c>
      <c r="AF9" s="20">
        <f t="shared" si="0"/>
        <v>1.032258064516129</v>
      </c>
      <c r="AG9" s="13">
        <f t="shared" si="1"/>
        <v>3</v>
      </c>
      <c r="AH9" s="7">
        <f t="shared" si="2"/>
        <v>10</v>
      </c>
      <c r="AI9" s="7">
        <f t="shared" si="3"/>
        <v>0</v>
      </c>
      <c r="AJ9" s="7">
        <f t="shared" si="4"/>
        <v>5</v>
      </c>
      <c r="AK9" s="7">
        <f t="shared" si="5"/>
        <v>3</v>
      </c>
      <c r="AL9" s="12">
        <f t="shared" si="6"/>
        <v>21</v>
      </c>
      <c r="AM9" s="14" t="str">
        <f t="shared" si="7"/>
        <v>Barrier</v>
      </c>
      <c r="AN9" s="10" t="s">
        <v>295</v>
      </c>
      <c r="AO9" s="10">
        <v>3</v>
      </c>
      <c r="AP9" s="10" t="s">
        <v>300</v>
      </c>
    </row>
    <row r="10" spans="1:42" ht="16">
      <c r="A10" s="59">
        <v>45198</v>
      </c>
      <c r="C10" s="10">
        <v>5400235</v>
      </c>
      <c r="D10" s="10" t="s">
        <v>99</v>
      </c>
      <c r="E10" s="11">
        <v>10</v>
      </c>
      <c r="F10" s="39">
        <v>371691</v>
      </c>
      <c r="G10" s="39">
        <v>5993173</v>
      </c>
      <c r="H10" s="78" t="s">
        <v>113</v>
      </c>
      <c r="I10" s="11" t="s">
        <v>101</v>
      </c>
      <c r="J10" s="33"/>
      <c r="K10" s="10" t="s">
        <v>102</v>
      </c>
      <c r="L10" s="10" t="s">
        <v>103</v>
      </c>
      <c r="M10" s="10" t="s">
        <v>104</v>
      </c>
      <c r="N10" s="21">
        <v>0.9</v>
      </c>
      <c r="O10" s="21">
        <v>20</v>
      </c>
      <c r="P10" s="10" t="s">
        <v>105</v>
      </c>
      <c r="Q10" s="87"/>
      <c r="R10" s="10" t="s">
        <v>105</v>
      </c>
      <c r="S10" s="10" t="s">
        <v>105</v>
      </c>
      <c r="T10" s="87"/>
      <c r="U10" s="21">
        <v>0.7</v>
      </c>
      <c r="V10" s="10">
        <v>1.2</v>
      </c>
      <c r="W10" s="21">
        <v>0.4</v>
      </c>
      <c r="X10" s="10" t="s">
        <v>105</v>
      </c>
      <c r="Y10" s="21">
        <v>2</v>
      </c>
      <c r="Z10" s="21">
        <v>1</v>
      </c>
      <c r="AA10" s="10">
        <v>3</v>
      </c>
      <c r="AB10" s="10" t="s">
        <v>105</v>
      </c>
      <c r="AC10" s="10" t="s">
        <v>105</v>
      </c>
      <c r="AD10" s="10" t="s">
        <v>106</v>
      </c>
      <c r="AE10" s="10" t="s">
        <v>114</v>
      </c>
      <c r="AF10" s="20">
        <f t="shared" si="0"/>
        <v>1.1111111111111112</v>
      </c>
      <c r="AG10" s="13">
        <f t="shared" si="1"/>
        <v>3</v>
      </c>
      <c r="AH10" s="7">
        <f t="shared" si="2"/>
        <v>10</v>
      </c>
      <c r="AI10" s="7">
        <f t="shared" si="3"/>
        <v>10</v>
      </c>
      <c r="AJ10" s="7">
        <f t="shared" si="4"/>
        <v>5</v>
      </c>
      <c r="AK10" s="7">
        <f t="shared" si="5"/>
        <v>3</v>
      </c>
      <c r="AL10" s="12">
        <f t="shared" si="6"/>
        <v>31</v>
      </c>
      <c r="AM10" s="14" t="str">
        <f t="shared" si="7"/>
        <v>Barrier</v>
      </c>
      <c r="AN10" s="10" t="s">
        <v>295</v>
      </c>
      <c r="AO10" s="21">
        <v>3</v>
      </c>
      <c r="AP10" s="10" t="s">
        <v>301</v>
      </c>
    </row>
    <row r="11" spans="1:42" ht="16">
      <c r="A11" s="59">
        <v>45198</v>
      </c>
      <c r="C11" s="78">
        <v>5400045</v>
      </c>
      <c r="D11" s="10" t="s">
        <v>99</v>
      </c>
      <c r="E11" s="10">
        <v>10</v>
      </c>
      <c r="F11" s="80">
        <v>391513</v>
      </c>
      <c r="G11" s="80">
        <v>5991795</v>
      </c>
      <c r="H11" s="78" t="s">
        <v>115</v>
      </c>
      <c r="I11" s="11" t="s">
        <v>101</v>
      </c>
      <c r="J11" s="33"/>
      <c r="K11" s="10" t="s">
        <v>102</v>
      </c>
      <c r="L11" s="10" t="s">
        <v>103</v>
      </c>
      <c r="M11" s="10" t="s">
        <v>104</v>
      </c>
      <c r="N11" s="21">
        <v>1.5</v>
      </c>
      <c r="O11" s="21">
        <v>50</v>
      </c>
      <c r="P11" s="10" t="s">
        <v>105</v>
      </c>
      <c r="Q11" s="87"/>
      <c r="R11" s="10" t="s">
        <v>105</v>
      </c>
      <c r="S11" s="10" t="s">
        <v>105</v>
      </c>
      <c r="T11" s="87"/>
      <c r="U11" s="21">
        <v>9.9</v>
      </c>
      <c r="V11" s="10">
        <v>0.4</v>
      </c>
      <c r="W11" s="21">
        <v>0.5</v>
      </c>
      <c r="X11" s="10" t="s">
        <v>105</v>
      </c>
      <c r="Y11" s="21">
        <v>0.5</v>
      </c>
      <c r="Z11" s="21">
        <v>4</v>
      </c>
      <c r="AA11" s="10">
        <v>2</v>
      </c>
      <c r="AB11" s="10" t="s">
        <v>105</v>
      </c>
      <c r="AC11" s="10" t="s">
        <v>105</v>
      </c>
      <c r="AD11" s="10" t="s">
        <v>106</v>
      </c>
      <c r="AE11" s="10" t="s">
        <v>107</v>
      </c>
      <c r="AF11" s="20">
        <f t="shared" si="0"/>
        <v>2.6666666666666665</v>
      </c>
      <c r="AG11" s="13">
        <f t="shared" si="1"/>
        <v>6</v>
      </c>
      <c r="AH11" s="7">
        <f t="shared" si="2"/>
        <v>10</v>
      </c>
      <c r="AI11" s="7">
        <f t="shared" si="3"/>
        <v>10</v>
      </c>
      <c r="AJ11" s="7">
        <f>IF(Y11&lt;1,0,IF(AND(Y11&gt;=1,Y11&lt;3),5,IF(Y11&gt;=3,10,0)))</f>
        <v>0</v>
      </c>
      <c r="AK11" s="7">
        <f t="shared" si="5"/>
        <v>6</v>
      </c>
      <c r="AL11" s="12">
        <f t="shared" si="6"/>
        <v>32</v>
      </c>
      <c r="AM11" s="14" t="str">
        <f t="shared" si="7"/>
        <v>Barrier</v>
      </c>
      <c r="AN11" s="10" t="s">
        <v>294</v>
      </c>
      <c r="AO11" s="10">
        <v>35.5</v>
      </c>
      <c r="AP11" s="10" t="s">
        <v>302</v>
      </c>
    </row>
    <row r="12" spans="1:42" ht="16">
      <c r="A12" s="59">
        <v>45199</v>
      </c>
      <c r="C12" s="10">
        <v>5400003</v>
      </c>
      <c r="D12" s="10" t="s">
        <v>99</v>
      </c>
      <c r="E12" s="11">
        <v>10</v>
      </c>
      <c r="F12" s="39">
        <v>377178</v>
      </c>
      <c r="G12" s="39">
        <v>5993874</v>
      </c>
      <c r="H12" s="11" t="s">
        <v>116</v>
      </c>
      <c r="I12" s="11" t="s">
        <v>117</v>
      </c>
      <c r="J12" s="33"/>
      <c r="K12" s="11" t="s">
        <v>102</v>
      </c>
      <c r="L12" s="10" t="s">
        <v>103</v>
      </c>
      <c r="M12" s="10" t="s">
        <v>104</v>
      </c>
      <c r="N12" s="21">
        <v>0.6</v>
      </c>
      <c r="O12" s="21">
        <v>23</v>
      </c>
      <c r="P12" s="10" t="s">
        <v>105</v>
      </c>
      <c r="Q12" s="86"/>
      <c r="R12" s="10" t="s">
        <v>105</v>
      </c>
      <c r="S12" s="10" t="s">
        <v>105</v>
      </c>
      <c r="T12" s="87"/>
      <c r="U12" s="21">
        <v>4</v>
      </c>
      <c r="V12" s="10">
        <v>0.3</v>
      </c>
      <c r="W12" s="21">
        <v>0</v>
      </c>
      <c r="X12" s="10" t="s">
        <v>105</v>
      </c>
      <c r="Y12" s="21">
        <v>1</v>
      </c>
      <c r="Z12" s="21">
        <v>1</v>
      </c>
      <c r="AA12" s="10">
        <v>2</v>
      </c>
      <c r="AB12" s="10" t="s">
        <v>105</v>
      </c>
      <c r="AC12" s="10" t="s">
        <v>105</v>
      </c>
      <c r="AD12" s="10" t="s">
        <v>106</v>
      </c>
      <c r="AE12" s="10" t="s">
        <v>114</v>
      </c>
      <c r="AF12" s="20">
        <f t="shared" ref="AF12:AF72" si="8">IF(ISBLANK(Z12), 0, IF(ISBLANK(N12) &lt; 0, 0,Z12 / N12))</f>
        <v>1.6666666666666667</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10" t="s">
        <v>295</v>
      </c>
      <c r="AO12" s="21">
        <v>3</v>
      </c>
      <c r="AP12" s="10" t="s">
        <v>303</v>
      </c>
    </row>
    <row r="13" spans="1:42" ht="16">
      <c r="A13" s="59">
        <v>45199</v>
      </c>
      <c r="C13" s="10">
        <v>5400202</v>
      </c>
      <c r="D13" s="10" t="s">
        <v>99</v>
      </c>
      <c r="E13" s="11">
        <v>10</v>
      </c>
      <c r="F13" s="39">
        <v>388944</v>
      </c>
      <c r="G13" s="39">
        <v>5997002</v>
      </c>
      <c r="H13" s="11" t="s">
        <v>115</v>
      </c>
      <c r="I13" s="11" t="s">
        <v>118</v>
      </c>
      <c r="K13" s="11" t="s">
        <v>111</v>
      </c>
      <c r="L13" s="10" t="s">
        <v>103</v>
      </c>
      <c r="M13" s="10" t="s">
        <v>104</v>
      </c>
      <c r="N13" s="21">
        <v>1</v>
      </c>
      <c r="O13" s="21">
        <v>13</v>
      </c>
      <c r="P13" s="10" t="s">
        <v>105</v>
      </c>
      <c r="Q13" s="86"/>
      <c r="R13" s="10" t="s">
        <v>105</v>
      </c>
      <c r="S13" s="10" t="s">
        <v>105</v>
      </c>
      <c r="T13" s="86"/>
      <c r="U13" s="21">
        <v>1</v>
      </c>
      <c r="V13" s="10">
        <v>0.8</v>
      </c>
      <c r="W13" s="21">
        <v>0.6</v>
      </c>
      <c r="X13" s="10" t="s">
        <v>105</v>
      </c>
      <c r="Y13" s="21">
        <v>4.5</v>
      </c>
      <c r="Z13" s="21">
        <v>1.7</v>
      </c>
      <c r="AA13" s="10">
        <v>2</v>
      </c>
      <c r="AB13" s="10" t="s">
        <v>105</v>
      </c>
      <c r="AC13" s="10" t="s">
        <v>105</v>
      </c>
      <c r="AD13" s="10" t="s">
        <v>106</v>
      </c>
      <c r="AE13" s="10" t="s">
        <v>119</v>
      </c>
      <c r="AF13" s="20">
        <f t="shared" si="8"/>
        <v>1.7</v>
      </c>
      <c r="AG13" s="13">
        <f t="shared" si="1"/>
        <v>0</v>
      </c>
      <c r="AH13" s="7">
        <f t="shared" si="2"/>
        <v>10</v>
      </c>
      <c r="AI13" s="7">
        <f t="shared" si="3"/>
        <v>10</v>
      </c>
      <c r="AJ13" s="7">
        <f t="shared" si="4"/>
        <v>10</v>
      </c>
      <c r="AK13" s="7">
        <f t="shared" si="5"/>
        <v>6</v>
      </c>
      <c r="AL13" s="12">
        <f t="shared" si="9"/>
        <v>36</v>
      </c>
      <c r="AM13" s="14" t="str">
        <f t="shared" si="7"/>
        <v>Barrier</v>
      </c>
      <c r="AN13" s="10" t="s">
        <v>295</v>
      </c>
      <c r="AO13" s="21">
        <v>3</v>
      </c>
      <c r="AP13" s="10" t="s">
        <v>304</v>
      </c>
    </row>
    <row r="14" spans="1:42" ht="16">
      <c r="A14" s="59">
        <v>45199</v>
      </c>
      <c r="C14" s="10">
        <v>5400203</v>
      </c>
      <c r="D14" s="10" t="s">
        <v>99</v>
      </c>
      <c r="E14" s="11">
        <v>10</v>
      </c>
      <c r="F14" s="39">
        <v>388270</v>
      </c>
      <c r="G14" s="39">
        <v>5996949</v>
      </c>
      <c r="H14" s="11" t="s">
        <v>120</v>
      </c>
      <c r="I14" s="11" t="s">
        <v>117</v>
      </c>
      <c r="K14" s="11" t="s">
        <v>102</v>
      </c>
      <c r="L14" s="10" t="s">
        <v>103</v>
      </c>
      <c r="M14" s="10" t="s">
        <v>104</v>
      </c>
      <c r="N14" s="21">
        <v>1.1000000000000001</v>
      </c>
      <c r="O14" s="21">
        <v>25</v>
      </c>
      <c r="P14" s="10" t="s">
        <v>105</v>
      </c>
      <c r="Q14" s="86"/>
      <c r="R14" s="10" t="s">
        <v>105</v>
      </c>
      <c r="S14" s="10" t="s">
        <v>105</v>
      </c>
      <c r="T14" s="86"/>
      <c r="U14" s="21">
        <v>5</v>
      </c>
      <c r="V14" s="10">
        <v>1.4</v>
      </c>
      <c r="W14" s="21">
        <v>0.2</v>
      </c>
      <c r="X14" s="10" t="s">
        <v>105</v>
      </c>
      <c r="Y14" s="21">
        <v>4.5</v>
      </c>
      <c r="Z14" s="21">
        <v>2.6</v>
      </c>
      <c r="AA14" s="10">
        <v>2</v>
      </c>
      <c r="AB14" s="10" t="s">
        <v>105</v>
      </c>
      <c r="AC14" s="10" t="s">
        <v>105</v>
      </c>
      <c r="AD14" s="10" t="s">
        <v>106</v>
      </c>
      <c r="AE14" s="10" t="s">
        <v>119</v>
      </c>
      <c r="AF14" s="20">
        <f t="shared" si="8"/>
        <v>2.3636363636363633</v>
      </c>
      <c r="AG14" s="13">
        <f t="shared" si="1"/>
        <v>3</v>
      </c>
      <c r="AH14" s="7">
        <f t="shared" si="2"/>
        <v>10</v>
      </c>
      <c r="AI14" s="7">
        <f t="shared" si="3"/>
        <v>10</v>
      </c>
      <c r="AJ14" s="7">
        <f t="shared" si="4"/>
        <v>10</v>
      </c>
      <c r="AK14" s="7">
        <f t="shared" si="5"/>
        <v>6</v>
      </c>
      <c r="AL14" s="12">
        <f t="shared" si="9"/>
        <v>39</v>
      </c>
      <c r="AM14" s="14" t="str">
        <f t="shared" si="7"/>
        <v>Barrier</v>
      </c>
      <c r="AN14" s="10" t="s">
        <v>294</v>
      </c>
      <c r="AO14" s="21">
        <v>21</v>
      </c>
      <c r="AP14" s="10" t="s">
        <v>305</v>
      </c>
    </row>
    <row r="15" spans="1:42" ht="32">
      <c r="A15" s="59">
        <v>45199</v>
      </c>
      <c r="C15" s="10">
        <v>15600277</v>
      </c>
      <c r="D15" s="10" t="s">
        <v>99</v>
      </c>
      <c r="E15" s="11">
        <v>10</v>
      </c>
      <c r="F15" s="39">
        <v>398933</v>
      </c>
      <c r="G15" s="39">
        <v>5996365</v>
      </c>
      <c r="H15" s="11" t="s">
        <v>121</v>
      </c>
      <c r="I15" s="11" t="s">
        <v>122</v>
      </c>
      <c r="K15" s="11" t="s">
        <v>102</v>
      </c>
      <c r="L15" s="10" t="s">
        <v>103</v>
      </c>
      <c r="M15" s="10" t="s">
        <v>104</v>
      </c>
      <c r="N15" s="21">
        <v>0.95</v>
      </c>
      <c r="O15" s="21">
        <v>11.5</v>
      </c>
      <c r="P15" s="10" t="s">
        <v>105</v>
      </c>
      <c r="Q15" s="86"/>
      <c r="R15" s="10" t="s">
        <v>105</v>
      </c>
      <c r="S15" s="10" t="s">
        <v>105</v>
      </c>
      <c r="T15" s="87"/>
      <c r="U15" s="21">
        <v>1.5</v>
      </c>
      <c r="V15" s="10">
        <v>0.4</v>
      </c>
      <c r="W15" s="21">
        <v>1</v>
      </c>
      <c r="X15" s="10" t="s">
        <v>105</v>
      </c>
      <c r="Y15" s="21">
        <v>3</v>
      </c>
      <c r="Z15" s="21">
        <v>2.7</v>
      </c>
      <c r="AA15" s="10">
        <v>3</v>
      </c>
      <c r="AB15" s="10" t="s">
        <v>109</v>
      </c>
      <c r="AC15" s="10" t="s">
        <v>109</v>
      </c>
      <c r="AD15" s="10" t="s">
        <v>106</v>
      </c>
      <c r="AE15" s="10" t="s">
        <v>119</v>
      </c>
      <c r="AF15" s="20">
        <f t="shared" si="8"/>
        <v>2.8421052631578951</v>
      </c>
      <c r="AG15" s="13">
        <f t="shared" si="1"/>
        <v>0</v>
      </c>
      <c r="AH15" s="7">
        <f t="shared" si="2"/>
        <v>10</v>
      </c>
      <c r="AI15" s="7">
        <f t="shared" si="3"/>
        <v>10</v>
      </c>
      <c r="AJ15" s="7">
        <f t="shared" si="4"/>
        <v>10</v>
      </c>
      <c r="AK15" s="7">
        <f t="shared" si="5"/>
        <v>6</v>
      </c>
      <c r="AL15" s="12">
        <f t="shared" si="9"/>
        <v>36</v>
      </c>
      <c r="AM15" s="14" t="str">
        <f t="shared" si="7"/>
        <v>Barrier</v>
      </c>
      <c r="AN15" s="10" t="s">
        <v>294</v>
      </c>
      <c r="AO15" s="21">
        <v>15</v>
      </c>
      <c r="AP15" s="10" t="s">
        <v>306</v>
      </c>
    </row>
    <row r="16" spans="1:42" ht="32">
      <c r="A16" s="59">
        <v>45199</v>
      </c>
      <c r="C16" s="10">
        <v>15604478</v>
      </c>
      <c r="D16" s="10" t="s">
        <v>99</v>
      </c>
      <c r="E16" s="11">
        <v>10</v>
      </c>
      <c r="F16" s="39">
        <v>397160</v>
      </c>
      <c r="G16" s="39">
        <v>5996558</v>
      </c>
      <c r="H16" s="11" t="s">
        <v>121</v>
      </c>
      <c r="I16" s="11" t="s">
        <v>123</v>
      </c>
      <c r="J16" s="22">
        <v>1.1000000000000001</v>
      </c>
      <c r="K16" s="11" t="s">
        <v>124</v>
      </c>
      <c r="L16" s="10" t="s">
        <v>103</v>
      </c>
      <c r="M16" s="10" t="s">
        <v>104</v>
      </c>
      <c r="N16" s="21">
        <v>1.45</v>
      </c>
      <c r="O16" s="21">
        <v>16</v>
      </c>
      <c r="P16" s="10" t="s">
        <v>105</v>
      </c>
      <c r="Q16" s="86"/>
      <c r="R16" s="10" t="s">
        <v>105</v>
      </c>
      <c r="S16" s="10" t="s">
        <v>105</v>
      </c>
      <c r="T16" s="87"/>
      <c r="U16" s="21">
        <v>0.5</v>
      </c>
      <c r="V16" s="10">
        <v>0</v>
      </c>
      <c r="W16" s="21">
        <v>0.2</v>
      </c>
      <c r="X16" s="10" t="s">
        <v>109</v>
      </c>
      <c r="Y16" s="21">
        <v>2</v>
      </c>
      <c r="Z16" s="21">
        <v>2.5</v>
      </c>
      <c r="AA16" s="10">
        <v>0.5</v>
      </c>
      <c r="AB16" s="10" t="s">
        <v>105</v>
      </c>
      <c r="AC16" s="10" t="s">
        <v>105</v>
      </c>
      <c r="AD16" s="10" t="s">
        <v>106</v>
      </c>
      <c r="AE16" s="10" t="s">
        <v>107</v>
      </c>
      <c r="AF16" s="20">
        <f t="shared" si="8"/>
        <v>1.7241379310344829</v>
      </c>
      <c r="AG16" s="13">
        <f t="shared" si="1"/>
        <v>3</v>
      </c>
      <c r="AH16" s="7">
        <f t="shared" si="2"/>
        <v>10</v>
      </c>
      <c r="AI16" s="7">
        <f t="shared" si="3"/>
        <v>0</v>
      </c>
      <c r="AJ16" s="7">
        <f t="shared" si="4"/>
        <v>5</v>
      </c>
      <c r="AK16" s="7">
        <f t="shared" si="5"/>
        <v>6</v>
      </c>
      <c r="AL16" s="12">
        <f t="shared" si="9"/>
        <v>24</v>
      </c>
      <c r="AM16" s="14" t="str">
        <f t="shared" si="7"/>
        <v>Barrier</v>
      </c>
      <c r="AN16" s="10" t="s">
        <v>294</v>
      </c>
      <c r="AO16" s="21">
        <v>15</v>
      </c>
      <c r="AP16" s="10" t="s">
        <v>307</v>
      </c>
    </row>
    <row r="17" spans="1:42" ht="16">
      <c r="A17" s="59">
        <v>45200</v>
      </c>
      <c r="C17" s="10">
        <v>9903437</v>
      </c>
      <c r="D17" s="10" t="s">
        <v>99</v>
      </c>
      <c r="E17" s="11">
        <v>10</v>
      </c>
      <c r="F17" s="39">
        <v>500733</v>
      </c>
      <c r="G17" s="39">
        <v>5959822</v>
      </c>
      <c r="H17" s="11" t="s">
        <v>125</v>
      </c>
      <c r="I17" s="11" t="s">
        <v>126</v>
      </c>
      <c r="K17" s="11" t="s">
        <v>102</v>
      </c>
      <c r="L17" s="10" t="s">
        <v>103</v>
      </c>
      <c r="M17" s="10" t="s">
        <v>104</v>
      </c>
      <c r="N17" s="21">
        <v>1.2</v>
      </c>
      <c r="O17" s="21">
        <v>29</v>
      </c>
      <c r="P17" s="10" t="s">
        <v>105</v>
      </c>
      <c r="Q17" s="87"/>
      <c r="R17" s="10" t="s">
        <v>105</v>
      </c>
      <c r="S17" s="10" t="s">
        <v>105</v>
      </c>
      <c r="T17" s="86"/>
      <c r="U17" s="21">
        <v>2</v>
      </c>
      <c r="V17" s="10">
        <v>1.5</v>
      </c>
      <c r="W17" s="21">
        <v>0</v>
      </c>
      <c r="X17" s="10" t="s">
        <v>105</v>
      </c>
      <c r="Y17" s="21">
        <v>5</v>
      </c>
      <c r="Z17" s="21">
        <v>1.2</v>
      </c>
      <c r="AA17" s="10">
        <v>3</v>
      </c>
      <c r="AB17" s="10" t="s">
        <v>105</v>
      </c>
      <c r="AC17" s="10" t="s">
        <v>105</v>
      </c>
      <c r="AD17" s="10" t="s">
        <v>106</v>
      </c>
      <c r="AE17" s="10" t="s">
        <v>114</v>
      </c>
      <c r="AF17" s="20">
        <f t="shared" si="8"/>
        <v>1</v>
      </c>
      <c r="AG17" s="13">
        <f t="shared" si="1"/>
        <v>3</v>
      </c>
      <c r="AH17" s="7">
        <f t="shared" si="2"/>
        <v>10</v>
      </c>
      <c r="AI17" s="7">
        <f t="shared" si="3"/>
        <v>10</v>
      </c>
      <c r="AJ17" s="7">
        <f t="shared" si="4"/>
        <v>10</v>
      </c>
      <c r="AK17" s="7">
        <f t="shared" si="5"/>
        <v>3</v>
      </c>
      <c r="AL17" s="12">
        <f t="shared" si="9"/>
        <v>36</v>
      </c>
      <c r="AM17" s="14" t="str">
        <f t="shared" si="7"/>
        <v>Barrier</v>
      </c>
      <c r="AN17" s="10" t="s">
        <v>295</v>
      </c>
      <c r="AO17" s="21">
        <v>3</v>
      </c>
      <c r="AP17" s="10" t="s">
        <v>308</v>
      </c>
    </row>
    <row r="18" spans="1:42" ht="16">
      <c r="A18" s="59">
        <v>45200</v>
      </c>
      <c r="C18" s="10">
        <v>9901826</v>
      </c>
      <c r="D18" s="10" t="s">
        <v>99</v>
      </c>
      <c r="E18" s="11">
        <v>10</v>
      </c>
      <c r="F18" s="39">
        <v>498057</v>
      </c>
      <c r="G18" s="39">
        <v>5955884</v>
      </c>
      <c r="H18" s="11" t="s">
        <v>127</v>
      </c>
      <c r="I18" s="11" t="s">
        <v>126</v>
      </c>
      <c r="K18" s="11" t="s">
        <v>102</v>
      </c>
      <c r="L18" s="10" t="s">
        <v>103</v>
      </c>
      <c r="M18" s="10" t="s">
        <v>104</v>
      </c>
      <c r="N18" s="21">
        <v>0.9</v>
      </c>
      <c r="O18" s="21">
        <v>10</v>
      </c>
      <c r="P18" s="10" t="s">
        <v>105</v>
      </c>
      <c r="Q18" s="86"/>
      <c r="R18" s="10" t="s">
        <v>105</v>
      </c>
      <c r="S18" s="10" t="s">
        <v>105</v>
      </c>
      <c r="T18" s="87"/>
      <c r="U18" s="21">
        <v>0.8</v>
      </c>
      <c r="V18" s="10">
        <v>0.25</v>
      </c>
      <c r="W18" s="21">
        <v>0.2</v>
      </c>
      <c r="X18" s="10" t="s">
        <v>105</v>
      </c>
      <c r="Y18" s="21">
        <v>3</v>
      </c>
      <c r="Z18" s="21">
        <v>1.7</v>
      </c>
      <c r="AA18" s="10">
        <v>1</v>
      </c>
      <c r="AB18" s="10" t="s">
        <v>105</v>
      </c>
      <c r="AC18" s="10" t="s">
        <v>105</v>
      </c>
      <c r="AD18" s="10" t="s">
        <v>106</v>
      </c>
      <c r="AE18" s="10" t="s">
        <v>114</v>
      </c>
      <c r="AF18" s="20">
        <f t="shared" si="8"/>
        <v>1.8888888888888888</v>
      </c>
      <c r="AG18" s="13">
        <f t="shared" si="1"/>
        <v>0</v>
      </c>
      <c r="AH18" s="7">
        <f t="shared" si="2"/>
        <v>10</v>
      </c>
      <c r="AI18" s="7">
        <f t="shared" si="3"/>
        <v>5</v>
      </c>
      <c r="AJ18" s="7">
        <f t="shared" si="4"/>
        <v>10</v>
      </c>
      <c r="AK18" s="7">
        <f t="shared" si="5"/>
        <v>6</v>
      </c>
      <c r="AL18" s="12">
        <f t="shared" si="9"/>
        <v>31</v>
      </c>
      <c r="AM18" s="14" t="str">
        <f t="shared" si="7"/>
        <v>Barrier</v>
      </c>
      <c r="AN18" s="10" t="s">
        <v>295</v>
      </c>
      <c r="AO18" s="21">
        <v>3</v>
      </c>
      <c r="AP18" s="10" t="s">
        <v>309</v>
      </c>
    </row>
    <row r="19" spans="1:42" ht="32">
      <c r="A19" s="59">
        <v>45200</v>
      </c>
      <c r="C19" s="10">
        <v>9903963</v>
      </c>
      <c r="D19" s="10" t="s">
        <v>99</v>
      </c>
      <c r="E19" s="11">
        <v>10</v>
      </c>
      <c r="F19" s="39">
        <v>491332</v>
      </c>
      <c r="G19" s="39">
        <v>5956490</v>
      </c>
      <c r="H19" s="11" t="s">
        <v>128</v>
      </c>
      <c r="I19" s="11" t="s">
        <v>129</v>
      </c>
      <c r="J19" s="33"/>
      <c r="K19" s="11" t="s">
        <v>102</v>
      </c>
      <c r="L19" s="10" t="s">
        <v>103</v>
      </c>
      <c r="M19" s="10" t="s">
        <v>104</v>
      </c>
      <c r="N19" s="21">
        <v>1.5</v>
      </c>
      <c r="O19" s="21">
        <v>16</v>
      </c>
      <c r="P19" s="10" t="s">
        <v>105</v>
      </c>
      <c r="Q19" s="86"/>
      <c r="R19" s="10" t="s">
        <v>105</v>
      </c>
      <c r="S19" s="10" t="s">
        <v>105</v>
      </c>
      <c r="T19" s="87"/>
      <c r="U19" s="21">
        <v>1.5</v>
      </c>
      <c r="V19" s="10">
        <v>0.75</v>
      </c>
      <c r="W19" s="21">
        <v>0.5</v>
      </c>
      <c r="X19" s="10" t="s">
        <v>105</v>
      </c>
      <c r="Y19" s="21">
        <v>3</v>
      </c>
      <c r="Z19" s="21">
        <v>1.7</v>
      </c>
      <c r="AA19" s="10">
        <v>1</v>
      </c>
      <c r="AB19" s="10" t="s">
        <v>109</v>
      </c>
      <c r="AC19" s="10" t="s">
        <v>105</v>
      </c>
      <c r="AD19" s="10" t="s">
        <v>106</v>
      </c>
      <c r="AE19" s="10" t="s">
        <v>114</v>
      </c>
      <c r="AF19" s="20">
        <f t="shared" si="8"/>
        <v>1.1333333333333333</v>
      </c>
      <c r="AG19" s="13">
        <f t="shared" si="1"/>
        <v>3</v>
      </c>
      <c r="AH19" s="7">
        <f t="shared" si="2"/>
        <v>10</v>
      </c>
      <c r="AI19" s="7">
        <f t="shared" si="3"/>
        <v>10</v>
      </c>
      <c r="AJ19" s="7">
        <f t="shared" si="4"/>
        <v>10</v>
      </c>
      <c r="AK19" s="7">
        <f t="shared" si="5"/>
        <v>3</v>
      </c>
      <c r="AL19" s="12">
        <f t="shared" si="9"/>
        <v>36</v>
      </c>
      <c r="AM19" s="14" t="str">
        <f t="shared" si="7"/>
        <v>Barrier</v>
      </c>
      <c r="AN19" s="10" t="s">
        <v>295</v>
      </c>
      <c r="AO19" s="21">
        <v>3</v>
      </c>
      <c r="AP19" s="10" t="s">
        <v>310</v>
      </c>
    </row>
    <row r="20" spans="1:42" ht="16">
      <c r="A20" s="59">
        <v>45200</v>
      </c>
      <c r="C20" s="10">
        <v>9900367</v>
      </c>
      <c r="D20" s="10" t="s">
        <v>99</v>
      </c>
      <c r="E20" s="11">
        <v>10</v>
      </c>
      <c r="F20" s="39">
        <v>509128</v>
      </c>
      <c r="G20" s="39">
        <v>5959562</v>
      </c>
      <c r="H20" s="10" t="s">
        <v>130</v>
      </c>
      <c r="I20" s="11" t="s">
        <v>131</v>
      </c>
      <c r="J20" s="33"/>
      <c r="K20" s="11" t="s">
        <v>102</v>
      </c>
      <c r="L20" s="10" t="s">
        <v>103</v>
      </c>
      <c r="M20" s="10" t="s">
        <v>104</v>
      </c>
      <c r="N20" s="21">
        <v>4.5</v>
      </c>
      <c r="O20" s="21">
        <v>33</v>
      </c>
      <c r="P20" s="10" t="s">
        <v>105</v>
      </c>
      <c r="Q20" s="86"/>
      <c r="R20" s="10" t="s">
        <v>105</v>
      </c>
      <c r="S20" s="10" t="s">
        <v>105</v>
      </c>
      <c r="T20" s="86"/>
      <c r="U20" s="10">
        <v>2</v>
      </c>
      <c r="V20" s="10">
        <v>0</v>
      </c>
      <c r="W20" s="10">
        <v>1</v>
      </c>
      <c r="X20" s="10" t="s">
        <v>105</v>
      </c>
      <c r="Y20" s="10">
        <v>0</v>
      </c>
      <c r="Z20" s="10">
        <v>5</v>
      </c>
      <c r="AA20" s="10">
        <v>0</v>
      </c>
      <c r="AB20" s="10" t="s">
        <v>109</v>
      </c>
      <c r="AC20" s="10" t="s">
        <v>105</v>
      </c>
      <c r="AD20" s="10" t="s">
        <v>106</v>
      </c>
      <c r="AE20" s="10" t="s">
        <v>119</v>
      </c>
      <c r="AF20" s="20">
        <f t="shared" si="8"/>
        <v>1.1111111111111112</v>
      </c>
      <c r="AG20" s="13">
        <f t="shared" si="1"/>
        <v>6</v>
      </c>
      <c r="AH20" s="7">
        <f t="shared" si="2"/>
        <v>10</v>
      </c>
      <c r="AI20" s="7">
        <f t="shared" si="3"/>
        <v>0</v>
      </c>
      <c r="AJ20" s="7">
        <f t="shared" si="4"/>
        <v>0</v>
      </c>
      <c r="AK20" s="7">
        <f t="shared" si="5"/>
        <v>3</v>
      </c>
      <c r="AL20" s="12">
        <f t="shared" si="9"/>
        <v>19</v>
      </c>
      <c r="AM20" s="14" t="str">
        <f t="shared" si="7"/>
        <v>Potential</v>
      </c>
      <c r="AN20" s="10" t="s">
        <v>294</v>
      </c>
      <c r="AO20" s="10">
        <v>15</v>
      </c>
      <c r="AP20" s="10" t="s">
        <v>311</v>
      </c>
    </row>
    <row r="21" spans="1:42">
      <c r="A21" s="59">
        <v>45178</v>
      </c>
      <c r="C21" s="10">
        <v>24716727</v>
      </c>
      <c r="D21" s="10" t="s">
        <v>132</v>
      </c>
      <c r="E21" s="10">
        <v>10</v>
      </c>
      <c r="F21" s="21">
        <v>433506</v>
      </c>
      <c r="G21" s="21">
        <v>5987089</v>
      </c>
      <c r="H21" s="10" t="s">
        <v>133</v>
      </c>
      <c r="I21" s="10" t="s">
        <v>134</v>
      </c>
      <c r="J21" s="33"/>
      <c r="K21" s="10" t="s">
        <v>135</v>
      </c>
      <c r="L21" s="10" t="s">
        <v>103</v>
      </c>
      <c r="M21" s="10" t="s">
        <v>104</v>
      </c>
      <c r="N21" s="21">
        <v>5</v>
      </c>
      <c r="O21" s="21">
        <v>25</v>
      </c>
      <c r="P21" s="10" t="s">
        <v>105</v>
      </c>
      <c r="Q21" s="87"/>
      <c r="R21" s="10" t="s">
        <v>105</v>
      </c>
      <c r="S21" s="10" t="s">
        <v>105</v>
      </c>
      <c r="T21" s="87"/>
      <c r="U21" s="21">
        <v>1.5</v>
      </c>
      <c r="V21" s="10">
        <v>0</v>
      </c>
      <c r="W21" s="21">
        <v>1.5</v>
      </c>
      <c r="X21" s="10" t="s">
        <v>105</v>
      </c>
      <c r="Y21" s="21">
        <v>1.5</v>
      </c>
      <c r="Z21" s="21">
        <v>6.2</v>
      </c>
      <c r="AA21" s="10">
        <v>1</v>
      </c>
      <c r="AB21" s="10" t="s">
        <v>105</v>
      </c>
      <c r="AC21" s="10" t="s">
        <v>109</v>
      </c>
      <c r="AD21" s="10" t="s">
        <v>106</v>
      </c>
      <c r="AE21" s="10" t="s">
        <v>119</v>
      </c>
      <c r="AF21" s="20">
        <f t="shared" si="8"/>
        <v>1.24</v>
      </c>
      <c r="AG21" s="13">
        <f t="shared" si="1"/>
        <v>3</v>
      </c>
      <c r="AH21" s="7">
        <f t="shared" si="2"/>
        <v>10</v>
      </c>
      <c r="AI21" s="7">
        <f t="shared" si="3"/>
        <v>0</v>
      </c>
      <c r="AJ21" s="7">
        <f t="shared" si="4"/>
        <v>5</v>
      </c>
      <c r="AK21" s="7">
        <f t="shared" si="5"/>
        <v>3</v>
      </c>
      <c r="AL21" s="12">
        <f t="shared" si="9"/>
        <v>21</v>
      </c>
      <c r="AM21" s="14" t="str">
        <f t="shared" si="7"/>
        <v>Barrier</v>
      </c>
      <c r="AN21" s="10" t="s">
        <v>294</v>
      </c>
      <c r="AO21" s="21">
        <v>15</v>
      </c>
      <c r="AP21" s="10" t="s">
        <v>312</v>
      </c>
    </row>
    <row r="22" spans="1:42" ht="16">
      <c r="A22" s="59">
        <v>45178</v>
      </c>
      <c r="C22" s="10">
        <v>15600108</v>
      </c>
      <c r="D22" s="10" t="s">
        <v>132</v>
      </c>
      <c r="E22" s="11">
        <v>10</v>
      </c>
      <c r="F22" s="39">
        <v>429831</v>
      </c>
      <c r="G22" s="39">
        <v>5990320</v>
      </c>
      <c r="H22" s="11" t="s">
        <v>133</v>
      </c>
      <c r="I22" s="11" t="s">
        <v>136</v>
      </c>
      <c r="K22" s="11" t="s">
        <v>102</v>
      </c>
      <c r="L22" s="10" t="s">
        <v>103</v>
      </c>
      <c r="M22" s="10" t="s">
        <v>104</v>
      </c>
      <c r="N22" s="21">
        <v>2.2000000000000002</v>
      </c>
      <c r="O22" s="21">
        <v>15</v>
      </c>
      <c r="P22" s="10" t="s">
        <v>105</v>
      </c>
      <c r="Q22" s="87"/>
      <c r="R22" s="10" t="s">
        <v>105</v>
      </c>
      <c r="S22" s="10" t="s">
        <v>105</v>
      </c>
      <c r="T22" s="87"/>
      <c r="U22" s="21">
        <v>2</v>
      </c>
      <c r="V22" s="10">
        <v>0</v>
      </c>
      <c r="W22" s="21">
        <v>0.4</v>
      </c>
      <c r="X22" s="10" t="s">
        <v>105</v>
      </c>
      <c r="Y22" s="21">
        <v>0.5</v>
      </c>
      <c r="Z22" s="21">
        <v>2.1</v>
      </c>
      <c r="AA22" s="10">
        <v>1</v>
      </c>
      <c r="AB22" s="10" t="s">
        <v>105</v>
      </c>
      <c r="AC22" s="10" t="s">
        <v>105</v>
      </c>
      <c r="AD22" s="10" t="s">
        <v>106</v>
      </c>
      <c r="AE22" s="10" t="s">
        <v>107</v>
      </c>
      <c r="AF22" s="20">
        <f t="shared" si="8"/>
        <v>0.95454545454545447</v>
      </c>
      <c r="AG22" s="13">
        <f t="shared" si="1"/>
        <v>3</v>
      </c>
      <c r="AH22" s="7">
        <f t="shared" si="2"/>
        <v>10</v>
      </c>
      <c r="AI22" s="7">
        <f t="shared" si="3"/>
        <v>0</v>
      </c>
      <c r="AJ22" s="7">
        <f t="shared" si="4"/>
        <v>0</v>
      </c>
      <c r="AK22" s="7">
        <f t="shared" si="5"/>
        <v>0</v>
      </c>
      <c r="AL22" s="12">
        <f t="shared" si="9"/>
        <v>13</v>
      </c>
      <c r="AM22" s="14" t="str">
        <f t="shared" si="7"/>
        <v>Passable</v>
      </c>
      <c r="AP22" s="10" t="s">
        <v>313</v>
      </c>
    </row>
    <row r="23" spans="1:42" ht="16">
      <c r="A23" s="59">
        <v>45178</v>
      </c>
      <c r="C23" s="10">
        <v>15600467</v>
      </c>
      <c r="D23" s="10" t="s">
        <v>132</v>
      </c>
      <c r="E23" s="11">
        <v>10</v>
      </c>
      <c r="F23" s="39">
        <v>429905</v>
      </c>
      <c r="G23" s="39">
        <v>5990198</v>
      </c>
      <c r="H23" s="11" t="s">
        <v>133</v>
      </c>
      <c r="I23" s="11" t="s">
        <v>137</v>
      </c>
      <c r="K23" s="11" t="s">
        <v>111</v>
      </c>
      <c r="L23" s="10" t="s">
        <v>103</v>
      </c>
      <c r="M23" s="10" t="s">
        <v>104</v>
      </c>
      <c r="N23" s="21">
        <v>3.2</v>
      </c>
      <c r="O23" s="21">
        <v>16</v>
      </c>
      <c r="P23" s="10" t="s">
        <v>105</v>
      </c>
      <c r="Q23" s="87"/>
      <c r="R23" s="10" t="s">
        <v>105</v>
      </c>
      <c r="S23" s="10" t="s">
        <v>105</v>
      </c>
      <c r="T23" s="87"/>
      <c r="U23" s="21">
        <v>4</v>
      </c>
      <c r="V23" s="10">
        <v>0.3</v>
      </c>
      <c r="W23" s="21">
        <v>1</v>
      </c>
      <c r="X23" s="10" t="s">
        <v>105</v>
      </c>
      <c r="Y23" s="21">
        <v>2</v>
      </c>
      <c r="Z23" s="21">
        <v>2.2000000000000002</v>
      </c>
      <c r="AA23" s="10">
        <v>1</v>
      </c>
      <c r="AB23" s="10" t="s">
        <v>105</v>
      </c>
      <c r="AC23" s="10" t="s">
        <v>105</v>
      </c>
      <c r="AD23" s="10" t="s">
        <v>106</v>
      </c>
      <c r="AE23" s="10" t="s">
        <v>107</v>
      </c>
      <c r="AF23" s="20">
        <f t="shared" si="8"/>
        <v>0.6875</v>
      </c>
      <c r="AG23" s="13">
        <f t="shared" si="1"/>
        <v>3</v>
      </c>
      <c r="AH23" s="7">
        <f t="shared" si="2"/>
        <v>10</v>
      </c>
      <c r="AI23" s="7">
        <f t="shared" si="3"/>
        <v>10</v>
      </c>
      <c r="AJ23" s="7">
        <f t="shared" si="4"/>
        <v>5</v>
      </c>
      <c r="AK23" s="7">
        <f t="shared" si="5"/>
        <v>0</v>
      </c>
      <c r="AL23" s="12">
        <f t="shared" si="9"/>
        <v>28</v>
      </c>
      <c r="AM23" s="14" t="str">
        <f t="shared" si="7"/>
        <v>Barrier</v>
      </c>
      <c r="AN23" s="10" t="s">
        <v>294</v>
      </c>
      <c r="AO23" s="21">
        <v>18</v>
      </c>
      <c r="AP23" s="10" t="s">
        <v>314</v>
      </c>
    </row>
    <row r="24" spans="1:42" ht="16">
      <c r="A24" s="59">
        <v>45178</v>
      </c>
      <c r="C24" s="10">
        <v>15600107</v>
      </c>
      <c r="D24" s="10" t="s">
        <v>132</v>
      </c>
      <c r="E24" s="11">
        <v>10</v>
      </c>
      <c r="F24" s="39">
        <v>430580</v>
      </c>
      <c r="G24" s="39">
        <v>5990313</v>
      </c>
      <c r="H24" s="11" t="s">
        <v>138</v>
      </c>
      <c r="I24" s="11" t="s">
        <v>136</v>
      </c>
      <c r="K24" s="11" t="s">
        <v>111</v>
      </c>
      <c r="L24" s="10" t="s">
        <v>103</v>
      </c>
      <c r="M24" s="10" t="s">
        <v>104</v>
      </c>
      <c r="N24" s="21">
        <v>2.5</v>
      </c>
      <c r="O24" s="21">
        <v>22</v>
      </c>
      <c r="P24" s="10" t="s">
        <v>105</v>
      </c>
      <c r="Q24" s="87"/>
      <c r="R24" s="10" t="s">
        <v>105</v>
      </c>
      <c r="S24" s="10" t="s">
        <v>105</v>
      </c>
      <c r="T24" s="87"/>
      <c r="U24" s="21">
        <v>0.5</v>
      </c>
      <c r="V24" s="10">
        <v>0</v>
      </c>
      <c r="W24" s="21">
        <v>0.5</v>
      </c>
      <c r="X24" s="10" t="s">
        <v>105</v>
      </c>
      <c r="Y24" s="21">
        <v>1</v>
      </c>
      <c r="Z24" s="21">
        <v>1.7</v>
      </c>
      <c r="AA24" s="10">
        <v>1</v>
      </c>
      <c r="AB24" s="10" t="s">
        <v>105</v>
      </c>
      <c r="AC24" s="10" t="s">
        <v>105</v>
      </c>
      <c r="AD24" s="10" t="s">
        <v>106</v>
      </c>
      <c r="AE24" s="10" t="s">
        <v>114</v>
      </c>
      <c r="AF24" s="20">
        <f t="shared" si="8"/>
        <v>0.67999999999999994</v>
      </c>
      <c r="AG24" s="13">
        <f t="shared" si="1"/>
        <v>3</v>
      </c>
      <c r="AH24" s="7">
        <f t="shared" si="2"/>
        <v>10</v>
      </c>
      <c r="AI24" s="7">
        <f t="shared" si="3"/>
        <v>0</v>
      </c>
      <c r="AJ24" s="7">
        <f t="shared" si="4"/>
        <v>5</v>
      </c>
      <c r="AK24" s="7">
        <f t="shared" si="5"/>
        <v>0</v>
      </c>
      <c r="AL24" s="12">
        <f t="shared" si="9"/>
        <v>18</v>
      </c>
      <c r="AM24" s="14" t="str">
        <f t="shared" si="7"/>
        <v>Potential</v>
      </c>
      <c r="AN24" s="10" t="s">
        <v>295</v>
      </c>
      <c r="AO24" s="21">
        <v>3</v>
      </c>
      <c r="AP24" s="10" t="s">
        <v>315</v>
      </c>
    </row>
    <row r="25" spans="1:42" ht="16">
      <c r="A25" s="59">
        <v>45178</v>
      </c>
      <c r="C25" s="10">
        <v>15600190</v>
      </c>
      <c r="D25" s="10" t="s">
        <v>132</v>
      </c>
      <c r="E25" s="11">
        <v>10</v>
      </c>
      <c r="F25" s="39">
        <v>431924</v>
      </c>
      <c r="G25" s="39">
        <v>5991893</v>
      </c>
      <c r="H25" s="11" t="s">
        <v>139</v>
      </c>
      <c r="I25" s="11" t="s">
        <v>140</v>
      </c>
      <c r="K25" s="11" t="s">
        <v>111</v>
      </c>
      <c r="L25" s="10" t="s">
        <v>103</v>
      </c>
      <c r="M25" s="10" t="s">
        <v>104</v>
      </c>
      <c r="N25" s="21">
        <v>1.8</v>
      </c>
      <c r="O25" s="21">
        <v>12</v>
      </c>
      <c r="P25" s="10" t="s">
        <v>105</v>
      </c>
      <c r="Q25" s="87"/>
      <c r="R25" s="10" t="s">
        <v>105</v>
      </c>
      <c r="S25" s="10" t="s">
        <v>105</v>
      </c>
      <c r="T25" s="87"/>
      <c r="U25" s="21">
        <v>0.5</v>
      </c>
      <c r="V25" s="10">
        <v>0</v>
      </c>
      <c r="W25" s="21">
        <v>0.3</v>
      </c>
      <c r="X25" s="10" t="s">
        <v>105</v>
      </c>
      <c r="Y25" s="21">
        <v>1</v>
      </c>
      <c r="Z25" s="21">
        <v>1.6</v>
      </c>
      <c r="AA25" s="10">
        <v>1</v>
      </c>
      <c r="AB25" s="10" t="s">
        <v>105</v>
      </c>
      <c r="AC25" s="10" t="s">
        <v>105</v>
      </c>
      <c r="AD25" s="10" t="s">
        <v>106</v>
      </c>
      <c r="AE25" s="10" t="s">
        <v>114</v>
      </c>
      <c r="AF25" s="20">
        <f t="shared" si="8"/>
        <v>0.88888888888888895</v>
      </c>
      <c r="AG25" s="13">
        <f t="shared" si="1"/>
        <v>0</v>
      </c>
      <c r="AH25" s="7">
        <f t="shared" si="2"/>
        <v>10</v>
      </c>
      <c r="AI25" s="7">
        <f t="shared" si="3"/>
        <v>0</v>
      </c>
      <c r="AJ25" s="7">
        <f t="shared" si="4"/>
        <v>5</v>
      </c>
      <c r="AK25" s="7">
        <f t="shared" si="5"/>
        <v>0</v>
      </c>
      <c r="AL25" s="12">
        <f t="shared" si="9"/>
        <v>15</v>
      </c>
      <c r="AM25" s="14" t="str">
        <f t="shared" si="7"/>
        <v>Potential</v>
      </c>
      <c r="AN25" s="10" t="s">
        <v>295</v>
      </c>
      <c r="AO25" s="21">
        <v>3</v>
      </c>
      <c r="AP25" s="10" t="s">
        <v>316</v>
      </c>
    </row>
    <row r="26" spans="1:42" ht="16">
      <c r="A26" s="59">
        <v>45178</v>
      </c>
      <c r="C26" s="10">
        <v>15603995</v>
      </c>
      <c r="D26" s="10" t="s">
        <v>132</v>
      </c>
      <c r="E26" s="11">
        <v>10</v>
      </c>
      <c r="F26" s="39">
        <v>431910</v>
      </c>
      <c r="G26" s="39">
        <v>5995592</v>
      </c>
      <c r="H26" s="11" t="s">
        <v>139</v>
      </c>
      <c r="I26" s="11" t="s">
        <v>141</v>
      </c>
      <c r="K26" s="11" t="s">
        <v>111</v>
      </c>
      <c r="L26" s="10" t="s">
        <v>103</v>
      </c>
      <c r="M26" s="10" t="s">
        <v>104</v>
      </c>
      <c r="N26" s="21">
        <v>0.5</v>
      </c>
      <c r="O26" s="21">
        <v>10</v>
      </c>
      <c r="P26" s="10" t="s">
        <v>105</v>
      </c>
      <c r="Q26" s="87"/>
      <c r="R26" s="10" t="s">
        <v>105</v>
      </c>
      <c r="S26" s="10" t="s">
        <v>105</v>
      </c>
      <c r="T26" s="87"/>
      <c r="U26" s="21">
        <v>1</v>
      </c>
      <c r="V26" s="10">
        <v>0</v>
      </c>
      <c r="W26" s="21">
        <v>0</v>
      </c>
      <c r="X26" s="10" t="s">
        <v>105</v>
      </c>
      <c r="Y26" s="21">
        <v>1</v>
      </c>
      <c r="Z26" s="21">
        <v>0.7</v>
      </c>
      <c r="AA26" s="10">
        <v>1.5</v>
      </c>
      <c r="AB26" s="10" t="s">
        <v>105</v>
      </c>
      <c r="AC26" s="10" t="s">
        <v>105</v>
      </c>
      <c r="AD26" s="10" t="s">
        <v>106</v>
      </c>
      <c r="AE26" s="10" t="s">
        <v>114</v>
      </c>
      <c r="AF26" s="20">
        <f t="shared" si="8"/>
        <v>1.4</v>
      </c>
      <c r="AG26" s="13">
        <f t="shared" si="1"/>
        <v>0</v>
      </c>
      <c r="AH26" s="7">
        <f t="shared" si="2"/>
        <v>10</v>
      </c>
      <c r="AI26" s="7">
        <f t="shared" si="3"/>
        <v>0</v>
      </c>
      <c r="AJ26" s="7">
        <f t="shared" si="4"/>
        <v>5</v>
      </c>
      <c r="AK26" s="7">
        <f t="shared" si="5"/>
        <v>6</v>
      </c>
      <c r="AL26" s="12">
        <f t="shared" si="9"/>
        <v>21</v>
      </c>
      <c r="AM26" s="14" t="str">
        <f t="shared" si="7"/>
        <v>Barrier</v>
      </c>
      <c r="AN26" s="10" t="s">
        <v>295</v>
      </c>
      <c r="AO26" s="21">
        <v>3</v>
      </c>
      <c r="AP26" s="10" t="s">
        <v>317</v>
      </c>
    </row>
    <row r="27" spans="1:42" ht="16">
      <c r="A27" s="59">
        <v>45178</v>
      </c>
      <c r="C27" s="10">
        <v>15600011</v>
      </c>
      <c r="D27" s="10" t="s">
        <v>132</v>
      </c>
      <c r="E27" s="11">
        <v>10</v>
      </c>
      <c r="F27" s="39">
        <v>439543</v>
      </c>
      <c r="G27" s="39">
        <v>5988470</v>
      </c>
      <c r="H27" s="11" t="s">
        <v>142</v>
      </c>
      <c r="I27" s="11" t="s">
        <v>143</v>
      </c>
      <c r="K27" s="11" t="s">
        <v>111</v>
      </c>
      <c r="L27" s="10" t="s">
        <v>103</v>
      </c>
      <c r="M27" s="10" t="s">
        <v>104</v>
      </c>
      <c r="N27" s="21">
        <v>1.7</v>
      </c>
      <c r="O27" s="21">
        <v>14</v>
      </c>
      <c r="P27" s="10" t="s">
        <v>105</v>
      </c>
      <c r="Q27" s="87"/>
      <c r="R27" s="10" t="s">
        <v>105</v>
      </c>
      <c r="S27" s="10" t="s">
        <v>105</v>
      </c>
      <c r="T27" s="87"/>
      <c r="U27" s="21">
        <v>1.5</v>
      </c>
      <c r="V27" s="10">
        <v>0</v>
      </c>
      <c r="W27" s="21">
        <v>2</v>
      </c>
      <c r="X27" s="10" t="s">
        <v>105</v>
      </c>
      <c r="Y27" s="21">
        <v>1</v>
      </c>
      <c r="Z27" s="21">
        <v>1.7</v>
      </c>
      <c r="AA27" s="10">
        <v>1.5</v>
      </c>
      <c r="AB27" s="10" t="s">
        <v>105</v>
      </c>
      <c r="AC27" s="10" t="s">
        <v>105</v>
      </c>
      <c r="AD27" s="10" t="s">
        <v>106</v>
      </c>
      <c r="AE27" s="10" t="s">
        <v>107</v>
      </c>
      <c r="AF27" s="20">
        <f t="shared" si="8"/>
        <v>1</v>
      </c>
      <c r="AG27" s="13">
        <f t="shared" si="1"/>
        <v>0</v>
      </c>
      <c r="AH27" s="7">
        <f t="shared" si="2"/>
        <v>10</v>
      </c>
      <c r="AI27" s="7">
        <f t="shared" si="3"/>
        <v>0</v>
      </c>
      <c r="AJ27" s="7">
        <f t="shared" si="4"/>
        <v>5</v>
      </c>
      <c r="AK27" s="7">
        <f t="shared" si="5"/>
        <v>3</v>
      </c>
      <c r="AL27" s="12">
        <f t="shared" si="9"/>
        <v>18</v>
      </c>
      <c r="AM27" s="14" t="str">
        <f t="shared" si="7"/>
        <v>Potential</v>
      </c>
      <c r="AN27" s="10" t="s">
        <v>295</v>
      </c>
      <c r="AO27" s="21">
        <v>3</v>
      </c>
      <c r="AP27" s="10" t="s">
        <v>318</v>
      </c>
    </row>
    <row r="28" spans="1:42" ht="16">
      <c r="A28" s="59">
        <v>45178</v>
      </c>
      <c r="C28" s="10">
        <v>15600572</v>
      </c>
      <c r="D28" s="10" t="s">
        <v>132</v>
      </c>
      <c r="E28" s="11">
        <v>10</v>
      </c>
      <c r="F28" s="39">
        <v>449681</v>
      </c>
      <c r="G28" s="39">
        <v>5990078</v>
      </c>
      <c r="H28" s="11" t="s">
        <v>144</v>
      </c>
      <c r="I28" s="11" t="s">
        <v>145</v>
      </c>
      <c r="K28" s="11" t="s">
        <v>102</v>
      </c>
      <c r="L28" s="10" t="s">
        <v>103</v>
      </c>
      <c r="M28" s="10" t="s">
        <v>104</v>
      </c>
      <c r="N28" s="21">
        <v>3</v>
      </c>
      <c r="O28" s="21">
        <v>16</v>
      </c>
      <c r="P28" s="10" t="s">
        <v>105</v>
      </c>
      <c r="Q28" s="87"/>
      <c r="R28" s="10" t="s">
        <v>105</v>
      </c>
      <c r="S28" s="10" t="s">
        <v>105</v>
      </c>
      <c r="T28" s="87"/>
      <c r="U28" s="21">
        <v>1</v>
      </c>
      <c r="V28" s="10">
        <v>0</v>
      </c>
      <c r="W28" s="21">
        <v>0</v>
      </c>
      <c r="X28" s="10" t="s">
        <v>105</v>
      </c>
      <c r="Y28" s="21">
        <v>1.5</v>
      </c>
      <c r="Z28" s="21">
        <v>3</v>
      </c>
      <c r="AA28" s="10">
        <v>1</v>
      </c>
      <c r="AB28" s="10" t="s">
        <v>105</v>
      </c>
      <c r="AC28" s="10" t="s">
        <v>105</v>
      </c>
      <c r="AD28" s="10" t="s">
        <v>106</v>
      </c>
      <c r="AE28" s="10" t="s">
        <v>114</v>
      </c>
      <c r="AF28" s="20">
        <f t="shared" si="8"/>
        <v>1</v>
      </c>
      <c r="AG28" s="13">
        <f t="shared" si="1"/>
        <v>3</v>
      </c>
      <c r="AH28" s="7">
        <f t="shared" si="2"/>
        <v>10</v>
      </c>
      <c r="AI28" s="7">
        <f t="shared" si="3"/>
        <v>0</v>
      </c>
      <c r="AJ28" s="7">
        <f t="shared" si="4"/>
        <v>5</v>
      </c>
      <c r="AK28" s="7">
        <f t="shared" si="5"/>
        <v>3</v>
      </c>
      <c r="AL28" s="12">
        <f t="shared" si="9"/>
        <v>21</v>
      </c>
      <c r="AM28" s="14" t="str">
        <f t="shared" si="7"/>
        <v>Barrier</v>
      </c>
      <c r="AN28" s="10" t="s">
        <v>294</v>
      </c>
      <c r="AO28" s="21">
        <v>15</v>
      </c>
      <c r="AP28" s="10" t="s">
        <v>319</v>
      </c>
    </row>
    <row r="29" spans="1:42" ht="16">
      <c r="A29" s="59">
        <v>45179</v>
      </c>
      <c r="C29" s="10">
        <v>15600483</v>
      </c>
      <c r="D29" s="10" t="s">
        <v>132</v>
      </c>
      <c r="E29" s="11">
        <v>10</v>
      </c>
      <c r="F29" s="39">
        <v>425343</v>
      </c>
      <c r="G29" s="39">
        <v>5991993</v>
      </c>
      <c r="H29" s="11" t="s">
        <v>146</v>
      </c>
      <c r="I29" s="11" t="s">
        <v>147</v>
      </c>
      <c r="K29" s="11" t="s">
        <v>102</v>
      </c>
      <c r="L29" s="10" t="s">
        <v>103</v>
      </c>
      <c r="M29" s="10" t="s">
        <v>148</v>
      </c>
      <c r="N29" s="21">
        <v>3.9</v>
      </c>
      <c r="O29" s="21">
        <v>17</v>
      </c>
      <c r="P29" s="10" t="s">
        <v>105</v>
      </c>
      <c r="Q29" s="87"/>
      <c r="R29" s="10" t="s">
        <v>105</v>
      </c>
      <c r="S29" s="10" t="s">
        <v>105</v>
      </c>
      <c r="T29" s="87"/>
      <c r="U29" s="21">
        <v>2</v>
      </c>
      <c r="V29" s="10">
        <v>0</v>
      </c>
      <c r="W29" s="21">
        <v>0.6</v>
      </c>
      <c r="X29" s="10" t="s">
        <v>105</v>
      </c>
      <c r="Y29" s="21">
        <v>1.5</v>
      </c>
      <c r="Z29" s="21">
        <v>4.7</v>
      </c>
      <c r="AA29" s="10">
        <v>0.5</v>
      </c>
      <c r="AB29" s="10" t="s">
        <v>105</v>
      </c>
      <c r="AC29" s="10" t="s">
        <v>105</v>
      </c>
      <c r="AD29" s="10" t="s">
        <v>106</v>
      </c>
      <c r="AE29" s="10" t="s">
        <v>119</v>
      </c>
      <c r="AF29" s="20">
        <f t="shared" si="8"/>
        <v>1.2051282051282053</v>
      </c>
      <c r="AG29" s="13">
        <f t="shared" si="1"/>
        <v>3</v>
      </c>
      <c r="AH29" s="7">
        <f t="shared" si="2"/>
        <v>10</v>
      </c>
      <c r="AI29" s="7">
        <f t="shared" si="3"/>
        <v>0</v>
      </c>
      <c r="AJ29" s="7">
        <f t="shared" si="4"/>
        <v>5</v>
      </c>
      <c r="AK29" s="7">
        <f t="shared" si="5"/>
        <v>3</v>
      </c>
      <c r="AL29" s="12">
        <f t="shared" si="9"/>
        <v>21</v>
      </c>
      <c r="AM29" s="14" t="str">
        <f t="shared" si="7"/>
        <v>Barrier</v>
      </c>
      <c r="AN29" s="10" t="s">
        <v>294</v>
      </c>
      <c r="AO29" s="21">
        <v>15</v>
      </c>
      <c r="AP29" s="10" t="s">
        <v>320</v>
      </c>
    </row>
    <row r="30" spans="1:42" ht="32">
      <c r="A30" s="59">
        <v>45179</v>
      </c>
      <c r="C30" s="10">
        <v>15600493</v>
      </c>
      <c r="D30" s="10" t="s">
        <v>132</v>
      </c>
      <c r="E30" s="11">
        <v>10</v>
      </c>
      <c r="F30" s="39">
        <v>425987</v>
      </c>
      <c r="G30" s="39">
        <v>5997655</v>
      </c>
      <c r="H30" s="11" t="s">
        <v>149</v>
      </c>
      <c r="I30" s="11" t="s">
        <v>150</v>
      </c>
      <c r="K30" s="11" t="s">
        <v>111</v>
      </c>
      <c r="L30" s="10" t="s">
        <v>103</v>
      </c>
      <c r="M30" s="10" t="s">
        <v>104</v>
      </c>
      <c r="N30" s="21">
        <v>0.95</v>
      </c>
      <c r="O30" s="21">
        <v>10</v>
      </c>
      <c r="P30" s="10" t="s">
        <v>105</v>
      </c>
      <c r="Q30" s="87"/>
      <c r="R30" s="10" t="s">
        <v>105</v>
      </c>
      <c r="S30" s="10" t="s">
        <v>105</v>
      </c>
      <c r="T30" s="87"/>
      <c r="U30" s="21">
        <v>1</v>
      </c>
      <c r="V30" s="10">
        <v>0.7</v>
      </c>
      <c r="W30" s="21">
        <v>0.7</v>
      </c>
      <c r="X30" s="10" t="s">
        <v>105</v>
      </c>
      <c r="Y30" s="21">
        <v>1</v>
      </c>
      <c r="Z30" s="21">
        <v>1.1000000000000001</v>
      </c>
      <c r="AA30" s="10">
        <v>4</v>
      </c>
      <c r="AB30" s="10" t="s">
        <v>105</v>
      </c>
      <c r="AC30" s="10" t="s">
        <v>105</v>
      </c>
      <c r="AD30" s="10" t="s">
        <v>106</v>
      </c>
      <c r="AE30" s="10" t="s">
        <v>107</v>
      </c>
      <c r="AF30" s="20">
        <f t="shared" si="8"/>
        <v>1.1578947368421053</v>
      </c>
      <c r="AG30" s="13">
        <f t="shared" si="1"/>
        <v>0</v>
      </c>
      <c r="AH30" s="7">
        <f t="shared" si="2"/>
        <v>10</v>
      </c>
      <c r="AI30" s="7">
        <f t="shared" si="3"/>
        <v>10</v>
      </c>
      <c r="AJ30" s="7">
        <f t="shared" si="4"/>
        <v>5</v>
      </c>
      <c r="AK30" s="7">
        <f t="shared" si="5"/>
        <v>3</v>
      </c>
      <c r="AL30" s="12">
        <f t="shared" si="9"/>
        <v>28</v>
      </c>
      <c r="AM30" s="14" t="str">
        <f t="shared" si="7"/>
        <v>Barrier</v>
      </c>
      <c r="AN30" s="10" t="s">
        <v>295</v>
      </c>
      <c r="AO30" s="21">
        <v>3</v>
      </c>
      <c r="AP30" s="10" t="s">
        <v>321</v>
      </c>
    </row>
    <row r="31" spans="1:42" ht="16">
      <c r="A31" s="59">
        <v>45179</v>
      </c>
      <c r="C31" s="10">
        <v>15600520</v>
      </c>
      <c r="D31" s="10" t="s">
        <v>132</v>
      </c>
      <c r="E31" s="11">
        <v>10</v>
      </c>
      <c r="F31" s="39">
        <v>424104</v>
      </c>
      <c r="G31" s="39">
        <v>6000564</v>
      </c>
      <c r="H31" s="11" t="s">
        <v>146</v>
      </c>
      <c r="I31" s="11" t="s">
        <v>151</v>
      </c>
      <c r="K31" s="11" t="s">
        <v>102</v>
      </c>
      <c r="L31" s="10" t="s">
        <v>103</v>
      </c>
      <c r="M31" s="10" t="s">
        <v>104</v>
      </c>
      <c r="N31" s="21">
        <v>1.6</v>
      </c>
      <c r="O31" s="21">
        <v>20</v>
      </c>
      <c r="P31" s="10" t="s">
        <v>105</v>
      </c>
      <c r="Q31" s="87"/>
      <c r="R31" s="10" t="s">
        <v>105</v>
      </c>
      <c r="S31" s="10" t="s">
        <v>105</v>
      </c>
      <c r="T31" s="87"/>
      <c r="U31" s="21">
        <v>2</v>
      </c>
      <c r="V31" s="10">
        <v>0.1</v>
      </c>
      <c r="W31" s="21">
        <v>0.6</v>
      </c>
      <c r="X31" s="10" t="s">
        <v>105</v>
      </c>
      <c r="Y31" s="21">
        <v>0</v>
      </c>
      <c r="Z31" s="21">
        <v>2.2000000000000002</v>
      </c>
      <c r="AA31" s="10">
        <v>0</v>
      </c>
      <c r="AB31" s="10" t="s">
        <v>105</v>
      </c>
      <c r="AC31" s="10" t="s">
        <v>105</v>
      </c>
      <c r="AD31" s="10" t="s">
        <v>106</v>
      </c>
      <c r="AE31" s="10" t="s">
        <v>107</v>
      </c>
      <c r="AF31" s="20">
        <f t="shared" si="8"/>
        <v>1.375</v>
      </c>
      <c r="AG31" s="13">
        <f t="shared" si="1"/>
        <v>3</v>
      </c>
      <c r="AH31" s="7">
        <f t="shared" si="2"/>
        <v>10</v>
      </c>
      <c r="AI31" s="7">
        <f t="shared" si="3"/>
        <v>0</v>
      </c>
      <c r="AJ31" s="7">
        <f t="shared" si="4"/>
        <v>0</v>
      </c>
      <c r="AK31" s="7">
        <f t="shared" si="5"/>
        <v>6</v>
      </c>
      <c r="AL31" s="12">
        <f t="shared" si="9"/>
        <v>19</v>
      </c>
      <c r="AM31" s="14" t="str">
        <f t="shared" si="7"/>
        <v>Potential</v>
      </c>
      <c r="AN31" s="10" t="s">
        <v>294</v>
      </c>
      <c r="AO31" s="21">
        <v>15</v>
      </c>
      <c r="AP31" s="10" t="s">
        <v>322</v>
      </c>
    </row>
    <row r="32" spans="1:42" ht="16">
      <c r="A32" s="59">
        <v>45179</v>
      </c>
      <c r="C32" s="10">
        <v>15600119</v>
      </c>
      <c r="D32" s="10" t="s">
        <v>132</v>
      </c>
      <c r="E32" s="11">
        <v>10</v>
      </c>
      <c r="F32" s="39">
        <v>425557</v>
      </c>
      <c r="G32" s="39">
        <v>5996141</v>
      </c>
      <c r="H32" s="11" t="s">
        <v>146</v>
      </c>
      <c r="I32" s="11" t="s">
        <v>151</v>
      </c>
      <c r="K32" s="11" t="s">
        <v>102</v>
      </c>
      <c r="L32" s="10" t="s">
        <v>103</v>
      </c>
      <c r="M32" s="10" t="s">
        <v>104</v>
      </c>
      <c r="N32" s="21">
        <v>1.7</v>
      </c>
      <c r="O32" s="21">
        <v>22</v>
      </c>
      <c r="P32" s="10" t="s">
        <v>105</v>
      </c>
      <c r="Q32" s="87"/>
      <c r="R32" s="10" t="s">
        <v>105</v>
      </c>
      <c r="S32" s="10" t="s">
        <v>105</v>
      </c>
      <c r="T32" s="87"/>
      <c r="U32" s="21">
        <v>2.5</v>
      </c>
      <c r="V32" s="10">
        <v>0.3</v>
      </c>
      <c r="W32" s="21">
        <v>0.4</v>
      </c>
      <c r="X32" s="10" t="s">
        <v>105</v>
      </c>
      <c r="Y32" s="21">
        <v>7</v>
      </c>
      <c r="Z32" s="21">
        <v>2.5</v>
      </c>
      <c r="AA32" s="10">
        <v>5</v>
      </c>
      <c r="AB32" s="10" t="s">
        <v>105</v>
      </c>
      <c r="AC32" s="10" t="s">
        <v>105</v>
      </c>
      <c r="AD32" s="10" t="s">
        <v>106</v>
      </c>
      <c r="AE32" s="10" t="s">
        <v>119</v>
      </c>
      <c r="AF32" s="20">
        <f t="shared" si="8"/>
        <v>1.4705882352941178</v>
      </c>
      <c r="AG32" s="13">
        <f t="shared" si="1"/>
        <v>3</v>
      </c>
      <c r="AH32" s="7">
        <f t="shared" si="2"/>
        <v>10</v>
      </c>
      <c r="AI32" s="7">
        <f t="shared" si="3"/>
        <v>10</v>
      </c>
      <c r="AJ32" s="7">
        <f t="shared" si="4"/>
        <v>10</v>
      </c>
      <c r="AK32" s="7">
        <f t="shared" si="5"/>
        <v>6</v>
      </c>
      <c r="AL32" s="12">
        <f t="shared" si="9"/>
        <v>39</v>
      </c>
      <c r="AM32" s="14" t="str">
        <f t="shared" si="7"/>
        <v>Barrier</v>
      </c>
      <c r="AN32" s="10" t="s">
        <v>294</v>
      </c>
      <c r="AO32" s="21">
        <v>15</v>
      </c>
      <c r="AP32" s="10" t="s">
        <v>323</v>
      </c>
    </row>
    <row r="33" spans="1:42" ht="16">
      <c r="A33" s="59">
        <v>45179</v>
      </c>
      <c r="C33" s="10">
        <v>24716705</v>
      </c>
      <c r="D33" s="10" t="s">
        <v>132</v>
      </c>
      <c r="E33" s="11">
        <v>10</v>
      </c>
      <c r="F33" s="39">
        <v>422841</v>
      </c>
      <c r="G33" s="39">
        <v>5993387</v>
      </c>
      <c r="H33" s="11" t="s">
        <v>152</v>
      </c>
      <c r="I33" s="11" t="s">
        <v>147</v>
      </c>
      <c r="K33" s="11" t="s">
        <v>102</v>
      </c>
      <c r="L33" s="10" t="s">
        <v>103</v>
      </c>
      <c r="M33" s="10" t="s">
        <v>104</v>
      </c>
      <c r="N33" s="21">
        <v>1.6</v>
      </c>
      <c r="O33" s="21">
        <v>18</v>
      </c>
      <c r="P33" s="10" t="s">
        <v>105</v>
      </c>
      <c r="Q33" s="87"/>
      <c r="R33" s="10" t="s">
        <v>105</v>
      </c>
      <c r="S33" s="10" t="s">
        <v>105</v>
      </c>
      <c r="T33" s="87"/>
      <c r="U33" s="21">
        <v>2.5</v>
      </c>
      <c r="V33" s="10">
        <v>0</v>
      </c>
      <c r="W33" s="21">
        <v>0.2</v>
      </c>
      <c r="X33" s="10" t="s">
        <v>105</v>
      </c>
      <c r="Y33" s="21">
        <v>1</v>
      </c>
      <c r="Z33" s="21">
        <v>2.2000000000000002</v>
      </c>
      <c r="AA33" s="10">
        <v>1</v>
      </c>
      <c r="AB33" s="10" t="s">
        <v>109</v>
      </c>
      <c r="AC33" s="10" t="s">
        <v>105</v>
      </c>
      <c r="AD33" s="10" t="s">
        <v>106</v>
      </c>
      <c r="AE33" s="10" t="s">
        <v>107</v>
      </c>
      <c r="AF33" s="20">
        <f t="shared" si="8"/>
        <v>1.375</v>
      </c>
      <c r="AG33" s="13">
        <f t="shared" si="1"/>
        <v>3</v>
      </c>
      <c r="AH33" s="7">
        <f t="shared" si="2"/>
        <v>10</v>
      </c>
      <c r="AI33" s="7">
        <f t="shared" si="3"/>
        <v>0</v>
      </c>
      <c r="AJ33" s="7">
        <f t="shared" si="4"/>
        <v>5</v>
      </c>
      <c r="AK33" s="7">
        <f t="shared" si="5"/>
        <v>6</v>
      </c>
      <c r="AL33" s="12">
        <f t="shared" si="9"/>
        <v>24</v>
      </c>
      <c r="AM33" s="14" t="str">
        <f t="shared" si="7"/>
        <v>Barrier</v>
      </c>
      <c r="AN33" s="88" t="s">
        <v>294</v>
      </c>
      <c r="AO33" s="89">
        <v>15</v>
      </c>
      <c r="AP33" s="10" t="s">
        <v>324</v>
      </c>
    </row>
    <row r="34" spans="1:42" ht="16">
      <c r="A34" s="59">
        <v>45179</v>
      </c>
      <c r="C34" s="10">
        <v>15600122</v>
      </c>
      <c r="D34" s="10" t="s">
        <v>132</v>
      </c>
      <c r="E34" s="11">
        <v>10</v>
      </c>
      <c r="F34" s="39">
        <v>420920</v>
      </c>
      <c r="G34" s="39">
        <v>5993688</v>
      </c>
      <c r="H34" s="11" t="s">
        <v>153</v>
      </c>
      <c r="I34" s="11" t="s">
        <v>147</v>
      </c>
      <c r="K34" s="11" t="s">
        <v>102</v>
      </c>
      <c r="L34" s="10" t="s">
        <v>103</v>
      </c>
      <c r="M34" s="10" t="s">
        <v>104</v>
      </c>
      <c r="N34" s="21">
        <v>1.5</v>
      </c>
      <c r="O34" s="21">
        <v>30</v>
      </c>
      <c r="P34" s="10" t="s">
        <v>105</v>
      </c>
      <c r="Q34" s="87"/>
      <c r="R34" s="10" t="s">
        <v>105</v>
      </c>
      <c r="S34" s="10" t="s">
        <v>105</v>
      </c>
      <c r="T34" s="87"/>
      <c r="U34" s="21">
        <v>6</v>
      </c>
      <c r="V34" s="10">
        <v>0.5</v>
      </c>
      <c r="W34" s="21">
        <v>1</v>
      </c>
      <c r="X34" s="10" t="s">
        <v>105</v>
      </c>
      <c r="Y34" s="21">
        <v>2.5</v>
      </c>
      <c r="Z34" s="21">
        <v>1.9</v>
      </c>
      <c r="AA34" s="10">
        <v>3</v>
      </c>
      <c r="AB34" s="10" t="s">
        <v>105</v>
      </c>
      <c r="AC34" s="10" t="s">
        <v>105</v>
      </c>
      <c r="AD34" s="10" t="s">
        <v>106</v>
      </c>
      <c r="AE34" s="10" t="s">
        <v>119</v>
      </c>
      <c r="AF34" s="20">
        <f t="shared" si="8"/>
        <v>1.2666666666666666</v>
      </c>
      <c r="AG34" s="13">
        <f t="shared" si="1"/>
        <v>6</v>
      </c>
      <c r="AH34" s="7">
        <f t="shared" si="2"/>
        <v>10</v>
      </c>
      <c r="AI34" s="7">
        <f t="shared" si="3"/>
        <v>10</v>
      </c>
      <c r="AJ34" s="7">
        <f t="shared" si="4"/>
        <v>5</v>
      </c>
      <c r="AK34" s="7">
        <f t="shared" si="5"/>
        <v>3</v>
      </c>
      <c r="AL34" s="12">
        <f t="shared" si="9"/>
        <v>34</v>
      </c>
      <c r="AM34" s="14" t="str">
        <f t="shared" si="7"/>
        <v>Barrier</v>
      </c>
      <c r="AN34" s="10" t="s">
        <v>295</v>
      </c>
      <c r="AO34" s="21">
        <v>3</v>
      </c>
      <c r="AP34" s="10" t="s">
        <v>325</v>
      </c>
    </row>
    <row r="35" spans="1:42" ht="16">
      <c r="A35" s="59">
        <v>45179</v>
      </c>
      <c r="C35" s="10">
        <v>15600124</v>
      </c>
      <c r="D35" s="10" t="s">
        <v>132</v>
      </c>
      <c r="E35" s="11">
        <v>10</v>
      </c>
      <c r="F35" s="39">
        <v>419953</v>
      </c>
      <c r="G35" s="39">
        <v>5995257</v>
      </c>
      <c r="H35" s="11" t="s">
        <v>153</v>
      </c>
      <c r="I35" s="11" t="s">
        <v>154</v>
      </c>
      <c r="K35" s="11" t="s">
        <v>111</v>
      </c>
      <c r="L35" s="10" t="s">
        <v>103</v>
      </c>
      <c r="M35" s="10" t="s">
        <v>104</v>
      </c>
      <c r="N35" s="21">
        <v>0.6</v>
      </c>
      <c r="O35" s="21">
        <v>10</v>
      </c>
      <c r="P35" s="10" t="s">
        <v>105</v>
      </c>
      <c r="Q35" s="87"/>
      <c r="R35" s="10" t="s">
        <v>105</v>
      </c>
      <c r="S35" s="10" t="s">
        <v>105</v>
      </c>
      <c r="T35" s="87"/>
      <c r="U35" s="21">
        <v>1</v>
      </c>
      <c r="V35" s="10">
        <v>0.5</v>
      </c>
      <c r="W35" s="21">
        <v>0.3</v>
      </c>
      <c r="X35" s="10" t="s">
        <v>105</v>
      </c>
      <c r="Y35" s="21">
        <v>0</v>
      </c>
      <c r="Z35" s="21">
        <v>0.9</v>
      </c>
      <c r="AA35" s="10">
        <v>1</v>
      </c>
      <c r="AB35" s="10" t="s">
        <v>105</v>
      </c>
      <c r="AC35" s="10" t="s">
        <v>105</v>
      </c>
      <c r="AD35" s="10" t="s">
        <v>106</v>
      </c>
      <c r="AE35" s="10" t="s">
        <v>107</v>
      </c>
      <c r="AF35" s="20">
        <f t="shared" si="8"/>
        <v>1.5</v>
      </c>
      <c r="AG35" s="13">
        <f t="shared" si="1"/>
        <v>0</v>
      </c>
      <c r="AH35" s="7">
        <f t="shared" si="2"/>
        <v>10</v>
      </c>
      <c r="AI35" s="7">
        <f t="shared" si="3"/>
        <v>10</v>
      </c>
      <c r="AJ35" s="7">
        <f t="shared" si="4"/>
        <v>0</v>
      </c>
      <c r="AK35" s="7">
        <f t="shared" si="5"/>
        <v>6</v>
      </c>
      <c r="AL35" s="12">
        <f t="shared" si="9"/>
        <v>26</v>
      </c>
      <c r="AM35" s="14" t="str">
        <f t="shared" si="7"/>
        <v>Barrier</v>
      </c>
      <c r="AN35" s="10" t="s">
        <v>295</v>
      </c>
      <c r="AO35" s="21">
        <v>3</v>
      </c>
      <c r="AP35" s="10" t="s">
        <v>326</v>
      </c>
    </row>
    <row r="36" spans="1:42" ht="32">
      <c r="A36" s="59">
        <v>45179</v>
      </c>
      <c r="C36" s="10">
        <v>15600362</v>
      </c>
      <c r="D36" s="10" t="s">
        <v>132</v>
      </c>
      <c r="E36" s="11">
        <v>10</v>
      </c>
      <c r="F36" s="39">
        <v>449050</v>
      </c>
      <c r="G36" s="39">
        <v>5977312</v>
      </c>
      <c r="H36" s="11" t="s">
        <v>155</v>
      </c>
      <c r="I36" s="11" t="s">
        <v>156</v>
      </c>
      <c r="K36" s="11" t="s">
        <v>111</v>
      </c>
      <c r="L36" s="10" t="s">
        <v>103</v>
      </c>
      <c r="M36" s="10" t="s">
        <v>104</v>
      </c>
      <c r="N36" s="21">
        <v>0.8</v>
      </c>
      <c r="O36" s="21">
        <v>9</v>
      </c>
      <c r="P36" s="10" t="s">
        <v>105</v>
      </c>
      <c r="Q36" s="87"/>
      <c r="R36" s="10" t="s">
        <v>105</v>
      </c>
      <c r="S36" s="10" t="s">
        <v>105</v>
      </c>
      <c r="T36" s="87"/>
      <c r="U36" s="21">
        <v>0.5</v>
      </c>
      <c r="V36" s="10">
        <v>0</v>
      </c>
      <c r="W36" s="21">
        <v>0</v>
      </c>
      <c r="X36" s="10" t="s">
        <v>105</v>
      </c>
      <c r="Y36" s="21">
        <v>1</v>
      </c>
      <c r="Z36" s="21">
        <v>0.8</v>
      </c>
      <c r="AA36" s="10">
        <v>1</v>
      </c>
      <c r="AB36" s="10" t="s">
        <v>105</v>
      </c>
      <c r="AC36" s="10" t="s">
        <v>105</v>
      </c>
      <c r="AD36" s="10" t="s">
        <v>106</v>
      </c>
      <c r="AE36" s="10" t="s">
        <v>114</v>
      </c>
      <c r="AF36" s="20">
        <f t="shared" si="8"/>
        <v>1</v>
      </c>
      <c r="AG36" s="13">
        <f t="shared" si="1"/>
        <v>0</v>
      </c>
      <c r="AH36" s="7">
        <f t="shared" si="2"/>
        <v>10</v>
      </c>
      <c r="AI36" s="7">
        <f t="shared" si="3"/>
        <v>0</v>
      </c>
      <c r="AJ36" s="7">
        <f t="shared" si="4"/>
        <v>5</v>
      </c>
      <c r="AK36" s="7">
        <f t="shared" si="5"/>
        <v>3</v>
      </c>
      <c r="AL36" s="12">
        <f t="shared" si="9"/>
        <v>18</v>
      </c>
      <c r="AM36" s="14" t="str">
        <f t="shared" si="7"/>
        <v>Potential</v>
      </c>
      <c r="AN36" s="10" t="s">
        <v>295</v>
      </c>
      <c r="AO36" s="21">
        <v>3</v>
      </c>
      <c r="AP36" s="10" t="s">
        <v>327</v>
      </c>
    </row>
    <row r="37" spans="1:42" ht="16">
      <c r="A37" s="59">
        <v>45180</v>
      </c>
      <c r="C37" s="10">
        <v>15600434</v>
      </c>
      <c r="D37" s="10" t="s">
        <v>132</v>
      </c>
      <c r="E37" s="11">
        <v>10</v>
      </c>
      <c r="F37" s="39">
        <v>442800</v>
      </c>
      <c r="G37" s="39">
        <v>5991029</v>
      </c>
      <c r="H37" s="11" t="s">
        <v>157</v>
      </c>
      <c r="I37" s="11" t="s">
        <v>158</v>
      </c>
      <c r="K37" s="11" t="s">
        <v>111</v>
      </c>
      <c r="L37" s="10" t="s">
        <v>103</v>
      </c>
      <c r="M37" s="10" t="s">
        <v>104</v>
      </c>
      <c r="N37" s="21">
        <v>0.9</v>
      </c>
      <c r="O37" s="21">
        <v>10</v>
      </c>
      <c r="P37" s="10" t="s">
        <v>105</v>
      </c>
      <c r="Q37" s="87"/>
      <c r="R37" s="10" t="s">
        <v>105</v>
      </c>
      <c r="S37" s="10" t="s">
        <v>105</v>
      </c>
      <c r="T37" s="87"/>
      <c r="U37" s="21">
        <v>2</v>
      </c>
      <c r="V37" s="10">
        <v>0</v>
      </c>
      <c r="W37" s="21">
        <v>0</v>
      </c>
      <c r="X37" s="10" t="s">
        <v>105</v>
      </c>
      <c r="Y37" s="21">
        <v>1.5</v>
      </c>
      <c r="Z37" s="21">
        <v>1.9</v>
      </c>
      <c r="AA37" s="10">
        <v>2.5</v>
      </c>
      <c r="AB37" s="10" t="s">
        <v>105</v>
      </c>
      <c r="AC37" s="10" t="s">
        <v>105</v>
      </c>
      <c r="AD37" s="10" t="s">
        <v>106</v>
      </c>
      <c r="AE37" s="10" t="s">
        <v>114</v>
      </c>
      <c r="AF37" s="20">
        <f t="shared" si="8"/>
        <v>2.1111111111111112</v>
      </c>
      <c r="AG37" s="13">
        <f t="shared" si="1"/>
        <v>0</v>
      </c>
      <c r="AH37" s="7">
        <f t="shared" si="2"/>
        <v>10</v>
      </c>
      <c r="AI37" s="7">
        <f t="shared" si="3"/>
        <v>0</v>
      </c>
      <c r="AJ37" s="7">
        <f t="shared" si="4"/>
        <v>5</v>
      </c>
      <c r="AK37" s="7">
        <f t="shared" si="5"/>
        <v>6</v>
      </c>
      <c r="AL37" s="12">
        <f t="shared" si="9"/>
        <v>21</v>
      </c>
      <c r="AM37" s="14" t="str">
        <f t="shared" si="7"/>
        <v>Barrier</v>
      </c>
      <c r="AN37" s="10" t="s">
        <v>295</v>
      </c>
      <c r="AO37" s="21">
        <v>3</v>
      </c>
      <c r="AP37" s="10" t="s">
        <v>328</v>
      </c>
    </row>
    <row r="38" spans="1:42" ht="16">
      <c r="A38" s="59">
        <v>45180</v>
      </c>
      <c r="C38" s="10">
        <v>15600431</v>
      </c>
      <c r="D38" s="10" t="s">
        <v>132</v>
      </c>
      <c r="E38" s="11">
        <v>10</v>
      </c>
      <c r="F38" s="39">
        <v>441794</v>
      </c>
      <c r="G38" s="39">
        <v>5990161</v>
      </c>
      <c r="H38" s="11" t="s">
        <v>157</v>
      </c>
      <c r="I38" s="11" t="s">
        <v>159</v>
      </c>
      <c r="K38" s="11" t="s">
        <v>102</v>
      </c>
      <c r="L38" s="10" t="s">
        <v>103</v>
      </c>
      <c r="M38" s="10" t="s">
        <v>104</v>
      </c>
      <c r="N38" s="21">
        <v>0.9</v>
      </c>
      <c r="O38" s="21">
        <v>15</v>
      </c>
      <c r="P38" s="10" t="s">
        <v>105</v>
      </c>
      <c r="Q38" s="87"/>
      <c r="R38" s="10" t="s">
        <v>105</v>
      </c>
      <c r="S38" s="10" t="s">
        <v>105</v>
      </c>
      <c r="T38" s="87"/>
      <c r="U38" s="21">
        <v>1</v>
      </c>
      <c r="V38" s="10">
        <v>0.6</v>
      </c>
      <c r="W38" s="21">
        <v>0.2</v>
      </c>
      <c r="X38" s="10" t="s">
        <v>105</v>
      </c>
      <c r="Y38" s="21">
        <v>1</v>
      </c>
      <c r="Z38" s="21">
        <v>1.2</v>
      </c>
      <c r="AA38" s="10">
        <v>1</v>
      </c>
      <c r="AB38" s="10" t="s">
        <v>105</v>
      </c>
      <c r="AC38" s="10" t="s">
        <v>105</v>
      </c>
      <c r="AD38" s="10" t="s">
        <v>106</v>
      </c>
      <c r="AE38" s="10" t="s">
        <v>107</v>
      </c>
      <c r="AF38" s="20">
        <f t="shared" si="8"/>
        <v>1.3333333333333333</v>
      </c>
      <c r="AG38" s="13">
        <f t="shared" si="1"/>
        <v>3</v>
      </c>
      <c r="AH38" s="7">
        <f t="shared" si="2"/>
        <v>10</v>
      </c>
      <c r="AI38" s="7">
        <f t="shared" si="3"/>
        <v>10</v>
      </c>
      <c r="AJ38" s="7">
        <f t="shared" si="4"/>
        <v>5</v>
      </c>
      <c r="AK38" s="7">
        <f t="shared" si="5"/>
        <v>6</v>
      </c>
      <c r="AL38" s="12">
        <f t="shared" si="9"/>
        <v>34</v>
      </c>
      <c r="AM38" s="14" t="str">
        <f t="shared" si="7"/>
        <v>Barrier</v>
      </c>
      <c r="AN38" s="10" t="s">
        <v>295</v>
      </c>
      <c r="AO38" s="21">
        <v>3</v>
      </c>
      <c r="AP38" s="10" t="s">
        <v>329</v>
      </c>
    </row>
    <row r="39" spans="1:42" ht="16">
      <c r="A39" s="59">
        <v>45180</v>
      </c>
      <c r="C39" s="10">
        <v>15600311</v>
      </c>
      <c r="D39" s="10" t="s">
        <v>132</v>
      </c>
      <c r="E39" s="11">
        <v>10</v>
      </c>
      <c r="F39" s="39">
        <v>444371</v>
      </c>
      <c r="G39" s="39">
        <v>5989869</v>
      </c>
      <c r="H39" s="11" t="s">
        <v>142</v>
      </c>
      <c r="I39" s="11" t="s">
        <v>160</v>
      </c>
      <c r="K39" s="11" t="s">
        <v>111</v>
      </c>
      <c r="L39" s="10" t="s">
        <v>103</v>
      </c>
      <c r="M39" s="10" t="s">
        <v>104</v>
      </c>
      <c r="N39" s="21">
        <v>3</v>
      </c>
      <c r="O39" s="21">
        <v>14</v>
      </c>
      <c r="P39" s="10" t="s">
        <v>105</v>
      </c>
      <c r="Q39" s="87"/>
      <c r="R39" s="10" t="s">
        <v>105</v>
      </c>
      <c r="S39" s="10" t="s">
        <v>105</v>
      </c>
      <c r="T39" s="87"/>
      <c r="U39" s="21">
        <v>1.5</v>
      </c>
      <c r="V39" s="10">
        <v>0.6</v>
      </c>
      <c r="W39" s="21">
        <v>0</v>
      </c>
      <c r="X39" s="10" t="s">
        <v>105</v>
      </c>
      <c r="Y39" s="21">
        <v>1.5</v>
      </c>
      <c r="Z39" s="21">
        <v>1.3</v>
      </c>
      <c r="AA39" s="10">
        <v>1</v>
      </c>
      <c r="AB39" s="10" t="s">
        <v>105</v>
      </c>
      <c r="AC39" s="10" t="s">
        <v>105</v>
      </c>
      <c r="AD39" s="10" t="s">
        <v>106</v>
      </c>
      <c r="AE39" s="10" t="s">
        <v>107</v>
      </c>
      <c r="AF39" s="20">
        <f t="shared" si="8"/>
        <v>0.43333333333333335</v>
      </c>
      <c r="AG39" s="13">
        <f t="shared" si="1"/>
        <v>0</v>
      </c>
      <c r="AH39" s="7">
        <f t="shared" si="2"/>
        <v>10</v>
      </c>
      <c r="AI39" s="7">
        <f t="shared" si="3"/>
        <v>10</v>
      </c>
      <c r="AJ39" s="7">
        <f t="shared" si="4"/>
        <v>5</v>
      </c>
      <c r="AK39" s="7">
        <f t="shared" si="5"/>
        <v>0</v>
      </c>
      <c r="AL39" s="12">
        <f t="shared" si="9"/>
        <v>25</v>
      </c>
      <c r="AM39" s="14" t="str">
        <f t="shared" si="7"/>
        <v>Barrier</v>
      </c>
      <c r="AN39" s="10" t="s">
        <v>295</v>
      </c>
      <c r="AO39" s="21">
        <v>3</v>
      </c>
      <c r="AP39" s="10" t="s">
        <v>330</v>
      </c>
    </row>
    <row r="40" spans="1:42" ht="16">
      <c r="A40" s="59">
        <v>45180</v>
      </c>
      <c r="C40" s="10">
        <v>15600314</v>
      </c>
      <c r="D40" s="10" t="s">
        <v>132</v>
      </c>
      <c r="E40" s="11">
        <v>10</v>
      </c>
      <c r="F40" s="39">
        <v>446488</v>
      </c>
      <c r="G40" s="39">
        <v>5982434</v>
      </c>
      <c r="H40" s="11" t="s">
        <v>161</v>
      </c>
      <c r="I40" s="11" t="s">
        <v>162</v>
      </c>
      <c r="K40" s="11" t="s">
        <v>111</v>
      </c>
      <c r="L40" s="10" t="s">
        <v>103</v>
      </c>
      <c r="M40" s="10" t="s">
        <v>104</v>
      </c>
      <c r="N40" s="21">
        <v>1.45</v>
      </c>
      <c r="O40" s="21">
        <v>18</v>
      </c>
      <c r="P40" s="10" t="s">
        <v>105</v>
      </c>
      <c r="Q40" s="87"/>
      <c r="R40" s="10" t="s">
        <v>105</v>
      </c>
      <c r="S40" s="10" t="s">
        <v>105</v>
      </c>
      <c r="T40" s="87"/>
      <c r="U40" s="21">
        <v>5</v>
      </c>
      <c r="V40" s="10">
        <v>0</v>
      </c>
      <c r="W40" s="21">
        <v>0</v>
      </c>
      <c r="X40" s="10" t="s">
        <v>105</v>
      </c>
      <c r="Y40" s="21">
        <v>0</v>
      </c>
      <c r="Z40" s="21">
        <v>0.7</v>
      </c>
      <c r="AA40" s="10">
        <v>2</v>
      </c>
      <c r="AB40" s="10" t="s">
        <v>105</v>
      </c>
      <c r="AC40" s="10" t="s">
        <v>105</v>
      </c>
      <c r="AD40" s="10" t="s">
        <v>106</v>
      </c>
      <c r="AE40" s="10" t="s">
        <v>114</v>
      </c>
      <c r="AF40" s="20">
        <f t="shared" si="8"/>
        <v>0.48275862068965514</v>
      </c>
      <c r="AG40" s="13">
        <f t="shared" si="1"/>
        <v>3</v>
      </c>
      <c r="AH40" s="7">
        <f t="shared" si="2"/>
        <v>10</v>
      </c>
      <c r="AI40" s="7">
        <f t="shared" si="3"/>
        <v>0</v>
      </c>
      <c r="AJ40" s="7">
        <f t="shared" si="4"/>
        <v>0</v>
      </c>
      <c r="AK40" s="7">
        <f t="shared" si="5"/>
        <v>0</v>
      </c>
      <c r="AL40" s="12">
        <f t="shared" si="9"/>
        <v>13</v>
      </c>
      <c r="AM40" s="14" t="str">
        <f t="shared" si="7"/>
        <v>Passable</v>
      </c>
      <c r="AP40" s="10" t="s">
        <v>331</v>
      </c>
    </row>
    <row r="41" spans="1:42" ht="16">
      <c r="A41" s="59">
        <v>45180</v>
      </c>
      <c r="C41" s="10">
        <v>15600305</v>
      </c>
      <c r="D41" s="10" t="s">
        <v>132</v>
      </c>
      <c r="E41" s="11">
        <v>10</v>
      </c>
      <c r="F41" s="39">
        <v>442969</v>
      </c>
      <c r="G41" s="39">
        <v>5985328</v>
      </c>
      <c r="H41" s="11" t="s">
        <v>163</v>
      </c>
      <c r="I41" s="11" t="s">
        <v>162</v>
      </c>
      <c r="K41" s="11" t="s">
        <v>111</v>
      </c>
      <c r="L41" s="10" t="s">
        <v>103</v>
      </c>
      <c r="M41" s="10" t="s">
        <v>104</v>
      </c>
      <c r="N41" s="21">
        <v>1.4</v>
      </c>
      <c r="O41" s="21">
        <v>30</v>
      </c>
      <c r="P41" s="10" t="s">
        <v>105</v>
      </c>
      <c r="Q41" s="87"/>
      <c r="R41" s="10" t="s">
        <v>105</v>
      </c>
      <c r="S41" s="10" t="s">
        <v>105</v>
      </c>
      <c r="T41" s="87"/>
      <c r="U41" s="21">
        <v>4</v>
      </c>
      <c r="V41" s="10">
        <v>0</v>
      </c>
      <c r="W41" s="21">
        <v>0</v>
      </c>
      <c r="X41" s="10" t="s">
        <v>105</v>
      </c>
      <c r="Y41" s="21">
        <v>0.5</v>
      </c>
      <c r="Z41" s="21">
        <v>1</v>
      </c>
      <c r="AA41" s="10">
        <v>1</v>
      </c>
      <c r="AB41" s="10" t="s">
        <v>105</v>
      </c>
      <c r="AC41" s="10" t="s">
        <v>105</v>
      </c>
      <c r="AD41" s="10" t="s">
        <v>106</v>
      </c>
      <c r="AE41" s="10" t="s">
        <v>114</v>
      </c>
      <c r="AF41" s="20">
        <f t="shared" si="8"/>
        <v>0.7142857142857143</v>
      </c>
      <c r="AG41" s="13">
        <f t="shared" si="1"/>
        <v>6</v>
      </c>
      <c r="AH41" s="7">
        <f t="shared" si="2"/>
        <v>10</v>
      </c>
      <c r="AI41" s="7">
        <f t="shared" si="3"/>
        <v>0</v>
      </c>
      <c r="AJ41" s="7">
        <f t="shared" si="4"/>
        <v>0</v>
      </c>
      <c r="AK41" s="7">
        <f t="shared" si="5"/>
        <v>0</v>
      </c>
      <c r="AL41" s="12">
        <f t="shared" si="9"/>
        <v>16</v>
      </c>
      <c r="AM41" s="14" t="str">
        <f t="shared" si="7"/>
        <v>Potential</v>
      </c>
      <c r="AN41" s="10" t="s">
        <v>295</v>
      </c>
      <c r="AO41" s="21">
        <v>3</v>
      </c>
      <c r="AP41" s="10" t="s">
        <v>332</v>
      </c>
    </row>
    <row r="42" spans="1:42" ht="16">
      <c r="A42" s="59">
        <v>45180</v>
      </c>
      <c r="C42" s="10">
        <v>15600459</v>
      </c>
      <c r="D42" s="10" t="s">
        <v>132</v>
      </c>
      <c r="E42" s="11">
        <v>10</v>
      </c>
      <c r="F42" s="39">
        <v>433132</v>
      </c>
      <c r="G42" s="39">
        <v>5991214</v>
      </c>
      <c r="H42" s="11" t="s">
        <v>138</v>
      </c>
      <c r="I42" s="11" t="s">
        <v>164</v>
      </c>
      <c r="K42" s="11" t="s">
        <v>111</v>
      </c>
      <c r="L42" s="10" t="s">
        <v>103</v>
      </c>
      <c r="M42" s="10" t="s">
        <v>104</v>
      </c>
      <c r="N42" s="21">
        <v>3.6</v>
      </c>
      <c r="O42" s="21">
        <v>16</v>
      </c>
      <c r="P42" s="10" t="s">
        <v>105</v>
      </c>
      <c r="Q42" s="87"/>
      <c r="R42" s="10" t="s">
        <v>105</v>
      </c>
      <c r="S42" s="10" t="s">
        <v>105</v>
      </c>
      <c r="T42" s="87"/>
      <c r="U42" s="21">
        <v>0.5</v>
      </c>
      <c r="V42" s="10">
        <v>0</v>
      </c>
      <c r="W42" s="21">
        <v>0</v>
      </c>
      <c r="X42" s="10" t="s">
        <v>105</v>
      </c>
      <c r="Y42" s="21">
        <v>1</v>
      </c>
      <c r="Z42" s="21">
        <v>2.6</v>
      </c>
      <c r="AA42" s="10">
        <v>0</v>
      </c>
      <c r="AB42" s="10" t="s">
        <v>105</v>
      </c>
      <c r="AC42" s="10" t="s">
        <v>105</v>
      </c>
      <c r="AD42" s="10" t="s">
        <v>106</v>
      </c>
      <c r="AE42" s="10" t="s">
        <v>114</v>
      </c>
      <c r="AF42" s="20">
        <f t="shared" si="8"/>
        <v>0.72222222222222221</v>
      </c>
      <c r="AG42" s="13">
        <f t="shared" si="1"/>
        <v>3</v>
      </c>
      <c r="AH42" s="7">
        <f t="shared" si="2"/>
        <v>10</v>
      </c>
      <c r="AI42" s="7">
        <f t="shared" si="3"/>
        <v>0</v>
      </c>
      <c r="AJ42" s="7">
        <f t="shared" si="4"/>
        <v>5</v>
      </c>
      <c r="AK42" s="7">
        <f t="shared" si="5"/>
        <v>0</v>
      </c>
      <c r="AL42" s="12">
        <f t="shared" si="9"/>
        <v>18</v>
      </c>
      <c r="AM42" s="14" t="str">
        <f t="shared" si="7"/>
        <v>Potential</v>
      </c>
      <c r="AN42" s="10" t="s">
        <v>294</v>
      </c>
      <c r="AO42" s="21">
        <v>15</v>
      </c>
      <c r="AP42" s="10" t="s">
        <v>333</v>
      </c>
    </row>
    <row r="43" spans="1:42" ht="32">
      <c r="A43" s="59">
        <v>45180</v>
      </c>
      <c r="C43" s="10">
        <v>15600182</v>
      </c>
      <c r="D43" s="10" t="s">
        <v>132</v>
      </c>
      <c r="E43" s="11">
        <v>10</v>
      </c>
      <c r="F43" s="39">
        <v>435117</v>
      </c>
      <c r="G43" s="39">
        <v>5987010</v>
      </c>
      <c r="H43" s="11" t="s">
        <v>121</v>
      </c>
      <c r="I43" s="11" t="s">
        <v>162</v>
      </c>
      <c r="K43" s="11" t="s">
        <v>111</v>
      </c>
      <c r="L43" s="10" t="s">
        <v>103</v>
      </c>
      <c r="M43" s="10" t="s">
        <v>104</v>
      </c>
      <c r="N43" s="21">
        <v>1.2</v>
      </c>
      <c r="O43" s="21">
        <v>30</v>
      </c>
      <c r="P43" s="10" t="s">
        <v>105</v>
      </c>
      <c r="Q43" s="87"/>
      <c r="R43" s="10" t="s">
        <v>105</v>
      </c>
      <c r="S43" s="10" t="s">
        <v>105</v>
      </c>
      <c r="T43" s="87"/>
      <c r="U43" s="21">
        <v>9.9</v>
      </c>
      <c r="V43" s="10">
        <v>1.2</v>
      </c>
      <c r="W43" s="21">
        <v>1.6</v>
      </c>
      <c r="X43" s="10" t="s">
        <v>105</v>
      </c>
      <c r="Y43" s="21">
        <v>1</v>
      </c>
      <c r="Z43" s="21">
        <v>1.3</v>
      </c>
      <c r="AA43" s="10">
        <v>3</v>
      </c>
      <c r="AB43" s="10" t="s">
        <v>105</v>
      </c>
      <c r="AC43" s="10" t="s">
        <v>105</v>
      </c>
      <c r="AD43" s="10" t="s">
        <v>106</v>
      </c>
      <c r="AE43" s="10" t="s">
        <v>107</v>
      </c>
      <c r="AF43" s="20">
        <f t="shared" si="8"/>
        <v>1.0833333333333335</v>
      </c>
      <c r="AG43" s="13">
        <f t="shared" si="1"/>
        <v>6</v>
      </c>
      <c r="AH43" s="7">
        <f t="shared" si="2"/>
        <v>10</v>
      </c>
      <c r="AI43" s="7">
        <f t="shared" si="3"/>
        <v>10</v>
      </c>
      <c r="AJ43" s="7">
        <f t="shared" si="4"/>
        <v>5</v>
      </c>
      <c r="AK43" s="7">
        <f t="shared" si="5"/>
        <v>3</v>
      </c>
      <c r="AL43" s="12">
        <f t="shared" si="9"/>
        <v>34</v>
      </c>
      <c r="AM43" s="14" t="str">
        <f t="shared" si="7"/>
        <v>Barrier</v>
      </c>
      <c r="AN43" s="10" t="s">
        <v>295</v>
      </c>
      <c r="AO43" s="21">
        <v>3</v>
      </c>
      <c r="AP43" s="10" t="s">
        <v>334</v>
      </c>
    </row>
    <row r="44" spans="1:42" ht="32">
      <c r="A44" s="59">
        <v>45180</v>
      </c>
      <c r="C44" s="10">
        <v>15600490</v>
      </c>
      <c r="D44" s="10" t="s">
        <v>132</v>
      </c>
      <c r="E44" s="11">
        <v>10</v>
      </c>
      <c r="F44" s="39">
        <v>426233</v>
      </c>
      <c r="G44" s="39">
        <v>5995486</v>
      </c>
      <c r="H44" s="11" t="s">
        <v>149</v>
      </c>
      <c r="I44" s="11" t="s">
        <v>151</v>
      </c>
      <c r="K44" s="11" t="s">
        <v>102</v>
      </c>
      <c r="L44" s="10" t="s">
        <v>103</v>
      </c>
      <c r="M44" s="10" t="s">
        <v>104</v>
      </c>
      <c r="N44" s="21">
        <v>0.9</v>
      </c>
      <c r="O44" s="21">
        <v>20</v>
      </c>
      <c r="P44" s="10" t="s">
        <v>105</v>
      </c>
      <c r="Q44" s="87"/>
      <c r="R44" s="10" t="s">
        <v>105</v>
      </c>
      <c r="S44" s="10" t="s">
        <v>105</v>
      </c>
      <c r="T44" s="87"/>
      <c r="U44" s="21">
        <v>3</v>
      </c>
      <c r="V44" s="10">
        <v>0.9</v>
      </c>
      <c r="W44" s="21">
        <v>0.5</v>
      </c>
      <c r="X44" s="10" t="s">
        <v>105</v>
      </c>
      <c r="Y44" s="21">
        <v>4</v>
      </c>
      <c r="Z44" s="21">
        <v>1.1000000000000001</v>
      </c>
      <c r="AA44" s="10">
        <v>3</v>
      </c>
      <c r="AB44" s="10" t="s">
        <v>105</v>
      </c>
      <c r="AC44" s="10" t="s">
        <v>105</v>
      </c>
      <c r="AD44" s="10" t="s">
        <v>106</v>
      </c>
      <c r="AE44" s="10" t="s">
        <v>107</v>
      </c>
      <c r="AF44" s="20">
        <f t="shared" si="8"/>
        <v>1.2222222222222223</v>
      </c>
      <c r="AG44" s="13">
        <f t="shared" si="1"/>
        <v>3</v>
      </c>
      <c r="AH44" s="7">
        <f t="shared" si="2"/>
        <v>10</v>
      </c>
      <c r="AI44" s="7">
        <f t="shared" si="3"/>
        <v>10</v>
      </c>
      <c r="AJ44" s="7">
        <f t="shared" si="4"/>
        <v>10</v>
      </c>
      <c r="AK44" s="7">
        <f t="shared" si="5"/>
        <v>3</v>
      </c>
      <c r="AL44" s="12">
        <f t="shared" si="9"/>
        <v>36</v>
      </c>
      <c r="AM44" s="14" t="str">
        <f t="shared" si="7"/>
        <v>Barrier</v>
      </c>
      <c r="AN44" s="10" t="s">
        <v>295</v>
      </c>
      <c r="AO44" s="21">
        <v>3</v>
      </c>
      <c r="AP44" s="10" t="s">
        <v>335</v>
      </c>
    </row>
    <row r="45" spans="1:42" ht="32">
      <c r="A45" s="59">
        <v>45180</v>
      </c>
      <c r="C45" s="10">
        <v>15603729</v>
      </c>
      <c r="D45" s="10" t="s">
        <v>132</v>
      </c>
      <c r="E45" s="11">
        <v>10</v>
      </c>
      <c r="F45" s="39">
        <v>403775</v>
      </c>
      <c r="G45" s="39">
        <v>6000768</v>
      </c>
      <c r="H45" s="11" t="s">
        <v>165</v>
      </c>
      <c r="I45" s="11" t="s">
        <v>166</v>
      </c>
      <c r="J45" s="22">
        <v>3.5</v>
      </c>
      <c r="K45" s="11" t="s">
        <v>167</v>
      </c>
      <c r="L45" s="10" t="s">
        <v>103</v>
      </c>
      <c r="M45" s="10" t="s">
        <v>104</v>
      </c>
      <c r="N45" s="21">
        <v>2.6</v>
      </c>
      <c r="O45" s="21">
        <v>12</v>
      </c>
      <c r="P45" s="10" t="s">
        <v>105</v>
      </c>
      <c r="Q45" s="87"/>
      <c r="R45" s="10" t="s">
        <v>105</v>
      </c>
      <c r="S45" s="10" t="s">
        <v>105</v>
      </c>
      <c r="T45" s="87"/>
      <c r="U45" s="21">
        <v>0.5</v>
      </c>
      <c r="V45" s="10">
        <v>0</v>
      </c>
      <c r="W45" s="21">
        <v>0.5</v>
      </c>
      <c r="X45" s="10" t="s">
        <v>105</v>
      </c>
      <c r="Y45" s="21">
        <v>1</v>
      </c>
      <c r="Z45" s="21">
        <v>2.4</v>
      </c>
      <c r="AA45" s="10">
        <v>1</v>
      </c>
      <c r="AB45" s="10" t="s">
        <v>105</v>
      </c>
      <c r="AC45" s="10" t="s">
        <v>105</v>
      </c>
      <c r="AD45" s="10" t="s">
        <v>106</v>
      </c>
      <c r="AE45" s="10" t="s">
        <v>119</v>
      </c>
      <c r="AF45" s="20">
        <f t="shared" si="8"/>
        <v>0.92307692307692302</v>
      </c>
      <c r="AG45" s="13">
        <f t="shared" si="1"/>
        <v>0</v>
      </c>
      <c r="AH45" s="7">
        <f t="shared" si="2"/>
        <v>10</v>
      </c>
      <c r="AI45" s="7">
        <f t="shared" si="3"/>
        <v>0</v>
      </c>
      <c r="AJ45" s="7">
        <f t="shared" si="4"/>
        <v>5</v>
      </c>
      <c r="AK45" s="7">
        <f t="shared" si="5"/>
        <v>0</v>
      </c>
      <c r="AL45" s="12">
        <f t="shared" si="9"/>
        <v>15</v>
      </c>
      <c r="AM45" s="14" t="str">
        <f t="shared" si="7"/>
        <v>Potential</v>
      </c>
      <c r="AN45" s="10" t="s">
        <v>294</v>
      </c>
      <c r="AO45" s="21">
        <v>15</v>
      </c>
      <c r="AP45" s="10" t="s">
        <v>336</v>
      </c>
    </row>
    <row r="46" spans="1:42" ht="16">
      <c r="A46" s="59">
        <v>45180</v>
      </c>
      <c r="C46" s="10">
        <v>15600285</v>
      </c>
      <c r="D46" s="10" t="s">
        <v>132</v>
      </c>
      <c r="E46" s="11">
        <v>10</v>
      </c>
      <c r="F46" s="39">
        <v>403897</v>
      </c>
      <c r="G46" s="39">
        <v>5998780</v>
      </c>
      <c r="H46" s="11" t="s">
        <v>165</v>
      </c>
      <c r="I46" s="11" t="s">
        <v>168</v>
      </c>
      <c r="K46" s="11" t="s">
        <v>111</v>
      </c>
      <c r="L46" s="10" t="s">
        <v>103</v>
      </c>
      <c r="M46" s="10" t="s">
        <v>104</v>
      </c>
      <c r="N46" s="21">
        <v>3</v>
      </c>
      <c r="O46" s="21">
        <v>9</v>
      </c>
      <c r="P46" s="10" t="s">
        <v>105</v>
      </c>
      <c r="Q46" s="87"/>
      <c r="R46" s="10" t="s">
        <v>105</v>
      </c>
      <c r="S46" s="10" t="s">
        <v>105</v>
      </c>
      <c r="T46" s="87"/>
      <c r="U46" s="21">
        <v>0.5</v>
      </c>
      <c r="V46" s="10">
        <v>0.5</v>
      </c>
      <c r="W46" s="21">
        <v>2</v>
      </c>
      <c r="X46" s="10" t="s">
        <v>105</v>
      </c>
      <c r="Y46" s="21">
        <v>1</v>
      </c>
      <c r="Z46" s="21">
        <v>3</v>
      </c>
      <c r="AA46" s="10">
        <v>2</v>
      </c>
      <c r="AB46" s="10" t="s">
        <v>109</v>
      </c>
      <c r="AC46" s="10" t="s">
        <v>105</v>
      </c>
      <c r="AD46" s="10" t="s">
        <v>106</v>
      </c>
      <c r="AE46" s="10" t="s">
        <v>107</v>
      </c>
      <c r="AF46" s="20">
        <f t="shared" si="8"/>
        <v>1</v>
      </c>
      <c r="AG46" s="13">
        <f t="shared" si="1"/>
        <v>0</v>
      </c>
      <c r="AH46" s="7">
        <f t="shared" si="2"/>
        <v>10</v>
      </c>
      <c r="AI46" s="7">
        <f t="shared" si="3"/>
        <v>10</v>
      </c>
      <c r="AJ46" s="7">
        <f t="shared" si="4"/>
        <v>5</v>
      </c>
      <c r="AK46" s="7">
        <f t="shared" si="5"/>
        <v>3</v>
      </c>
      <c r="AL46" s="12">
        <f t="shared" si="9"/>
        <v>28</v>
      </c>
      <c r="AM46" s="14" t="str">
        <f t="shared" si="7"/>
        <v>Barrier</v>
      </c>
      <c r="AN46" s="10" t="s">
        <v>294</v>
      </c>
      <c r="AO46" s="21">
        <v>15</v>
      </c>
      <c r="AP46" s="10" t="s">
        <v>337</v>
      </c>
    </row>
    <row r="47" spans="1:42" ht="16">
      <c r="A47" s="59">
        <v>45181</v>
      </c>
      <c r="C47" s="10">
        <v>15600427</v>
      </c>
      <c r="D47" s="10" t="s">
        <v>132</v>
      </c>
      <c r="E47" s="11">
        <v>10</v>
      </c>
      <c r="F47" s="39">
        <v>424186</v>
      </c>
      <c r="G47" s="39">
        <v>5985604</v>
      </c>
      <c r="H47" s="11" t="s">
        <v>169</v>
      </c>
      <c r="I47" s="11" t="s">
        <v>170</v>
      </c>
      <c r="K47" s="11" t="s">
        <v>102</v>
      </c>
      <c r="L47" s="10" t="s">
        <v>103</v>
      </c>
      <c r="M47" s="10" t="s">
        <v>104</v>
      </c>
      <c r="N47" s="21">
        <v>2</v>
      </c>
      <c r="O47" s="21">
        <v>26</v>
      </c>
      <c r="P47" s="10" t="s">
        <v>105</v>
      </c>
      <c r="Q47" s="87"/>
      <c r="R47" s="10" t="s">
        <v>105</v>
      </c>
      <c r="S47" s="10" t="s">
        <v>105</v>
      </c>
      <c r="T47" s="87"/>
      <c r="U47" s="21">
        <v>1</v>
      </c>
      <c r="V47" s="10">
        <v>0</v>
      </c>
      <c r="W47" s="21">
        <v>0.4</v>
      </c>
      <c r="X47" s="10" t="s">
        <v>105</v>
      </c>
      <c r="Y47" s="21">
        <v>2</v>
      </c>
      <c r="Z47" s="21">
        <v>3.1</v>
      </c>
      <c r="AA47" s="10">
        <v>0.5</v>
      </c>
      <c r="AB47" s="10" t="s">
        <v>105</v>
      </c>
      <c r="AC47" s="10" t="s">
        <v>105</v>
      </c>
      <c r="AD47" s="10" t="s">
        <v>106</v>
      </c>
      <c r="AE47" s="10" t="s">
        <v>107</v>
      </c>
      <c r="AF47" s="20">
        <f t="shared" si="8"/>
        <v>1.55</v>
      </c>
      <c r="AG47" s="13">
        <f t="shared" si="1"/>
        <v>3</v>
      </c>
      <c r="AH47" s="7">
        <f t="shared" si="2"/>
        <v>10</v>
      </c>
      <c r="AI47" s="7">
        <f t="shared" si="3"/>
        <v>0</v>
      </c>
      <c r="AJ47" s="7">
        <f t="shared" si="4"/>
        <v>5</v>
      </c>
      <c r="AK47" s="7">
        <f t="shared" si="5"/>
        <v>6</v>
      </c>
      <c r="AL47" s="12">
        <f t="shared" si="9"/>
        <v>24</v>
      </c>
      <c r="AM47" s="14" t="str">
        <f t="shared" si="7"/>
        <v>Barrier</v>
      </c>
      <c r="AN47" s="10" t="s">
        <v>294</v>
      </c>
      <c r="AO47" s="21">
        <v>15</v>
      </c>
      <c r="AP47" s="10" t="s">
        <v>338</v>
      </c>
    </row>
    <row r="48" spans="1:42" ht="16">
      <c r="A48" s="59">
        <v>45181</v>
      </c>
      <c r="C48" s="10">
        <v>15600478</v>
      </c>
      <c r="D48" s="10" t="s">
        <v>132</v>
      </c>
      <c r="E48" s="11">
        <v>10</v>
      </c>
      <c r="F48" s="39">
        <v>418610</v>
      </c>
      <c r="G48" s="39">
        <v>5987801</v>
      </c>
      <c r="H48" s="11" t="s">
        <v>171</v>
      </c>
      <c r="I48" s="11" t="s">
        <v>172</v>
      </c>
      <c r="K48" s="11" t="s">
        <v>111</v>
      </c>
      <c r="L48" s="10" t="s">
        <v>103</v>
      </c>
      <c r="M48" s="10" t="s">
        <v>104</v>
      </c>
      <c r="N48" s="21">
        <v>0.9</v>
      </c>
      <c r="O48" s="21">
        <v>10</v>
      </c>
      <c r="P48" s="10" t="s">
        <v>105</v>
      </c>
      <c r="Q48" s="87"/>
      <c r="R48" s="10" t="s">
        <v>105</v>
      </c>
      <c r="S48" s="10" t="s">
        <v>105</v>
      </c>
      <c r="T48" s="87"/>
      <c r="U48" s="21">
        <v>0.5</v>
      </c>
      <c r="V48" s="10">
        <v>0</v>
      </c>
      <c r="W48" s="21">
        <v>0</v>
      </c>
      <c r="X48" s="10" t="s">
        <v>105</v>
      </c>
      <c r="Y48" s="21">
        <v>1</v>
      </c>
      <c r="Z48" s="21">
        <v>0.9</v>
      </c>
      <c r="AA48" s="10">
        <v>0</v>
      </c>
      <c r="AB48" s="10" t="s">
        <v>105</v>
      </c>
      <c r="AC48" s="10" t="s">
        <v>105</v>
      </c>
      <c r="AD48" s="10" t="s">
        <v>106</v>
      </c>
      <c r="AE48" s="10" t="s">
        <v>107</v>
      </c>
      <c r="AF48" s="20">
        <f t="shared" si="8"/>
        <v>1</v>
      </c>
      <c r="AG48" s="13">
        <f t="shared" si="1"/>
        <v>0</v>
      </c>
      <c r="AH48" s="7">
        <f t="shared" si="2"/>
        <v>10</v>
      </c>
      <c r="AI48" s="7">
        <f t="shared" si="3"/>
        <v>0</v>
      </c>
      <c r="AJ48" s="7">
        <f t="shared" si="4"/>
        <v>5</v>
      </c>
      <c r="AK48" s="7">
        <f t="shared" si="5"/>
        <v>3</v>
      </c>
      <c r="AL48" s="12">
        <f t="shared" si="9"/>
        <v>18</v>
      </c>
      <c r="AM48" s="14" t="str">
        <f t="shared" si="7"/>
        <v>Potential</v>
      </c>
      <c r="AN48" s="10" t="s">
        <v>295</v>
      </c>
      <c r="AO48" s="21">
        <v>3</v>
      </c>
      <c r="AP48" s="10" t="s">
        <v>339</v>
      </c>
    </row>
    <row r="49" spans="1:42" ht="16">
      <c r="A49" s="59">
        <v>45197</v>
      </c>
      <c r="C49" s="10">
        <v>5400450</v>
      </c>
      <c r="D49" s="10" t="s">
        <v>132</v>
      </c>
      <c r="E49" s="11">
        <v>9</v>
      </c>
      <c r="F49" s="39">
        <v>693922</v>
      </c>
      <c r="G49" s="39">
        <v>6032097</v>
      </c>
      <c r="H49" s="11" t="s">
        <v>173</v>
      </c>
      <c r="I49" s="11" t="s">
        <v>170</v>
      </c>
      <c r="K49" s="11" t="s">
        <v>102</v>
      </c>
      <c r="L49" s="10" t="s">
        <v>103</v>
      </c>
      <c r="M49" s="10" t="s">
        <v>104</v>
      </c>
      <c r="N49" s="21">
        <v>2.5</v>
      </c>
      <c r="O49" s="21">
        <v>32</v>
      </c>
      <c r="P49" s="10" t="s">
        <v>105</v>
      </c>
      <c r="Q49" s="87"/>
      <c r="R49" s="10" t="s">
        <v>105</v>
      </c>
      <c r="S49" s="10" t="s">
        <v>105</v>
      </c>
      <c r="T49" s="87"/>
      <c r="U49" s="21">
        <v>2</v>
      </c>
      <c r="V49" s="10">
        <v>1</v>
      </c>
      <c r="W49" s="21">
        <v>0.9</v>
      </c>
      <c r="X49" s="10" t="s">
        <v>105</v>
      </c>
      <c r="Y49" s="21">
        <v>0</v>
      </c>
      <c r="Z49" s="21">
        <v>3.1</v>
      </c>
      <c r="AA49" s="10">
        <v>2</v>
      </c>
      <c r="AB49" s="10" t="s">
        <v>105</v>
      </c>
      <c r="AC49" s="10" t="s">
        <v>105</v>
      </c>
      <c r="AD49" s="10" t="s">
        <v>106</v>
      </c>
      <c r="AE49" s="10" t="s">
        <v>119</v>
      </c>
      <c r="AF49" s="20">
        <f t="shared" si="8"/>
        <v>1.24</v>
      </c>
      <c r="AG49" s="13">
        <f t="shared" si="1"/>
        <v>6</v>
      </c>
      <c r="AH49" s="7">
        <f t="shared" si="2"/>
        <v>10</v>
      </c>
      <c r="AI49" s="7">
        <f t="shared" si="3"/>
        <v>10</v>
      </c>
      <c r="AJ49" s="7">
        <f t="shared" si="4"/>
        <v>0</v>
      </c>
      <c r="AK49" s="7">
        <f t="shared" si="5"/>
        <v>3</v>
      </c>
      <c r="AL49" s="12">
        <f t="shared" si="9"/>
        <v>29</v>
      </c>
      <c r="AM49" s="14" t="str">
        <f t="shared" si="7"/>
        <v>Barrier</v>
      </c>
      <c r="AN49" s="10" t="s">
        <v>294</v>
      </c>
      <c r="AO49" s="21">
        <v>15</v>
      </c>
      <c r="AP49" s="10" t="s">
        <v>340</v>
      </c>
    </row>
    <row r="50" spans="1:42" ht="16">
      <c r="A50" s="59">
        <v>45197</v>
      </c>
      <c r="C50" s="10">
        <v>5400445</v>
      </c>
      <c r="D50" s="10" t="s">
        <v>132</v>
      </c>
      <c r="E50" s="11">
        <v>10</v>
      </c>
      <c r="F50" s="39">
        <v>309133</v>
      </c>
      <c r="G50" s="39">
        <v>6028926</v>
      </c>
      <c r="H50" s="11" t="s">
        <v>174</v>
      </c>
      <c r="I50" s="11" t="s">
        <v>170</v>
      </c>
      <c r="K50" s="11" t="s">
        <v>102</v>
      </c>
      <c r="L50" s="10" t="s">
        <v>103</v>
      </c>
      <c r="M50" s="10" t="s">
        <v>148</v>
      </c>
      <c r="N50" s="21">
        <v>2.6</v>
      </c>
      <c r="O50" s="21">
        <v>16</v>
      </c>
      <c r="P50" s="10" t="s">
        <v>105</v>
      </c>
      <c r="Q50" s="87"/>
      <c r="R50" s="10" t="s">
        <v>105</v>
      </c>
      <c r="S50" s="10" t="s">
        <v>105</v>
      </c>
      <c r="T50" s="87"/>
      <c r="U50" s="21">
        <v>0.4</v>
      </c>
      <c r="V50" s="10">
        <v>0</v>
      </c>
      <c r="W50" s="21">
        <v>0</v>
      </c>
      <c r="X50" s="10" t="s">
        <v>105</v>
      </c>
      <c r="Y50" s="21">
        <v>3</v>
      </c>
      <c r="Z50" s="21">
        <v>3.4</v>
      </c>
      <c r="AA50" s="10">
        <v>1</v>
      </c>
      <c r="AB50" s="10" t="s">
        <v>105</v>
      </c>
      <c r="AC50" s="10" t="s">
        <v>105</v>
      </c>
      <c r="AD50" s="10" t="s">
        <v>106</v>
      </c>
      <c r="AE50" s="10" t="s">
        <v>107</v>
      </c>
      <c r="AF50" s="20">
        <f t="shared" si="8"/>
        <v>1.3076923076923077</v>
      </c>
      <c r="AG50" s="13">
        <f t="shared" si="1"/>
        <v>3</v>
      </c>
      <c r="AH50" s="7">
        <f t="shared" si="2"/>
        <v>10</v>
      </c>
      <c r="AI50" s="7">
        <f t="shared" si="3"/>
        <v>0</v>
      </c>
      <c r="AJ50" s="7">
        <f t="shared" si="4"/>
        <v>10</v>
      </c>
      <c r="AK50" s="7">
        <f t="shared" si="5"/>
        <v>6</v>
      </c>
      <c r="AL50" s="12">
        <f t="shared" si="9"/>
        <v>29</v>
      </c>
      <c r="AM50" s="14" t="str">
        <f t="shared" si="7"/>
        <v>Barrier</v>
      </c>
      <c r="AN50" s="10" t="s">
        <v>294</v>
      </c>
      <c r="AO50" s="21">
        <v>15</v>
      </c>
      <c r="AP50" s="10" t="s">
        <v>341</v>
      </c>
    </row>
    <row r="51" spans="1:42" ht="16">
      <c r="A51" s="59">
        <v>45197</v>
      </c>
      <c r="C51" s="10">
        <v>5400440</v>
      </c>
      <c r="D51" s="10" t="s">
        <v>132</v>
      </c>
      <c r="E51" s="11">
        <v>10</v>
      </c>
      <c r="F51" s="39">
        <v>313583</v>
      </c>
      <c r="G51" s="39">
        <v>6022421</v>
      </c>
      <c r="H51" s="11" t="s">
        <v>175</v>
      </c>
      <c r="I51" s="11" t="s">
        <v>170</v>
      </c>
      <c r="K51" s="11" t="s">
        <v>102</v>
      </c>
      <c r="L51" s="10" t="s">
        <v>103</v>
      </c>
      <c r="M51" s="10" t="s">
        <v>148</v>
      </c>
      <c r="N51" s="21">
        <v>2.2999999999999998</v>
      </c>
      <c r="O51" s="21">
        <v>20</v>
      </c>
      <c r="P51" s="10" t="s">
        <v>105</v>
      </c>
      <c r="Q51" s="87"/>
      <c r="R51" s="10" t="s">
        <v>105</v>
      </c>
      <c r="S51" s="10" t="s">
        <v>105</v>
      </c>
      <c r="T51" s="87"/>
      <c r="U51" s="21">
        <v>1</v>
      </c>
      <c r="V51" s="10">
        <v>0.2</v>
      </c>
      <c r="W51" s="21">
        <v>0</v>
      </c>
      <c r="X51" s="10" t="s">
        <v>109</v>
      </c>
      <c r="Y51" s="21">
        <v>5</v>
      </c>
      <c r="Z51" s="21">
        <v>3.5</v>
      </c>
      <c r="AA51" s="10">
        <v>4</v>
      </c>
      <c r="AB51" s="10" t="s">
        <v>105</v>
      </c>
      <c r="AC51" s="10" t="s">
        <v>105</v>
      </c>
      <c r="AD51" s="10" t="s">
        <v>106</v>
      </c>
      <c r="AE51" s="10" t="s">
        <v>107</v>
      </c>
      <c r="AF51" s="20">
        <f t="shared" si="8"/>
        <v>1.5217391304347827</v>
      </c>
      <c r="AG51" s="13">
        <f t="shared" si="1"/>
        <v>3</v>
      </c>
      <c r="AH51" s="7">
        <f t="shared" si="2"/>
        <v>10</v>
      </c>
      <c r="AI51" s="7">
        <f t="shared" si="3"/>
        <v>5</v>
      </c>
      <c r="AJ51" s="7">
        <f t="shared" si="4"/>
        <v>10</v>
      </c>
      <c r="AK51" s="7">
        <f t="shared" si="5"/>
        <v>6</v>
      </c>
      <c r="AL51" s="12">
        <f t="shared" si="9"/>
        <v>34</v>
      </c>
      <c r="AM51" s="14" t="str">
        <f t="shared" si="7"/>
        <v>Barrier</v>
      </c>
      <c r="AN51" s="10" t="s">
        <v>294</v>
      </c>
      <c r="AO51" s="21">
        <v>15</v>
      </c>
      <c r="AP51" s="10" t="s">
        <v>342</v>
      </c>
    </row>
    <row r="52" spans="1:42" ht="16">
      <c r="A52" s="59">
        <v>45197</v>
      </c>
      <c r="C52" s="10">
        <v>5406295</v>
      </c>
      <c r="D52" s="10" t="s">
        <v>132</v>
      </c>
      <c r="E52" s="11">
        <v>10</v>
      </c>
      <c r="F52" s="39">
        <v>313514</v>
      </c>
      <c r="G52" s="39">
        <v>6022401</v>
      </c>
      <c r="H52" s="11" t="s">
        <v>175</v>
      </c>
      <c r="I52" s="11" t="s">
        <v>176</v>
      </c>
      <c r="K52" s="11" t="s">
        <v>177</v>
      </c>
      <c r="L52" s="10" t="s">
        <v>103</v>
      </c>
      <c r="M52" s="10" t="s">
        <v>104</v>
      </c>
      <c r="N52" s="21">
        <v>2.2000000000000002</v>
      </c>
      <c r="O52" s="21">
        <v>12</v>
      </c>
      <c r="P52" s="10" t="s">
        <v>105</v>
      </c>
      <c r="Q52" s="87"/>
      <c r="R52" s="10" t="s">
        <v>105</v>
      </c>
      <c r="S52" s="10" t="s">
        <v>105</v>
      </c>
      <c r="T52" s="87"/>
      <c r="U52" s="21">
        <v>1.2</v>
      </c>
      <c r="V52" s="10">
        <v>0.5</v>
      </c>
      <c r="W52" s="21">
        <v>0</v>
      </c>
      <c r="X52" s="10" t="s">
        <v>105</v>
      </c>
      <c r="Y52" s="21">
        <v>5</v>
      </c>
      <c r="Z52" s="21">
        <v>4.0999999999999996</v>
      </c>
      <c r="AA52" s="10">
        <v>2</v>
      </c>
      <c r="AB52" s="10" t="s">
        <v>105</v>
      </c>
      <c r="AC52" s="10" t="s">
        <v>105</v>
      </c>
      <c r="AD52" s="10" t="s">
        <v>106</v>
      </c>
      <c r="AE52" s="10" t="s">
        <v>107</v>
      </c>
      <c r="AF52" s="20">
        <f t="shared" si="8"/>
        <v>1.8636363636363633</v>
      </c>
      <c r="AG52" s="13">
        <f t="shared" si="1"/>
        <v>0</v>
      </c>
      <c r="AH52" s="7">
        <f t="shared" si="2"/>
        <v>10</v>
      </c>
      <c r="AI52" s="7">
        <f t="shared" si="3"/>
        <v>10</v>
      </c>
      <c r="AJ52" s="7">
        <f t="shared" si="4"/>
        <v>10</v>
      </c>
      <c r="AK52" s="7">
        <f t="shared" si="5"/>
        <v>6</v>
      </c>
      <c r="AL52" s="12">
        <f t="shared" si="9"/>
        <v>36</v>
      </c>
      <c r="AM52" s="14" t="str">
        <f t="shared" si="7"/>
        <v>Barrier</v>
      </c>
      <c r="AN52" s="10" t="s">
        <v>294</v>
      </c>
      <c r="AO52" s="21">
        <v>15</v>
      </c>
      <c r="AP52" s="10" t="s">
        <v>343</v>
      </c>
    </row>
    <row r="53" spans="1:42" ht="16">
      <c r="A53" s="59">
        <v>45197</v>
      </c>
      <c r="C53" s="10">
        <v>5400044</v>
      </c>
      <c r="D53" s="10" t="s">
        <v>132</v>
      </c>
      <c r="E53" s="11">
        <v>10</v>
      </c>
      <c r="F53" s="39">
        <v>316235</v>
      </c>
      <c r="G53" s="39">
        <v>6018694</v>
      </c>
      <c r="H53" s="11" t="s">
        <v>178</v>
      </c>
      <c r="I53" s="11" t="s">
        <v>170</v>
      </c>
      <c r="K53" s="11" t="s">
        <v>102</v>
      </c>
      <c r="L53" s="10" t="s">
        <v>103</v>
      </c>
      <c r="M53" s="10" t="s">
        <v>104</v>
      </c>
      <c r="N53" s="21">
        <v>2.6</v>
      </c>
      <c r="O53" s="21">
        <v>32</v>
      </c>
      <c r="P53" s="10" t="s">
        <v>105</v>
      </c>
      <c r="Q53" s="87"/>
      <c r="R53" s="10" t="s">
        <v>105</v>
      </c>
      <c r="S53" s="10" t="s">
        <v>105</v>
      </c>
      <c r="T53" s="87"/>
      <c r="U53" s="21">
        <v>1.3</v>
      </c>
      <c r="V53" s="10">
        <v>0.6</v>
      </c>
      <c r="W53" s="21">
        <v>0</v>
      </c>
      <c r="X53" s="10" t="s">
        <v>105</v>
      </c>
      <c r="Y53" s="21">
        <v>2</v>
      </c>
      <c r="Z53" s="21">
        <v>4.3</v>
      </c>
      <c r="AA53" s="10">
        <v>4</v>
      </c>
      <c r="AB53" s="10" t="s">
        <v>105</v>
      </c>
      <c r="AC53" s="10" t="s">
        <v>105</v>
      </c>
      <c r="AD53" s="10" t="s">
        <v>106</v>
      </c>
      <c r="AE53" s="10" t="s">
        <v>107</v>
      </c>
      <c r="AF53" s="20">
        <f t="shared" si="8"/>
        <v>1.6538461538461537</v>
      </c>
      <c r="AG53" s="13">
        <f t="shared" si="1"/>
        <v>6</v>
      </c>
      <c r="AH53" s="7">
        <f t="shared" si="2"/>
        <v>10</v>
      </c>
      <c r="AI53" s="7">
        <f t="shared" si="3"/>
        <v>10</v>
      </c>
      <c r="AJ53" s="7">
        <f t="shared" si="4"/>
        <v>5</v>
      </c>
      <c r="AK53" s="7">
        <f t="shared" si="5"/>
        <v>6</v>
      </c>
      <c r="AL53" s="12">
        <f t="shared" si="9"/>
        <v>37</v>
      </c>
      <c r="AM53" s="14" t="str">
        <f t="shared" si="7"/>
        <v>Barrier</v>
      </c>
      <c r="AN53" s="10" t="s">
        <v>294</v>
      </c>
      <c r="AO53" s="21">
        <v>15</v>
      </c>
      <c r="AP53" s="10" t="s">
        <v>344</v>
      </c>
    </row>
    <row r="54" spans="1:42" ht="16">
      <c r="A54" s="59">
        <v>45197</v>
      </c>
      <c r="C54" s="10">
        <v>5400227</v>
      </c>
      <c r="D54" s="10" t="s">
        <v>132</v>
      </c>
      <c r="E54" s="11">
        <v>10</v>
      </c>
      <c r="F54" s="39">
        <v>317315</v>
      </c>
      <c r="G54" s="39">
        <v>6016973</v>
      </c>
      <c r="H54" s="11" t="s">
        <v>179</v>
      </c>
      <c r="I54" s="11" t="s">
        <v>170</v>
      </c>
      <c r="K54" s="11" t="s">
        <v>102</v>
      </c>
      <c r="L54" s="10" t="s">
        <v>103</v>
      </c>
      <c r="M54" s="10" t="s">
        <v>104</v>
      </c>
      <c r="N54" s="21">
        <v>1.2</v>
      </c>
      <c r="O54" s="21">
        <v>48</v>
      </c>
      <c r="P54" s="10" t="s">
        <v>105</v>
      </c>
      <c r="Q54" s="87"/>
      <c r="R54" s="10" t="s">
        <v>105</v>
      </c>
      <c r="S54" s="10" t="s">
        <v>105</v>
      </c>
      <c r="T54" s="87"/>
      <c r="U54" s="21">
        <v>4</v>
      </c>
      <c r="V54" s="10">
        <v>0.2</v>
      </c>
      <c r="W54" s="21">
        <v>0</v>
      </c>
      <c r="X54" s="10" t="s">
        <v>105</v>
      </c>
      <c r="Y54" s="21">
        <v>2</v>
      </c>
      <c r="Z54" s="21">
        <v>1.1000000000000001</v>
      </c>
      <c r="AA54" s="10">
        <v>2</v>
      </c>
      <c r="AB54" s="10" t="s">
        <v>105</v>
      </c>
      <c r="AC54" s="10" t="s">
        <v>105</v>
      </c>
      <c r="AD54" s="10" t="s">
        <v>106</v>
      </c>
      <c r="AE54" s="10" t="s">
        <v>114</v>
      </c>
      <c r="AF54" s="20">
        <f t="shared" si="8"/>
        <v>0.91666666666666674</v>
      </c>
      <c r="AG54" s="13">
        <f t="shared" si="1"/>
        <v>6</v>
      </c>
      <c r="AH54" s="7">
        <f t="shared" si="2"/>
        <v>10</v>
      </c>
      <c r="AI54" s="7">
        <f t="shared" si="3"/>
        <v>5</v>
      </c>
      <c r="AJ54" s="7">
        <f t="shared" si="4"/>
        <v>5</v>
      </c>
      <c r="AK54" s="7">
        <f t="shared" si="5"/>
        <v>0</v>
      </c>
      <c r="AL54" s="12">
        <f t="shared" si="9"/>
        <v>26</v>
      </c>
      <c r="AM54" s="14" t="str">
        <f t="shared" si="7"/>
        <v>Barrier</v>
      </c>
      <c r="AN54" s="10" t="s">
        <v>295</v>
      </c>
      <c r="AO54" s="21">
        <v>3</v>
      </c>
      <c r="AP54" s="10" t="s">
        <v>345</v>
      </c>
    </row>
    <row r="55" spans="1:42" ht="16">
      <c r="A55" s="59">
        <v>45197</v>
      </c>
      <c r="C55" s="10">
        <v>5400286</v>
      </c>
      <c r="D55" s="10" t="s">
        <v>132</v>
      </c>
      <c r="E55" s="11">
        <v>10</v>
      </c>
      <c r="F55" s="39">
        <v>320733</v>
      </c>
      <c r="G55" s="39">
        <v>6009596</v>
      </c>
      <c r="H55" s="11" t="s">
        <v>180</v>
      </c>
      <c r="I55" s="11" t="s">
        <v>181</v>
      </c>
      <c r="K55" s="11" t="s">
        <v>102</v>
      </c>
      <c r="L55" s="10" t="s">
        <v>103</v>
      </c>
      <c r="M55" s="10" t="s">
        <v>148</v>
      </c>
      <c r="N55" s="21">
        <v>4</v>
      </c>
      <c r="O55" s="21">
        <v>22</v>
      </c>
      <c r="P55" s="10" t="s">
        <v>105</v>
      </c>
      <c r="Q55" s="87"/>
      <c r="R55" s="10" t="s">
        <v>105</v>
      </c>
      <c r="S55" s="10" t="s">
        <v>105</v>
      </c>
      <c r="T55" s="87"/>
      <c r="U55" s="21">
        <v>0.1</v>
      </c>
      <c r="V55" s="10">
        <v>0.6</v>
      </c>
      <c r="W55" s="21">
        <v>0.5</v>
      </c>
      <c r="X55" s="10" t="s">
        <v>105</v>
      </c>
      <c r="Y55" s="21">
        <v>2</v>
      </c>
      <c r="Z55" s="21">
        <v>2.8</v>
      </c>
      <c r="AA55" s="10">
        <v>3</v>
      </c>
      <c r="AB55" s="10" t="s">
        <v>105</v>
      </c>
      <c r="AC55" s="10" t="s">
        <v>109</v>
      </c>
      <c r="AD55" s="10" t="s">
        <v>106</v>
      </c>
      <c r="AE55" s="10" t="s">
        <v>119</v>
      </c>
      <c r="AF55" s="20">
        <f t="shared" si="8"/>
        <v>0.7</v>
      </c>
      <c r="AG55" s="13">
        <f t="shared" si="1"/>
        <v>3</v>
      </c>
      <c r="AH55" s="7">
        <f t="shared" si="2"/>
        <v>10</v>
      </c>
      <c r="AI55" s="7">
        <f t="shared" si="3"/>
        <v>10</v>
      </c>
      <c r="AJ55" s="7">
        <f t="shared" si="4"/>
        <v>5</v>
      </c>
      <c r="AK55" s="7">
        <f t="shared" si="5"/>
        <v>0</v>
      </c>
      <c r="AL55" s="12">
        <f t="shared" si="9"/>
        <v>28</v>
      </c>
      <c r="AM55" s="14" t="str">
        <f t="shared" si="7"/>
        <v>Barrier</v>
      </c>
      <c r="AN55" s="10" t="s">
        <v>294</v>
      </c>
      <c r="AO55" s="21">
        <v>15</v>
      </c>
      <c r="AP55" s="10" t="s">
        <v>346</v>
      </c>
    </row>
    <row r="56" spans="1:42" ht="16">
      <c r="A56" s="59">
        <v>45197</v>
      </c>
      <c r="C56" s="10">
        <v>5400042</v>
      </c>
      <c r="D56" s="10" t="s">
        <v>132</v>
      </c>
      <c r="E56" s="11">
        <v>10</v>
      </c>
      <c r="F56" s="39">
        <v>322424</v>
      </c>
      <c r="G56" s="39">
        <v>6011731</v>
      </c>
      <c r="H56" s="11" t="s">
        <v>182</v>
      </c>
      <c r="I56" s="11" t="s">
        <v>101</v>
      </c>
      <c r="K56" s="11" t="s">
        <v>102</v>
      </c>
      <c r="L56" s="10" t="s">
        <v>103</v>
      </c>
      <c r="M56" s="10" t="s">
        <v>104</v>
      </c>
      <c r="N56" s="21">
        <v>3.5</v>
      </c>
      <c r="O56" s="21">
        <v>30</v>
      </c>
      <c r="P56" s="10" t="s">
        <v>105</v>
      </c>
      <c r="Q56" s="87"/>
      <c r="R56" s="10" t="s">
        <v>105</v>
      </c>
      <c r="S56" s="10" t="s">
        <v>105</v>
      </c>
      <c r="T56" s="87"/>
      <c r="U56" s="21">
        <v>4</v>
      </c>
      <c r="V56" s="10">
        <v>0</v>
      </c>
      <c r="W56" s="21">
        <v>0</v>
      </c>
      <c r="X56" s="10" t="s">
        <v>105</v>
      </c>
      <c r="Y56" s="21">
        <v>4</v>
      </c>
      <c r="Z56" s="21">
        <v>2.4</v>
      </c>
      <c r="AA56" s="10">
        <v>3</v>
      </c>
      <c r="AB56" s="10" t="s">
        <v>105</v>
      </c>
      <c r="AC56" s="10" t="s">
        <v>109</v>
      </c>
      <c r="AD56" s="10" t="s">
        <v>106</v>
      </c>
      <c r="AE56" s="10" t="s">
        <v>119</v>
      </c>
      <c r="AF56" s="20">
        <f t="shared" si="8"/>
        <v>0.68571428571428572</v>
      </c>
      <c r="AG56" s="13">
        <f t="shared" si="1"/>
        <v>6</v>
      </c>
      <c r="AH56" s="7">
        <f t="shared" si="2"/>
        <v>10</v>
      </c>
      <c r="AI56" s="7">
        <f t="shared" si="3"/>
        <v>0</v>
      </c>
      <c r="AJ56" s="7">
        <f t="shared" si="4"/>
        <v>10</v>
      </c>
      <c r="AK56" s="7">
        <f t="shared" si="5"/>
        <v>0</v>
      </c>
      <c r="AL56" s="12">
        <f t="shared" si="9"/>
        <v>26</v>
      </c>
      <c r="AM56" s="14" t="str">
        <f t="shared" si="7"/>
        <v>Barrier</v>
      </c>
      <c r="AN56" s="10" t="s">
        <v>294</v>
      </c>
      <c r="AO56" s="21">
        <v>18</v>
      </c>
      <c r="AP56" s="10" t="s">
        <v>347</v>
      </c>
    </row>
    <row r="57" spans="1:42" ht="16">
      <c r="A57" s="59">
        <v>45198</v>
      </c>
      <c r="C57" s="10">
        <v>5400157</v>
      </c>
      <c r="D57" s="10" t="s">
        <v>132</v>
      </c>
      <c r="E57" s="11">
        <v>10</v>
      </c>
      <c r="F57" s="39">
        <v>337777</v>
      </c>
      <c r="G57" s="39">
        <v>6007094</v>
      </c>
      <c r="H57" s="11" t="s">
        <v>183</v>
      </c>
      <c r="I57" s="11" t="s">
        <v>101</v>
      </c>
      <c r="K57" s="11" t="s">
        <v>102</v>
      </c>
      <c r="L57" s="10" t="s">
        <v>103</v>
      </c>
      <c r="M57" s="10" t="s">
        <v>104</v>
      </c>
      <c r="N57" s="21">
        <v>2.6</v>
      </c>
      <c r="O57" s="21">
        <v>52</v>
      </c>
      <c r="P57" s="10" t="s">
        <v>105</v>
      </c>
      <c r="Q57" s="87"/>
      <c r="R57" s="10" t="s">
        <v>105</v>
      </c>
      <c r="S57" s="10" t="s">
        <v>105</v>
      </c>
      <c r="T57" s="87"/>
      <c r="U57" s="21">
        <v>4</v>
      </c>
      <c r="V57" s="10">
        <v>1.8</v>
      </c>
      <c r="W57" s="21">
        <v>1.5</v>
      </c>
      <c r="X57" s="10" t="s">
        <v>105</v>
      </c>
      <c r="Y57" s="21">
        <v>3</v>
      </c>
      <c r="Z57" s="21">
        <v>6.5</v>
      </c>
      <c r="AA57" s="10">
        <v>4</v>
      </c>
      <c r="AB57" s="10" t="s">
        <v>105</v>
      </c>
      <c r="AC57" s="10" t="s">
        <v>109</v>
      </c>
      <c r="AD57" s="10" t="s">
        <v>106</v>
      </c>
      <c r="AE57" s="10" t="s">
        <v>119</v>
      </c>
      <c r="AF57" s="20">
        <f t="shared" si="8"/>
        <v>2.5</v>
      </c>
      <c r="AG57" s="13">
        <f t="shared" si="1"/>
        <v>6</v>
      </c>
      <c r="AH57" s="7">
        <f t="shared" si="2"/>
        <v>10</v>
      </c>
      <c r="AI57" s="7">
        <f t="shared" si="3"/>
        <v>10</v>
      </c>
      <c r="AJ57" s="7">
        <f t="shared" si="4"/>
        <v>10</v>
      </c>
      <c r="AK57" s="7">
        <f t="shared" si="5"/>
        <v>6</v>
      </c>
      <c r="AL57" s="12">
        <f t="shared" si="9"/>
        <v>42</v>
      </c>
      <c r="AM57" s="14" t="str">
        <f t="shared" si="7"/>
        <v>Barrier</v>
      </c>
      <c r="AN57" s="10" t="s">
        <v>294</v>
      </c>
      <c r="AO57" s="21">
        <v>18</v>
      </c>
      <c r="AP57" s="10" t="s">
        <v>348</v>
      </c>
    </row>
    <row r="58" spans="1:42" ht="16">
      <c r="A58" s="59">
        <v>45198</v>
      </c>
      <c r="C58" s="10">
        <v>5401774</v>
      </c>
      <c r="D58" s="10" t="s">
        <v>132</v>
      </c>
      <c r="E58" s="11">
        <v>10</v>
      </c>
      <c r="F58" s="39">
        <v>337850</v>
      </c>
      <c r="G58" s="39">
        <v>6006827</v>
      </c>
      <c r="H58" s="11" t="s">
        <v>183</v>
      </c>
      <c r="I58" s="11" t="s">
        <v>184</v>
      </c>
      <c r="K58" s="11" t="s">
        <v>185</v>
      </c>
      <c r="L58" s="10" t="s">
        <v>103</v>
      </c>
      <c r="M58" s="10" t="s">
        <v>104</v>
      </c>
      <c r="N58" s="21">
        <v>2.5</v>
      </c>
      <c r="O58" s="21">
        <v>14</v>
      </c>
      <c r="P58" s="10" t="s">
        <v>105</v>
      </c>
      <c r="Q58" s="87"/>
      <c r="R58" s="10" t="s">
        <v>105</v>
      </c>
      <c r="S58" s="10" t="s">
        <v>105</v>
      </c>
      <c r="T58" s="87"/>
      <c r="U58" s="21">
        <v>1</v>
      </c>
      <c r="V58" s="10">
        <v>1.4</v>
      </c>
      <c r="W58" s="21">
        <v>2</v>
      </c>
      <c r="X58" s="10" t="s">
        <v>105</v>
      </c>
      <c r="Y58" s="21">
        <v>3</v>
      </c>
      <c r="Z58" s="21">
        <v>5.6</v>
      </c>
      <c r="AA58" s="10">
        <v>3</v>
      </c>
      <c r="AB58" s="10" t="s">
        <v>105</v>
      </c>
      <c r="AC58" s="10" t="s">
        <v>105</v>
      </c>
      <c r="AD58" s="10" t="s">
        <v>106</v>
      </c>
      <c r="AE58" s="10" t="s">
        <v>119</v>
      </c>
      <c r="AF58" s="20">
        <f t="shared" si="8"/>
        <v>2.2399999999999998</v>
      </c>
      <c r="AG58" s="13">
        <f t="shared" si="1"/>
        <v>0</v>
      </c>
      <c r="AH58" s="7">
        <f t="shared" si="2"/>
        <v>10</v>
      </c>
      <c r="AI58" s="7">
        <f t="shared" si="3"/>
        <v>10</v>
      </c>
      <c r="AJ58" s="7">
        <f t="shared" si="4"/>
        <v>10</v>
      </c>
      <c r="AK58" s="7">
        <f t="shared" si="5"/>
        <v>6</v>
      </c>
      <c r="AL58" s="12">
        <f t="shared" si="9"/>
        <v>36</v>
      </c>
      <c r="AM58" s="14" t="str">
        <f t="shared" si="7"/>
        <v>Barrier</v>
      </c>
      <c r="AN58" s="10" t="s">
        <v>294</v>
      </c>
      <c r="AO58" s="21">
        <v>15</v>
      </c>
      <c r="AP58" s="10" t="s">
        <v>349</v>
      </c>
    </row>
    <row r="59" spans="1:42" ht="16">
      <c r="A59" s="59">
        <v>45198</v>
      </c>
      <c r="C59" s="10">
        <v>5400019</v>
      </c>
      <c r="D59" s="10" t="s">
        <v>132</v>
      </c>
      <c r="E59" s="11">
        <v>10</v>
      </c>
      <c r="F59" s="39">
        <v>366638</v>
      </c>
      <c r="G59" s="39">
        <v>5995282</v>
      </c>
      <c r="H59" s="11" t="s">
        <v>186</v>
      </c>
      <c r="I59" s="11" t="s">
        <v>101</v>
      </c>
      <c r="K59" s="11" t="s">
        <v>102</v>
      </c>
      <c r="L59" s="10" t="s">
        <v>103</v>
      </c>
      <c r="M59" s="10" t="s">
        <v>104</v>
      </c>
      <c r="N59" s="21">
        <v>1.2</v>
      </c>
      <c r="O59" s="21">
        <v>99.9</v>
      </c>
      <c r="P59" s="10" t="s">
        <v>105</v>
      </c>
      <c r="Q59" s="87"/>
      <c r="R59" s="10" t="s">
        <v>105</v>
      </c>
      <c r="S59" s="10" t="s">
        <v>105</v>
      </c>
      <c r="T59" s="87"/>
      <c r="U59" s="21">
        <v>6</v>
      </c>
      <c r="V59" s="10">
        <v>0</v>
      </c>
      <c r="W59" s="21">
        <v>0</v>
      </c>
      <c r="X59" s="10" t="s">
        <v>105</v>
      </c>
      <c r="Y59" s="21">
        <v>1</v>
      </c>
      <c r="Z59" s="21">
        <v>1.1000000000000001</v>
      </c>
      <c r="AA59" s="10">
        <v>3</v>
      </c>
      <c r="AB59" s="10" t="s">
        <v>105</v>
      </c>
      <c r="AC59" s="10" t="s">
        <v>105</v>
      </c>
      <c r="AD59" s="10" t="s">
        <v>106</v>
      </c>
      <c r="AE59" s="10" t="s">
        <v>114</v>
      </c>
      <c r="AF59" s="20">
        <f t="shared" si="8"/>
        <v>0.91666666666666674</v>
      </c>
      <c r="AG59" s="13">
        <f t="shared" si="1"/>
        <v>6</v>
      </c>
      <c r="AH59" s="7">
        <f t="shared" si="2"/>
        <v>10</v>
      </c>
      <c r="AI59" s="7">
        <f t="shared" si="3"/>
        <v>0</v>
      </c>
      <c r="AJ59" s="7">
        <f t="shared" si="4"/>
        <v>5</v>
      </c>
      <c r="AK59" s="7">
        <f t="shared" si="5"/>
        <v>0</v>
      </c>
      <c r="AL59" s="12">
        <f t="shared" si="9"/>
        <v>21</v>
      </c>
      <c r="AM59" s="14" t="str">
        <f t="shared" si="7"/>
        <v>Barrier</v>
      </c>
      <c r="AN59" s="10" t="s">
        <v>295</v>
      </c>
      <c r="AO59" s="21">
        <v>3</v>
      </c>
      <c r="AP59" s="10" t="s">
        <v>350</v>
      </c>
    </row>
    <row r="60" spans="1:42" ht="16">
      <c r="A60" s="59">
        <v>45198</v>
      </c>
      <c r="C60" s="10">
        <v>5400239</v>
      </c>
      <c r="D60" s="10" t="s">
        <v>132</v>
      </c>
      <c r="E60" s="11">
        <v>10</v>
      </c>
      <c r="F60" s="39">
        <v>381850</v>
      </c>
      <c r="G60" s="39">
        <v>5991183</v>
      </c>
      <c r="H60" s="11" t="s">
        <v>187</v>
      </c>
      <c r="I60" s="11" t="s">
        <v>101</v>
      </c>
      <c r="K60" s="11" t="s">
        <v>102</v>
      </c>
      <c r="L60" s="10" t="s">
        <v>103</v>
      </c>
      <c r="M60" s="10" t="s">
        <v>104</v>
      </c>
      <c r="N60" s="21">
        <v>1.5</v>
      </c>
      <c r="O60" s="21">
        <v>45</v>
      </c>
      <c r="P60" s="10" t="s">
        <v>105</v>
      </c>
      <c r="Q60" s="87"/>
      <c r="R60" s="10" t="s">
        <v>105</v>
      </c>
      <c r="S60" s="10" t="s">
        <v>105</v>
      </c>
      <c r="T60" s="87"/>
      <c r="U60" s="21">
        <v>5</v>
      </c>
      <c r="V60" s="10">
        <v>0.2</v>
      </c>
      <c r="W60" s="21">
        <v>0</v>
      </c>
      <c r="X60" s="10" t="s">
        <v>105</v>
      </c>
      <c r="Y60" s="21">
        <v>5</v>
      </c>
      <c r="Z60" s="21">
        <v>2.2999999999999998</v>
      </c>
      <c r="AA60" s="10">
        <v>2</v>
      </c>
      <c r="AB60" s="10" t="s">
        <v>105</v>
      </c>
      <c r="AC60" s="10" t="s">
        <v>105</v>
      </c>
      <c r="AD60" s="10" t="s">
        <v>106</v>
      </c>
      <c r="AE60" s="10" t="s">
        <v>114</v>
      </c>
      <c r="AF60" s="20">
        <f t="shared" si="8"/>
        <v>1.5333333333333332</v>
      </c>
      <c r="AG60" s="13">
        <f t="shared" si="1"/>
        <v>6</v>
      </c>
      <c r="AH60" s="7">
        <f t="shared" si="2"/>
        <v>10</v>
      </c>
      <c r="AI60" s="7">
        <f t="shared" si="3"/>
        <v>5</v>
      </c>
      <c r="AJ60" s="7">
        <f t="shared" si="4"/>
        <v>10</v>
      </c>
      <c r="AK60" s="7">
        <f t="shared" si="5"/>
        <v>6</v>
      </c>
      <c r="AL60" s="12">
        <f t="shared" si="9"/>
        <v>37</v>
      </c>
      <c r="AM60" s="14" t="str">
        <f t="shared" si="7"/>
        <v>Barrier</v>
      </c>
      <c r="AN60" s="10" t="s">
        <v>294</v>
      </c>
      <c r="AO60" s="21">
        <v>21</v>
      </c>
      <c r="AP60" s="10" t="s">
        <v>351</v>
      </c>
    </row>
    <row r="61" spans="1:42" ht="32">
      <c r="A61" s="59">
        <v>45198</v>
      </c>
      <c r="C61" s="10">
        <v>15600265</v>
      </c>
      <c r="D61" s="10" t="s">
        <v>132</v>
      </c>
      <c r="E61" s="11">
        <v>10</v>
      </c>
      <c r="F61" s="39">
        <v>399029</v>
      </c>
      <c r="G61" s="39">
        <v>5988757</v>
      </c>
      <c r="H61" s="11" t="s">
        <v>121</v>
      </c>
      <c r="I61" s="11" t="s">
        <v>188</v>
      </c>
      <c r="K61" s="11" t="s">
        <v>111</v>
      </c>
      <c r="L61" s="10" t="s">
        <v>103</v>
      </c>
      <c r="M61" s="10" t="s">
        <v>104</v>
      </c>
      <c r="N61" s="21">
        <v>1.4</v>
      </c>
      <c r="O61" s="21">
        <v>18</v>
      </c>
      <c r="P61" s="10" t="s">
        <v>105</v>
      </c>
      <c r="Q61" s="87"/>
      <c r="R61" s="10" t="s">
        <v>105</v>
      </c>
      <c r="S61" s="10" t="s">
        <v>105</v>
      </c>
      <c r="T61" s="87"/>
      <c r="U61" s="21">
        <v>1.5</v>
      </c>
      <c r="V61" s="10">
        <v>0.4</v>
      </c>
      <c r="W61" s="21">
        <v>0</v>
      </c>
      <c r="X61" s="10" t="s">
        <v>105</v>
      </c>
      <c r="Y61" s="21">
        <v>3</v>
      </c>
      <c r="Z61" s="21">
        <v>1.9</v>
      </c>
      <c r="AA61" s="10">
        <v>3</v>
      </c>
      <c r="AB61" s="10" t="s">
        <v>105</v>
      </c>
      <c r="AC61" s="10" t="s">
        <v>105</v>
      </c>
      <c r="AD61" s="10" t="s">
        <v>106</v>
      </c>
      <c r="AE61" s="10" t="s">
        <v>114</v>
      </c>
      <c r="AF61" s="20">
        <f t="shared" si="8"/>
        <v>1.3571428571428572</v>
      </c>
      <c r="AG61" s="13">
        <f t="shared" si="1"/>
        <v>3</v>
      </c>
      <c r="AH61" s="7">
        <f t="shared" si="2"/>
        <v>10</v>
      </c>
      <c r="AI61" s="7">
        <f t="shared" si="3"/>
        <v>10</v>
      </c>
      <c r="AJ61" s="7">
        <f t="shared" si="4"/>
        <v>10</v>
      </c>
      <c r="AK61" s="7">
        <f t="shared" si="5"/>
        <v>6</v>
      </c>
      <c r="AL61" s="12">
        <f t="shared" si="9"/>
        <v>39</v>
      </c>
      <c r="AM61" s="14" t="str">
        <f t="shared" si="7"/>
        <v>Barrier</v>
      </c>
      <c r="AN61" s="10" t="s">
        <v>295</v>
      </c>
      <c r="AO61" s="21">
        <v>3</v>
      </c>
      <c r="AP61" s="10" t="s">
        <v>352</v>
      </c>
    </row>
    <row r="62" spans="1:42" ht="32">
      <c r="A62" s="59">
        <v>45198</v>
      </c>
      <c r="C62" s="10">
        <v>15600301</v>
      </c>
      <c r="D62" s="10" t="s">
        <v>132</v>
      </c>
      <c r="E62" s="11">
        <v>10</v>
      </c>
      <c r="F62" s="39">
        <v>401104</v>
      </c>
      <c r="G62" s="39">
        <v>5983401</v>
      </c>
      <c r="H62" s="11" t="s">
        <v>189</v>
      </c>
      <c r="I62" s="11" t="s">
        <v>188</v>
      </c>
      <c r="K62" s="11" t="s">
        <v>111</v>
      </c>
      <c r="L62" s="10" t="s">
        <v>103</v>
      </c>
      <c r="M62" s="10" t="s">
        <v>104</v>
      </c>
      <c r="N62" s="21">
        <v>1.2</v>
      </c>
      <c r="O62" s="21">
        <v>24</v>
      </c>
      <c r="P62" s="10" t="s">
        <v>105</v>
      </c>
      <c r="Q62" s="87"/>
      <c r="R62" s="10" t="s">
        <v>105</v>
      </c>
      <c r="S62" s="10" t="s">
        <v>105</v>
      </c>
      <c r="T62" s="87"/>
      <c r="U62" s="21">
        <v>3</v>
      </c>
      <c r="V62" s="10">
        <v>0</v>
      </c>
      <c r="W62" s="21">
        <v>0</v>
      </c>
      <c r="X62" s="10" t="s">
        <v>105</v>
      </c>
      <c r="Y62" s="21">
        <v>2</v>
      </c>
      <c r="Z62" s="21">
        <v>1.2</v>
      </c>
      <c r="AA62" s="10">
        <v>1</v>
      </c>
      <c r="AB62" s="10" t="s">
        <v>109</v>
      </c>
      <c r="AC62" s="10" t="s">
        <v>105</v>
      </c>
      <c r="AD62" s="10" t="s">
        <v>106</v>
      </c>
      <c r="AE62" s="10" t="s">
        <v>107</v>
      </c>
      <c r="AF62" s="20">
        <f t="shared" si="8"/>
        <v>1</v>
      </c>
      <c r="AG62" s="13">
        <f t="shared" si="1"/>
        <v>3</v>
      </c>
      <c r="AH62" s="7">
        <f t="shared" si="2"/>
        <v>10</v>
      </c>
      <c r="AI62" s="7">
        <f t="shared" si="3"/>
        <v>0</v>
      </c>
      <c r="AJ62" s="7">
        <f t="shared" si="4"/>
        <v>5</v>
      </c>
      <c r="AK62" s="7">
        <f t="shared" si="5"/>
        <v>3</v>
      </c>
      <c r="AL62" s="12">
        <f t="shared" si="9"/>
        <v>21</v>
      </c>
      <c r="AM62" s="14" t="str">
        <f t="shared" si="7"/>
        <v>Barrier</v>
      </c>
      <c r="AN62" s="10" t="s">
        <v>295</v>
      </c>
      <c r="AO62" s="21">
        <v>3</v>
      </c>
      <c r="AP62" s="10" t="s">
        <v>353</v>
      </c>
    </row>
    <row r="63" spans="1:42" ht="16">
      <c r="A63" s="59">
        <v>45198</v>
      </c>
      <c r="C63" s="10">
        <v>15600302</v>
      </c>
      <c r="D63" s="10" t="s">
        <v>132</v>
      </c>
      <c r="E63" s="11">
        <v>10</v>
      </c>
      <c r="F63" s="39">
        <v>400866</v>
      </c>
      <c r="G63" s="39">
        <v>5982476</v>
      </c>
      <c r="H63" s="11" t="s">
        <v>190</v>
      </c>
      <c r="I63" s="11" t="s">
        <v>191</v>
      </c>
      <c r="K63" s="11" t="s">
        <v>111</v>
      </c>
      <c r="L63" s="10" t="s">
        <v>103</v>
      </c>
      <c r="M63" s="10" t="s">
        <v>148</v>
      </c>
      <c r="N63" s="21">
        <v>4</v>
      </c>
      <c r="O63" s="21">
        <v>30</v>
      </c>
      <c r="P63" s="10" t="s">
        <v>105</v>
      </c>
      <c r="Q63" s="87"/>
      <c r="R63" s="10" t="s">
        <v>105</v>
      </c>
      <c r="S63" s="10" t="s">
        <v>105</v>
      </c>
      <c r="T63" s="87"/>
      <c r="U63" s="21">
        <v>0.8</v>
      </c>
      <c r="V63" s="10">
        <v>0</v>
      </c>
      <c r="W63" s="21">
        <v>0</v>
      </c>
      <c r="X63" s="10" t="s">
        <v>105</v>
      </c>
      <c r="Y63" s="21">
        <v>2</v>
      </c>
      <c r="Z63" s="21">
        <v>6.1</v>
      </c>
      <c r="AA63" s="10">
        <v>2</v>
      </c>
      <c r="AB63" s="10" t="s">
        <v>105</v>
      </c>
      <c r="AC63" s="10" t="s">
        <v>105</v>
      </c>
      <c r="AD63" s="10" t="s">
        <v>106</v>
      </c>
      <c r="AE63" s="10" t="s">
        <v>107</v>
      </c>
      <c r="AF63" s="20">
        <f t="shared" si="8"/>
        <v>1.5249999999999999</v>
      </c>
      <c r="AG63" s="13">
        <f t="shared" si="1"/>
        <v>6</v>
      </c>
      <c r="AH63" s="7">
        <f t="shared" si="2"/>
        <v>10</v>
      </c>
      <c r="AI63" s="7">
        <f t="shared" si="3"/>
        <v>0</v>
      </c>
      <c r="AJ63" s="7">
        <f t="shared" si="4"/>
        <v>5</v>
      </c>
      <c r="AK63" s="7">
        <f t="shared" si="5"/>
        <v>6</v>
      </c>
      <c r="AL63" s="12">
        <f t="shared" si="9"/>
        <v>27</v>
      </c>
      <c r="AM63" s="14" t="str">
        <f t="shared" si="7"/>
        <v>Barrier</v>
      </c>
      <c r="AN63" s="10" t="s">
        <v>294</v>
      </c>
      <c r="AO63" s="21">
        <v>15</v>
      </c>
      <c r="AP63" s="10" t="s">
        <v>354</v>
      </c>
    </row>
    <row r="64" spans="1:42" ht="16">
      <c r="A64" s="59">
        <v>45199</v>
      </c>
      <c r="C64" s="10">
        <v>15600624</v>
      </c>
      <c r="D64" s="10" t="s">
        <v>132</v>
      </c>
      <c r="E64" s="11">
        <v>10</v>
      </c>
      <c r="F64" s="39">
        <v>438428</v>
      </c>
      <c r="G64" s="39">
        <v>5982155</v>
      </c>
      <c r="H64" s="11" t="s">
        <v>192</v>
      </c>
      <c r="I64" s="11" t="s">
        <v>193</v>
      </c>
      <c r="K64" s="11" t="s">
        <v>135</v>
      </c>
      <c r="L64" s="10" t="s">
        <v>103</v>
      </c>
      <c r="M64" s="10" t="s">
        <v>104</v>
      </c>
      <c r="N64" s="21">
        <v>0.9</v>
      </c>
      <c r="O64" s="21">
        <v>18</v>
      </c>
      <c r="P64" s="10" t="s">
        <v>105</v>
      </c>
      <c r="Q64" s="87"/>
      <c r="R64" s="10" t="s">
        <v>105</v>
      </c>
      <c r="S64" s="10" t="s">
        <v>105</v>
      </c>
      <c r="T64" s="87"/>
      <c r="U64" s="21">
        <v>2.2000000000000002</v>
      </c>
      <c r="V64" s="10">
        <v>0</v>
      </c>
      <c r="W64" s="21">
        <v>0</v>
      </c>
      <c r="X64" s="10" t="s">
        <v>105</v>
      </c>
      <c r="Y64" s="21">
        <v>2.5</v>
      </c>
      <c r="Z64" s="21">
        <v>0.9</v>
      </c>
      <c r="AA64" s="10">
        <v>1</v>
      </c>
      <c r="AB64" s="10" t="s">
        <v>105</v>
      </c>
      <c r="AC64" s="10" t="s">
        <v>105</v>
      </c>
      <c r="AD64" s="10" t="s">
        <v>106</v>
      </c>
      <c r="AE64" s="10" t="s">
        <v>114</v>
      </c>
      <c r="AF64" s="20">
        <f t="shared" si="8"/>
        <v>1</v>
      </c>
      <c r="AG64" s="13">
        <f t="shared" si="1"/>
        <v>3</v>
      </c>
      <c r="AH64" s="7">
        <f t="shared" si="2"/>
        <v>10</v>
      </c>
      <c r="AI64" s="7">
        <f t="shared" si="3"/>
        <v>0</v>
      </c>
      <c r="AJ64" s="7">
        <f t="shared" si="4"/>
        <v>5</v>
      </c>
      <c r="AK64" s="7">
        <f t="shared" si="5"/>
        <v>3</v>
      </c>
      <c r="AL64" s="12">
        <f t="shared" si="9"/>
        <v>21</v>
      </c>
      <c r="AM64" s="14" t="str">
        <f t="shared" si="7"/>
        <v>Barrier</v>
      </c>
      <c r="AN64" s="10" t="s">
        <v>295</v>
      </c>
      <c r="AO64" s="21">
        <v>3</v>
      </c>
      <c r="AP64" s="10" t="s">
        <v>355</v>
      </c>
    </row>
    <row r="65" spans="1:42" ht="32">
      <c r="A65" s="59">
        <v>45199</v>
      </c>
      <c r="C65" s="10">
        <v>15600626</v>
      </c>
      <c r="D65" s="10" t="s">
        <v>132</v>
      </c>
      <c r="E65" s="11">
        <v>10</v>
      </c>
      <c r="F65" s="39">
        <v>438529</v>
      </c>
      <c r="G65" s="39">
        <v>5982155</v>
      </c>
      <c r="H65" s="11" t="s">
        <v>194</v>
      </c>
      <c r="I65" s="11" t="s">
        <v>193</v>
      </c>
      <c r="K65" s="11" t="s">
        <v>135</v>
      </c>
      <c r="L65" s="10" t="s">
        <v>103</v>
      </c>
      <c r="M65" s="10" t="s">
        <v>104</v>
      </c>
      <c r="N65" s="21">
        <v>1.5</v>
      </c>
      <c r="O65" s="21">
        <v>20</v>
      </c>
      <c r="P65" s="10" t="s">
        <v>105</v>
      </c>
      <c r="Q65" s="87"/>
      <c r="R65" s="10" t="s">
        <v>105</v>
      </c>
      <c r="S65" s="10" t="s">
        <v>105</v>
      </c>
      <c r="T65" s="87"/>
      <c r="U65" s="21">
        <v>2</v>
      </c>
      <c r="V65" s="10">
        <v>0.6</v>
      </c>
      <c r="W65" s="21">
        <v>0</v>
      </c>
      <c r="X65" s="10" t="s">
        <v>105</v>
      </c>
      <c r="Y65" s="21">
        <v>1</v>
      </c>
      <c r="Z65" s="21">
        <v>1.6</v>
      </c>
      <c r="AA65" s="10">
        <v>0.5</v>
      </c>
      <c r="AB65" s="10" t="s">
        <v>105</v>
      </c>
      <c r="AC65" s="10" t="s">
        <v>105</v>
      </c>
      <c r="AD65" s="10" t="s">
        <v>106</v>
      </c>
      <c r="AE65" s="10" t="s">
        <v>114</v>
      </c>
      <c r="AF65" s="20">
        <f t="shared" si="8"/>
        <v>1.0666666666666667</v>
      </c>
      <c r="AG65" s="13">
        <f t="shared" si="1"/>
        <v>3</v>
      </c>
      <c r="AH65" s="7">
        <f t="shared" si="2"/>
        <v>10</v>
      </c>
      <c r="AI65" s="7">
        <f t="shared" si="3"/>
        <v>10</v>
      </c>
      <c r="AJ65" s="7">
        <f t="shared" si="4"/>
        <v>5</v>
      </c>
      <c r="AK65" s="7">
        <f t="shared" si="5"/>
        <v>3</v>
      </c>
      <c r="AL65" s="12">
        <f t="shared" si="9"/>
        <v>31</v>
      </c>
      <c r="AM65" s="14" t="str">
        <f t="shared" si="7"/>
        <v>Barrier</v>
      </c>
      <c r="AN65" s="10" t="s">
        <v>295</v>
      </c>
      <c r="AO65" s="21">
        <v>3</v>
      </c>
      <c r="AP65" s="10" t="s">
        <v>356</v>
      </c>
    </row>
    <row r="66" spans="1:42" ht="32">
      <c r="A66" s="59">
        <v>45199</v>
      </c>
      <c r="C66" s="10">
        <v>15600076</v>
      </c>
      <c r="D66" s="10" t="s">
        <v>132</v>
      </c>
      <c r="E66" s="11">
        <v>10</v>
      </c>
      <c r="F66" s="39">
        <v>449834</v>
      </c>
      <c r="G66" s="39">
        <v>5977830</v>
      </c>
      <c r="H66" s="11" t="s">
        <v>155</v>
      </c>
      <c r="I66" s="11" t="s">
        <v>101</v>
      </c>
      <c r="K66" s="11" t="s">
        <v>102</v>
      </c>
      <c r="L66" s="10" t="s">
        <v>103</v>
      </c>
      <c r="M66" s="10" t="s">
        <v>104</v>
      </c>
      <c r="N66" s="21">
        <v>1.8</v>
      </c>
      <c r="O66" s="21">
        <v>48</v>
      </c>
      <c r="P66" s="10" t="s">
        <v>105</v>
      </c>
      <c r="Q66" s="87"/>
      <c r="R66" s="10" t="s">
        <v>105</v>
      </c>
      <c r="S66" s="10" t="s">
        <v>105</v>
      </c>
      <c r="T66" s="87"/>
      <c r="U66" s="21">
        <v>5</v>
      </c>
      <c r="V66" s="10">
        <v>0</v>
      </c>
      <c r="W66" s="21">
        <v>0</v>
      </c>
      <c r="X66" s="10" t="s">
        <v>105</v>
      </c>
      <c r="Y66" s="21">
        <v>1</v>
      </c>
      <c r="Z66" s="21">
        <v>1.2</v>
      </c>
      <c r="AA66" s="10">
        <v>1</v>
      </c>
      <c r="AB66" s="10" t="s">
        <v>105</v>
      </c>
      <c r="AC66" s="10" t="s">
        <v>105</v>
      </c>
      <c r="AD66" s="10" t="s">
        <v>106</v>
      </c>
      <c r="AE66" s="10" t="s">
        <v>114</v>
      </c>
      <c r="AF66" s="20">
        <f t="shared" si="8"/>
        <v>0.66666666666666663</v>
      </c>
      <c r="AG66" s="13">
        <f t="shared" si="1"/>
        <v>6</v>
      </c>
      <c r="AH66" s="7">
        <f t="shared" si="2"/>
        <v>10</v>
      </c>
      <c r="AI66" s="7">
        <f t="shared" si="3"/>
        <v>0</v>
      </c>
      <c r="AJ66" s="7">
        <f t="shared" si="4"/>
        <v>5</v>
      </c>
      <c r="AK66" s="7">
        <f t="shared" si="5"/>
        <v>0</v>
      </c>
      <c r="AL66" s="12">
        <f t="shared" si="9"/>
        <v>21</v>
      </c>
      <c r="AM66" s="14" t="str">
        <f t="shared" si="7"/>
        <v>Barrier</v>
      </c>
      <c r="AN66" s="10" t="s">
        <v>295</v>
      </c>
      <c r="AO66" s="21">
        <v>3</v>
      </c>
      <c r="AP66" s="10" t="s">
        <v>357</v>
      </c>
    </row>
    <row r="67" spans="1:42" ht="16">
      <c r="A67" s="59">
        <v>45199</v>
      </c>
      <c r="C67" s="10">
        <v>15600629</v>
      </c>
      <c r="D67" s="10" t="s">
        <v>132</v>
      </c>
      <c r="E67" s="11">
        <v>10</v>
      </c>
      <c r="F67" s="39">
        <v>451599</v>
      </c>
      <c r="G67" s="39">
        <v>5975913</v>
      </c>
      <c r="H67" s="11" t="s">
        <v>195</v>
      </c>
      <c r="I67" s="11" t="s">
        <v>101</v>
      </c>
      <c r="K67" s="11" t="s">
        <v>102</v>
      </c>
      <c r="L67" s="10" t="s">
        <v>103</v>
      </c>
      <c r="M67" s="10" t="s">
        <v>104</v>
      </c>
      <c r="N67" s="21">
        <v>1.5</v>
      </c>
      <c r="O67" s="21">
        <v>90</v>
      </c>
      <c r="P67" s="10" t="s">
        <v>105</v>
      </c>
      <c r="Q67" s="87"/>
      <c r="R67" s="10" t="s">
        <v>105</v>
      </c>
      <c r="S67" s="10" t="s">
        <v>105</v>
      </c>
      <c r="T67" s="87"/>
      <c r="U67" s="21">
        <v>8</v>
      </c>
      <c r="V67" s="10">
        <v>0</v>
      </c>
      <c r="W67" s="21">
        <v>0</v>
      </c>
      <c r="X67" s="10" t="s">
        <v>105</v>
      </c>
      <c r="Y67" s="21">
        <v>3</v>
      </c>
      <c r="Z67" s="21">
        <v>3.3</v>
      </c>
      <c r="AA67" s="10">
        <v>2</v>
      </c>
      <c r="AB67" s="10" t="s">
        <v>105</v>
      </c>
      <c r="AC67" s="10" t="s">
        <v>105</v>
      </c>
      <c r="AD67" s="10" t="s">
        <v>106</v>
      </c>
      <c r="AE67" s="10" t="s">
        <v>114</v>
      </c>
      <c r="AF67" s="20">
        <f t="shared" si="8"/>
        <v>2.1999999999999997</v>
      </c>
      <c r="AG67" s="13">
        <f t="shared" si="1"/>
        <v>6</v>
      </c>
      <c r="AH67" s="7">
        <f t="shared" si="2"/>
        <v>10</v>
      </c>
      <c r="AI67" s="7">
        <f t="shared" si="3"/>
        <v>0</v>
      </c>
      <c r="AJ67" s="7">
        <f t="shared" si="4"/>
        <v>10</v>
      </c>
      <c r="AK67" s="7">
        <f t="shared" si="5"/>
        <v>6</v>
      </c>
      <c r="AL67" s="12">
        <f t="shared" si="9"/>
        <v>32</v>
      </c>
      <c r="AM67" s="14" t="str">
        <f t="shared" si="7"/>
        <v>Barrier</v>
      </c>
      <c r="AN67" s="10" t="s">
        <v>295</v>
      </c>
      <c r="AO67" s="21">
        <v>4.5</v>
      </c>
      <c r="AP67" s="10" t="s">
        <v>358</v>
      </c>
    </row>
    <row r="68" spans="1:42" ht="32">
      <c r="A68" s="59">
        <v>45199</v>
      </c>
      <c r="C68" s="10">
        <v>15600057</v>
      </c>
      <c r="D68" s="10" t="s">
        <v>132</v>
      </c>
      <c r="E68" s="11">
        <v>10</v>
      </c>
      <c r="F68" s="39">
        <v>464822</v>
      </c>
      <c r="G68" s="39">
        <v>5971609</v>
      </c>
      <c r="H68" s="11" t="s">
        <v>196</v>
      </c>
      <c r="I68" s="11" t="s">
        <v>101</v>
      </c>
      <c r="K68" s="11" t="s">
        <v>102</v>
      </c>
      <c r="L68" s="10" t="s">
        <v>103</v>
      </c>
      <c r="M68" s="10" t="s">
        <v>104</v>
      </c>
      <c r="N68" s="21">
        <v>2.4</v>
      </c>
      <c r="O68" s="21">
        <v>66</v>
      </c>
      <c r="P68" s="10" t="s">
        <v>105</v>
      </c>
      <c r="Q68" s="87"/>
      <c r="R68" s="10" t="s">
        <v>105</v>
      </c>
      <c r="S68" s="10" t="s">
        <v>105</v>
      </c>
      <c r="T68" s="87"/>
      <c r="U68" s="21">
        <v>5</v>
      </c>
      <c r="V68" s="10">
        <v>0</v>
      </c>
      <c r="W68" s="21">
        <v>0</v>
      </c>
      <c r="X68" s="10" t="s">
        <v>105</v>
      </c>
      <c r="Y68" s="21">
        <v>1</v>
      </c>
      <c r="Z68" s="21">
        <v>2.6</v>
      </c>
      <c r="AA68" s="10">
        <v>0</v>
      </c>
      <c r="AB68" s="10" t="s">
        <v>105</v>
      </c>
      <c r="AC68" s="10" t="s">
        <v>105</v>
      </c>
      <c r="AD68" s="10" t="s">
        <v>106</v>
      </c>
      <c r="AE68" s="10" t="s">
        <v>107</v>
      </c>
      <c r="AF68" s="20">
        <f t="shared" si="8"/>
        <v>1.0833333333333335</v>
      </c>
      <c r="AG68" s="13">
        <f t="shared" ref="AG68:AG131" si="10">IF(O68&lt;15,0,IF(AND(O68&gt;=15,O68&lt;30),3,IF(O68&gt;=30,6,0)))</f>
        <v>6</v>
      </c>
      <c r="AH68" s="7">
        <f t="shared" ref="AH68:AH131" si="11">IF(P68 = "No", 10, IF(ISBLANK(N68), 0, IF(ISBLANK(Q68), 0, IF(OR(Q68 / N68 &lt;= 0.2, Q68 &lt; 0.3), 5, IF(OR(Q68 / N68 &gt;= 0.2, Q68 &gt;= 0.3), 0)))))</f>
        <v>10</v>
      </c>
      <c r="AI68" s="7">
        <f t="shared" ref="AI68:AI131" si="12">IF(V68&lt;0.15,0,IF(AND(V68&gt;=0.15,V68&lt;0.3),5,IF(V68&gt;=0.3,10,0)))</f>
        <v>0</v>
      </c>
      <c r="AJ68" s="7">
        <f t="shared" ref="AJ68:AJ131" si="13">IF(Y68&lt;1,0,IF(AND(Y68&gt;=1,Y68&lt;3),5,IF(Y68&gt;=3,10,0)))</f>
        <v>5</v>
      </c>
      <c r="AK68" s="7">
        <f t="shared" ref="AK68:AK131" si="14">IF(AF68&lt;1,0,IF(AND(AF68&gt;=1,AF68&lt;1.3),3,IF(AF68&gt;=1.3,6,0)))</f>
        <v>3</v>
      </c>
      <c r="AL68" s="12">
        <f t="shared" si="9"/>
        <v>24</v>
      </c>
      <c r="AM68" s="14" t="str">
        <f t="shared" ref="AM68:AM131" si="15">IF(ISBLANK(L68), "", IF(L68 = "Open Bottom Structure", "Passable", IF(L68 = "Other", "Unknown", IF(AL68 &lt; 15, "Passable", IF(AND(AL68 &gt;= 15,AL68 &lt;= 19), "Potential", IF(AL68 &gt; 19, "Barrier", ""))))))</f>
        <v>Barrier</v>
      </c>
      <c r="AN68" s="10" t="s">
        <v>294</v>
      </c>
      <c r="AO68" s="21">
        <v>21</v>
      </c>
      <c r="AP68" s="10" t="s">
        <v>359</v>
      </c>
    </row>
    <row r="69" spans="1:42" ht="16">
      <c r="A69" s="59">
        <v>45199</v>
      </c>
      <c r="C69" s="10">
        <v>15603872</v>
      </c>
      <c r="D69" s="10" t="s">
        <v>132</v>
      </c>
      <c r="E69" s="11">
        <v>10</v>
      </c>
      <c r="F69" s="39">
        <v>462928</v>
      </c>
      <c r="G69" s="39">
        <v>5969213</v>
      </c>
      <c r="H69" s="11" t="s">
        <v>197</v>
      </c>
      <c r="I69" s="11" t="s">
        <v>198</v>
      </c>
      <c r="K69" s="11" t="s">
        <v>111</v>
      </c>
      <c r="L69" s="10" t="s">
        <v>103</v>
      </c>
      <c r="M69" s="10" t="s">
        <v>104</v>
      </c>
      <c r="N69" s="21">
        <v>2.5</v>
      </c>
      <c r="O69" s="21">
        <v>78</v>
      </c>
      <c r="P69" s="10" t="s">
        <v>105</v>
      </c>
      <c r="Q69" s="87"/>
      <c r="R69" s="10" t="s">
        <v>105</v>
      </c>
      <c r="S69" s="10" t="s">
        <v>105</v>
      </c>
      <c r="T69" s="87"/>
      <c r="U69" s="21">
        <v>5</v>
      </c>
      <c r="V69" s="10">
        <v>0</v>
      </c>
      <c r="W69" s="21">
        <v>0.3</v>
      </c>
      <c r="X69" s="10" t="s">
        <v>105</v>
      </c>
      <c r="Y69" s="21">
        <v>0</v>
      </c>
      <c r="Z69" s="21">
        <v>3.1</v>
      </c>
      <c r="AA69" s="10">
        <v>3</v>
      </c>
      <c r="AB69" s="10" t="s">
        <v>105</v>
      </c>
      <c r="AC69" s="10" t="s">
        <v>105</v>
      </c>
      <c r="AD69" s="10" t="s">
        <v>106</v>
      </c>
      <c r="AE69" s="10" t="s">
        <v>107</v>
      </c>
      <c r="AF69" s="20">
        <f t="shared" si="8"/>
        <v>1.24</v>
      </c>
      <c r="AG69" s="13">
        <f t="shared" si="10"/>
        <v>6</v>
      </c>
      <c r="AH69" s="7">
        <f t="shared" si="11"/>
        <v>10</v>
      </c>
      <c r="AI69" s="7">
        <f t="shared" si="12"/>
        <v>0</v>
      </c>
      <c r="AJ69" s="7">
        <f t="shared" si="13"/>
        <v>0</v>
      </c>
      <c r="AK69" s="7">
        <f t="shared" si="14"/>
        <v>3</v>
      </c>
      <c r="AL69" s="12">
        <f t="shared" si="9"/>
        <v>19</v>
      </c>
      <c r="AM69" s="14" t="str">
        <f t="shared" si="15"/>
        <v>Potential</v>
      </c>
      <c r="AN69" s="10" t="s">
        <v>294</v>
      </c>
      <c r="AO69" s="21">
        <v>21</v>
      </c>
      <c r="AP69" s="10" t="s">
        <v>360</v>
      </c>
    </row>
    <row r="70" spans="1:42" ht="32">
      <c r="A70" s="59">
        <v>45199</v>
      </c>
      <c r="C70" s="10">
        <v>9902601</v>
      </c>
      <c r="D70" s="10" t="s">
        <v>132</v>
      </c>
      <c r="E70" s="11">
        <v>10</v>
      </c>
      <c r="F70" s="39">
        <v>474705</v>
      </c>
      <c r="G70" s="39">
        <v>5969325</v>
      </c>
      <c r="H70" s="11" t="s">
        <v>199</v>
      </c>
      <c r="I70" s="11" t="s">
        <v>101</v>
      </c>
      <c r="K70" s="11" t="s">
        <v>102</v>
      </c>
      <c r="L70" s="10" t="s">
        <v>103</v>
      </c>
      <c r="M70" s="10" t="s">
        <v>104</v>
      </c>
      <c r="N70" s="21">
        <v>2</v>
      </c>
      <c r="O70" s="21">
        <v>60</v>
      </c>
      <c r="P70" s="10" t="s">
        <v>105</v>
      </c>
      <c r="Q70" s="87"/>
      <c r="R70" s="10" t="s">
        <v>105</v>
      </c>
      <c r="S70" s="10" t="s">
        <v>105</v>
      </c>
      <c r="T70" s="87"/>
      <c r="U70" s="21">
        <v>8</v>
      </c>
      <c r="V70" s="10">
        <v>0</v>
      </c>
      <c r="W70" s="21">
        <v>0</v>
      </c>
      <c r="X70" s="10" t="s">
        <v>105</v>
      </c>
      <c r="Y70" s="21">
        <v>3.5</v>
      </c>
      <c r="Z70" s="21">
        <v>1.7</v>
      </c>
      <c r="AA70" s="10">
        <v>6</v>
      </c>
      <c r="AB70" s="10" t="s">
        <v>105</v>
      </c>
      <c r="AC70" s="10" t="s">
        <v>105</v>
      </c>
      <c r="AD70" s="10" t="s">
        <v>106</v>
      </c>
      <c r="AE70" s="10" t="s">
        <v>107</v>
      </c>
      <c r="AF70" s="20">
        <f t="shared" si="8"/>
        <v>0.85</v>
      </c>
      <c r="AG70" s="13">
        <f t="shared" si="10"/>
        <v>6</v>
      </c>
      <c r="AH70" s="7">
        <f t="shared" si="11"/>
        <v>10</v>
      </c>
      <c r="AI70" s="7">
        <f t="shared" si="12"/>
        <v>0</v>
      </c>
      <c r="AJ70" s="7">
        <f t="shared" si="13"/>
        <v>10</v>
      </c>
      <c r="AK70" s="7">
        <f t="shared" si="14"/>
        <v>0</v>
      </c>
      <c r="AL70" s="12">
        <f t="shared" si="9"/>
        <v>26</v>
      </c>
      <c r="AM70" s="14" t="str">
        <f t="shared" si="15"/>
        <v>Barrier</v>
      </c>
      <c r="AN70" s="10" t="s">
        <v>295</v>
      </c>
      <c r="AO70" s="21">
        <v>3</v>
      </c>
      <c r="AP70" s="10" t="s">
        <v>361</v>
      </c>
    </row>
    <row r="71" spans="1:42" ht="16">
      <c r="A71" s="59">
        <v>45199</v>
      </c>
      <c r="C71" s="10">
        <v>9903105</v>
      </c>
      <c r="D71" s="10" t="s">
        <v>132</v>
      </c>
      <c r="E71" s="11">
        <v>10</v>
      </c>
      <c r="F71" s="39">
        <v>482695</v>
      </c>
      <c r="G71" s="39">
        <v>5969819</v>
      </c>
      <c r="H71" s="11" t="s">
        <v>200</v>
      </c>
      <c r="I71" s="11" t="s">
        <v>201</v>
      </c>
      <c r="K71" s="11" t="s">
        <v>111</v>
      </c>
      <c r="L71" s="10" t="s">
        <v>103</v>
      </c>
      <c r="M71" s="10" t="s">
        <v>104</v>
      </c>
      <c r="N71" s="21">
        <v>2.2000000000000002</v>
      </c>
      <c r="O71" s="21">
        <v>16</v>
      </c>
      <c r="P71" s="10" t="s">
        <v>105</v>
      </c>
      <c r="Q71" s="87"/>
      <c r="R71" s="10" t="s">
        <v>105</v>
      </c>
      <c r="S71" s="10" t="s">
        <v>105</v>
      </c>
      <c r="T71" s="87"/>
      <c r="U71" s="21">
        <v>0.7</v>
      </c>
      <c r="V71" s="10">
        <v>0.1</v>
      </c>
      <c r="W71" s="21">
        <v>0.3</v>
      </c>
      <c r="X71" s="10" t="s">
        <v>105</v>
      </c>
      <c r="Y71" s="21">
        <v>1</v>
      </c>
      <c r="Z71" s="21">
        <v>2.2000000000000002</v>
      </c>
      <c r="AA71" s="10">
        <v>2</v>
      </c>
      <c r="AB71" s="10" t="s">
        <v>105</v>
      </c>
      <c r="AC71" s="10" t="s">
        <v>105</v>
      </c>
      <c r="AD71" s="10" t="s">
        <v>106</v>
      </c>
      <c r="AE71" s="10" t="s">
        <v>107</v>
      </c>
      <c r="AF71" s="20">
        <f t="shared" si="8"/>
        <v>1</v>
      </c>
      <c r="AG71" s="13">
        <f t="shared" si="10"/>
        <v>3</v>
      </c>
      <c r="AH71" s="7">
        <f t="shared" si="11"/>
        <v>10</v>
      </c>
      <c r="AI71" s="7">
        <f t="shared" si="12"/>
        <v>0</v>
      </c>
      <c r="AJ71" s="7">
        <f t="shared" si="13"/>
        <v>5</v>
      </c>
      <c r="AK71" s="7">
        <f t="shared" si="14"/>
        <v>3</v>
      </c>
      <c r="AL71" s="12">
        <f t="shared" ref="AL71:AL134" si="16">AG71 + AH71 + AI71 + AJ71 + AK71</f>
        <v>21</v>
      </c>
      <c r="AM71" s="14" t="str">
        <f t="shared" si="15"/>
        <v>Barrier</v>
      </c>
      <c r="AN71" s="10" t="s">
        <v>294</v>
      </c>
      <c r="AO71" s="21">
        <v>15</v>
      </c>
      <c r="AP71" s="10" t="s">
        <v>362</v>
      </c>
    </row>
    <row r="72" spans="1:42" ht="16">
      <c r="A72" s="59">
        <v>45199</v>
      </c>
      <c r="C72" s="10">
        <v>9900404</v>
      </c>
      <c r="D72" s="10" t="s">
        <v>132</v>
      </c>
      <c r="E72" s="11">
        <v>10</v>
      </c>
      <c r="F72" s="39">
        <v>494827</v>
      </c>
      <c r="G72" s="39">
        <v>5963256</v>
      </c>
      <c r="H72" s="11" t="s">
        <v>202</v>
      </c>
      <c r="I72" s="11" t="s">
        <v>101</v>
      </c>
      <c r="K72" s="11" t="s">
        <v>102</v>
      </c>
      <c r="L72" s="10" t="s">
        <v>103</v>
      </c>
      <c r="M72" s="10" t="s">
        <v>104</v>
      </c>
      <c r="N72" s="21">
        <v>1.7</v>
      </c>
      <c r="O72" s="21">
        <v>56</v>
      </c>
      <c r="P72" s="10" t="s">
        <v>105</v>
      </c>
      <c r="Q72" s="87"/>
      <c r="R72" s="10" t="s">
        <v>105</v>
      </c>
      <c r="S72" s="10" t="s">
        <v>105</v>
      </c>
      <c r="T72" s="87"/>
      <c r="U72" s="21">
        <v>6</v>
      </c>
      <c r="V72" s="10">
        <v>0.4</v>
      </c>
      <c r="W72" s="21">
        <v>0</v>
      </c>
      <c r="X72" s="10" t="s">
        <v>105</v>
      </c>
      <c r="Y72" s="21">
        <v>2</v>
      </c>
      <c r="Z72" s="21">
        <v>2.2000000000000002</v>
      </c>
      <c r="AA72" s="10">
        <v>1</v>
      </c>
      <c r="AB72" s="10" t="s">
        <v>105</v>
      </c>
      <c r="AC72" s="10" t="s">
        <v>105</v>
      </c>
      <c r="AD72" s="10" t="s">
        <v>106</v>
      </c>
      <c r="AE72" s="10" t="s">
        <v>107</v>
      </c>
      <c r="AF72" s="20">
        <f t="shared" si="8"/>
        <v>1.2941176470588236</v>
      </c>
      <c r="AG72" s="13">
        <f t="shared" si="10"/>
        <v>6</v>
      </c>
      <c r="AH72" s="7">
        <f t="shared" si="11"/>
        <v>10</v>
      </c>
      <c r="AI72" s="7">
        <f t="shared" si="12"/>
        <v>10</v>
      </c>
      <c r="AJ72" s="7">
        <f t="shared" si="13"/>
        <v>5</v>
      </c>
      <c r="AK72" s="7">
        <f t="shared" si="14"/>
        <v>3</v>
      </c>
      <c r="AL72" s="12">
        <f t="shared" si="16"/>
        <v>34</v>
      </c>
      <c r="AM72" s="14" t="str">
        <f t="shared" si="15"/>
        <v>Barrier</v>
      </c>
      <c r="AN72" s="10" t="s">
        <v>295</v>
      </c>
      <c r="AO72" s="21">
        <v>4.5</v>
      </c>
      <c r="AP72" s="10" t="s">
        <v>363</v>
      </c>
    </row>
    <row r="73" spans="1:42" ht="16">
      <c r="A73" s="59">
        <v>45199</v>
      </c>
      <c r="C73" s="10">
        <v>9900446</v>
      </c>
      <c r="D73" s="10" t="s">
        <v>132</v>
      </c>
      <c r="E73" s="11">
        <v>10</v>
      </c>
      <c r="F73" s="39">
        <v>488990</v>
      </c>
      <c r="G73" s="39">
        <v>5965724</v>
      </c>
      <c r="H73" s="11" t="s">
        <v>203</v>
      </c>
      <c r="I73" s="11" t="s">
        <v>101</v>
      </c>
      <c r="K73" s="11" t="s">
        <v>102</v>
      </c>
      <c r="L73" s="10" t="s">
        <v>103</v>
      </c>
      <c r="M73" s="10" t="s">
        <v>104</v>
      </c>
      <c r="N73" s="21">
        <v>2.8</v>
      </c>
      <c r="O73" s="21">
        <v>45</v>
      </c>
      <c r="P73" s="10" t="s">
        <v>105</v>
      </c>
      <c r="Q73" s="87"/>
      <c r="R73" s="10" t="s">
        <v>105</v>
      </c>
      <c r="S73" s="10" t="s">
        <v>105</v>
      </c>
      <c r="T73" s="87"/>
      <c r="U73" s="21">
        <v>5</v>
      </c>
      <c r="V73" s="10">
        <v>0.4</v>
      </c>
      <c r="W73" s="21">
        <v>2</v>
      </c>
      <c r="X73" s="10" t="s">
        <v>105</v>
      </c>
      <c r="Y73" s="21">
        <v>2</v>
      </c>
      <c r="Z73" s="21">
        <v>4.0999999999999996</v>
      </c>
      <c r="AA73" s="10">
        <v>1.5</v>
      </c>
      <c r="AB73" s="10" t="s">
        <v>109</v>
      </c>
      <c r="AC73" s="10" t="s">
        <v>109</v>
      </c>
      <c r="AD73" s="10" t="s">
        <v>106</v>
      </c>
      <c r="AE73" s="10" t="s">
        <v>107</v>
      </c>
      <c r="AF73" s="20">
        <f t="shared" ref="AF73:AF136" si="17">IF(ISBLANK(Z73), 0, IF(ISBLANK(N73) &lt; 0, 0,Z73 / N73))</f>
        <v>1.4642857142857142</v>
      </c>
      <c r="AG73" s="13">
        <f t="shared" si="10"/>
        <v>6</v>
      </c>
      <c r="AH73" s="7">
        <f t="shared" si="11"/>
        <v>10</v>
      </c>
      <c r="AI73" s="7">
        <f t="shared" si="12"/>
        <v>10</v>
      </c>
      <c r="AJ73" s="7">
        <f t="shared" si="13"/>
        <v>5</v>
      </c>
      <c r="AK73" s="7">
        <f t="shared" si="14"/>
        <v>6</v>
      </c>
      <c r="AL73" s="12">
        <f t="shared" si="16"/>
        <v>37</v>
      </c>
      <c r="AM73" s="14" t="str">
        <f t="shared" si="15"/>
        <v>Barrier</v>
      </c>
      <c r="AN73" s="10" t="s">
        <v>294</v>
      </c>
      <c r="AO73" s="21">
        <v>21</v>
      </c>
      <c r="AP73" s="10" t="s">
        <v>364</v>
      </c>
    </row>
    <row r="74" spans="1:42" ht="16">
      <c r="A74" s="59">
        <v>45199</v>
      </c>
      <c r="C74" s="10">
        <v>9902577</v>
      </c>
      <c r="D74" s="10" t="s">
        <v>132</v>
      </c>
      <c r="E74" s="11">
        <v>10</v>
      </c>
      <c r="F74" s="39">
        <v>502368</v>
      </c>
      <c r="G74" s="39">
        <v>5962510</v>
      </c>
      <c r="H74" s="11" t="s">
        <v>130</v>
      </c>
      <c r="I74" s="11" t="s">
        <v>101</v>
      </c>
      <c r="K74" s="11" t="s">
        <v>102</v>
      </c>
      <c r="L74" s="10" t="s">
        <v>103</v>
      </c>
      <c r="M74" s="10" t="s">
        <v>148</v>
      </c>
      <c r="N74" s="21">
        <v>6.5</v>
      </c>
      <c r="O74" s="21">
        <v>26</v>
      </c>
      <c r="P74" s="10" t="s">
        <v>105</v>
      </c>
      <c r="Q74" s="87"/>
      <c r="R74" s="10" t="s">
        <v>105</v>
      </c>
      <c r="S74" s="10" t="s">
        <v>105</v>
      </c>
      <c r="T74" s="87"/>
      <c r="U74" s="21">
        <v>0.9</v>
      </c>
      <c r="V74" s="10">
        <v>0.6</v>
      </c>
      <c r="W74" s="21">
        <v>0.6</v>
      </c>
      <c r="X74" s="10" t="s">
        <v>105</v>
      </c>
      <c r="Y74" s="21">
        <v>3.5</v>
      </c>
      <c r="Z74" s="21">
        <v>7.6</v>
      </c>
      <c r="AA74" s="10">
        <v>2.5</v>
      </c>
      <c r="AB74" s="10" t="s">
        <v>105</v>
      </c>
      <c r="AC74" s="10" t="s">
        <v>105</v>
      </c>
      <c r="AD74" s="10" t="s">
        <v>106</v>
      </c>
      <c r="AE74" s="10" t="s">
        <v>119</v>
      </c>
      <c r="AF74" s="20">
        <f t="shared" si="17"/>
        <v>1.1692307692307691</v>
      </c>
      <c r="AG74" s="13">
        <f t="shared" si="10"/>
        <v>3</v>
      </c>
      <c r="AH74" s="7">
        <f t="shared" si="11"/>
        <v>10</v>
      </c>
      <c r="AI74" s="7">
        <f t="shared" si="12"/>
        <v>10</v>
      </c>
      <c r="AJ74" s="7">
        <f t="shared" si="13"/>
        <v>10</v>
      </c>
      <c r="AK74" s="7">
        <f t="shared" si="14"/>
        <v>3</v>
      </c>
      <c r="AL74" s="12">
        <f t="shared" si="16"/>
        <v>36</v>
      </c>
      <c r="AM74" s="14" t="str">
        <f t="shared" si="15"/>
        <v>Barrier</v>
      </c>
      <c r="AN74" s="10" t="s">
        <v>294</v>
      </c>
      <c r="AO74" s="21">
        <v>15</v>
      </c>
      <c r="AP74" s="10" t="s">
        <v>365</v>
      </c>
    </row>
    <row r="75" spans="1:42" ht="16">
      <c r="A75" s="59">
        <v>45199</v>
      </c>
      <c r="C75" s="10">
        <v>9900262</v>
      </c>
      <c r="D75" s="10" t="s">
        <v>132</v>
      </c>
      <c r="E75" s="11">
        <v>10</v>
      </c>
      <c r="F75" s="39">
        <v>502603</v>
      </c>
      <c r="G75" s="39">
        <v>5962435</v>
      </c>
      <c r="H75" s="11" t="s">
        <v>204</v>
      </c>
      <c r="I75" s="11" t="s">
        <v>101</v>
      </c>
      <c r="K75" s="11" t="s">
        <v>102</v>
      </c>
      <c r="L75" s="10" t="s">
        <v>103</v>
      </c>
      <c r="M75" s="10" t="s">
        <v>104</v>
      </c>
      <c r="N75" s="21">
        <v>0.9</v>
      </c>
      <c r="O75" s="21">
        <v>32</v>
      </c>
      <c r="P75" s="10" t="s">
        <v>105</v>
      </c>
      <c r="Q75" s="87"/>
      <c r="R75" s="10" t="s">
        <v>105</v>
      </c>
      <c r="S75" s="10" t="s">
        <v>105</v>
      </c>
      <c r="T75" s="87"/>
      <c r="U75" s="21">
        <v>2.5</v>
      </c>
      <c r="V75" s="10">
        <v>0</v>
      </c>
      <c r="W75" s="21">
        <v>0</v>
      </c>
      <c r="X75" s="10" t="s">
        <v>105</v>
      </c>
      <c r="Y75" s="21">
        <v>2</v>
      </c>
      <c r="Z75" s="21">
        <v>0.8</v>
      </c>
      <c r="AA75" s="10">
        <v>2</v>
      </c>
      <c r="AB75" s="10" t="s">
        <v>105</v>
      </c>
      <c r="AC75" s="10" t="s">
        <v>105</v>
      </c>
      <c r="AD75" s="10" t="s">
        <v>106</v>
      </c>
      <c r="AE75" s="10" t="s">
        <v>107</v>
      </c>
      <c r="AF75" s="20">
        <f t="shared" si="17"/>
        <v>0.88888888888888895</v>
      </c>
      <c r="AG75" s="13">
        <f t="shared" si="10"/>
        <v>6</v>
      </c>
      <c r="AH75" s="7">
        <f t="shared" si="11"/>
        <v>10</v>
      </c>
      <c r="AI75" s="7">
        <f t="shared" si="12"/>
        <v>0</v>
      </c>
      <c r="AJ75" s="7">
        <f t="shared" si="13"/>
        <v>5</v>
      </c>
      <c r="AK75" s="7">
        <f t="shared" si="14"/>
        <v>0</v>
      </c>
      <c r="AL75" s="12">
        <f t="shared" si="16"/>
        <v>21</v>
      </c>
      <c r="AM75" s="14" t="str">
        <f t="shared" si="15"/>
        <v>Barrier</v>
      </c>
      <c r="AN75" s="10" t="s">
        <v>295</v>
      </c>
      <c r="AO75" s="21">
        <v>3</v>
      </c>
      <c r="AP75" s="10" t="s">
        <v>366</v>
      </c>
    </row>
    <row r="76" spans="1:42" ht="32">
      <c r="A76" s="59">
        <v>45200</v>
      </c>
      <c r="C76" s="10">
        <v>9900380</v>
      </c>
      <c r="D76" s="10" t="s">
        <v>132</v>
      </c>
      <c r="E76" s="11">
        <v>10</v>
      </c>
      <c r="F76" s="39">
        <v>500461</v>
      </c>
      <c r="G76" s="39">
        <v>5958635</v>
      </c>
      <c r="H76" s="11" t="s">
        <v>128</v>
      </c>
      <c r="I76" s="11" t="s">
        <v>205</v>
      </c>
      <c r="K76" s="11" t="s">
        <v>111</v>
      </c>
      <c r="L76" s="10" t="s">
        <v>103</v>
      </c>
      <c r="M76" s="10" t="s">
        <v>104</v>
      </c>
      <c r="N76" s="21">
        <v>0.6</v>
      </c>
      <c r="O76" s="21">
        <v>22</v>
      </c>
      <c r="P76" s="10" t="s">
        <v>105</v>
      </c>
      <c r="Q76" s="87"/>
      <c r="R76" s="10" t="s">
        <v>105</v>
      </c>
      <c r="S76" s="10" t="s">
        <v>105</v>
      </c>
      <c r="T76" s="87"/>
      <c r="U76" s="21">
        <v>1</v>
      </c>
      <c r="V76" s="10">
        <v>1.5</v>
      </c>
      <c r="W76" s="21">
        <v>0.1</v>
      </c>
      <c r="X76" s="10" t="s">
        <v>105</v>
      </c>
      <c r="Y76" s="21">
        <v>4</v>
      </c>
      <c r="Z76" s="21">
        <v>1.6</v>
      </c>
      <c r="AA76" s="10">
        <v>6</v>
      </c>
      <c r="AB76" s="10" t="s">
        <v>105</v>
      </c>
      <c r="AC76" s="10" t="s">
        <v>105</v>
      </c>
      <c r="AD76" s="10" t="s">
        <v>106</v>
      </c>
      <c r="AE76" s="10" t="s">
        <v>107</v>
      </c>
      <c r="AF76" s="20">
        <f t="shared" si="17"/>
        <v>2.666666666666667</v>
      </c>
      <c r="AG76" s="13">
        <f t="shared" si="10"/>
        <v>3</v>
      </c>
      <c r="AH76" s="7">
        <f t="shared" si="11"/>
        <v>10</v>
      </c>
      <c r="AI76" s="7">
        <f t="shared" si="12"/>
        <v>10</v>
      </c>
      <c r="AJ76" s="7">
        <f t="shared" si="13"/>
        <v>10</v>
      </c>
      <c r="AK76" s="7">
        <f t="shared" si="14"/>
        <v>6</v>
      </c>
      <c r="AL76" s="12">
        <f t="shared" si="16"/>
        <v>39</v>
      </c>
      <c r="AM76" s="14" t="str">
        <f t="shared" si="15"/>
        <v>Barrier</v>
      </c>
      <c r="AN76" s="10" t="s">
        <v>295</v>
      </c>
      <c r="AO76" s="21">
        <v>3</v>
      </c>
      <c r="AP76" s="10" t="s">
        <v>367</v>
      </c>
    </row>
    <row r="77" spans="1:42" ht="32">
      <c r="A77" s="59">
        <v>45200</v>
      </c>
      <c r="C77" s="10">
        <v>9900385</v>
      </c>
      <c r="D77" s="10" t="s">
        <v>132</v>
      </c>
      <c r="E77" s="11">
        <v>10</v>
      </c>
      <c r="F77" s="39">
        <v>496344</v>
      </c>
      <c r="G77" s="39">
        <v>5954586</v>
      </c>
      <c r="H77" s="11" t="s">
        <v>128</v>
      </c>
      <c r="I77" s="11" t="s">
        <v>205</v>
      </c>
      <c r="K77" s="11" t="s">
        <v>111</v>
      </c>
      <c r="L77" s="10" t="s">
        <v>103</v>
      </c>
      <c r="M77" s="10" t="s">
        <v>104</v>
      </c>
      <c r="N77" s="21">
        <v>0.6</v>
      </c>
      <c r="O77" s="21">
        <v>15</v>
      </c>
      <c r="P77" s="10" t="s">
        <v>105</v>
      </c>
      <c r="Q77" s="87"/>
      <c r="R77" s="10" t="s">
        <v>105</v>
      </c>
      <c r="S77" s="10" t="s">
        <v>105</v>
      </c>
      <c r="T77" s="87"/>
      <c r="U77" s="21">
        <v>1.2</v>
      </c>
      <c r="V77" s="10">
        <v>0</v>
      </c>
      <c r="W77" s="21">
        <v>0</v>
      </c>
      <c r="X77" s="10" t="s">
        <v>105</v>
      </c>
      <c r="Y77" s="21">
        <v>3</v>
      </c>
      <c r="Z77" s="21">
        <v>1.4</v>
      </c>
      <c r="AA77" s="10">
        <v>4.5</v>
      </c>
      <c r="AB77" s="10" t="s">
        <v>105</v>
      </c>
      <c r="AC77" s="10" t="s">
        <v>105</v>
      </c>
      <c r="AD77" s="10" t="s">
        <v>106</v>
      </c>
      <c r="AE77" s="10" t="s">
        <v>114</v>
      </c>
      <c r="AF77" s="20">
        <f t="shared" si="17"/>
        <v>2.3333333333333335</v>
      </c>
      <c r="AG77" s="13">
        <f t="shared" si="10"/>
        <v>3</v>
      </c>
      <c r="AH77" s="7">
        <f t="shared" si="11"/>
        <v>10</v>
      </c>
      <c r="AI77" s="7">
        <f t="shared" si="12"/>
        <v>0</v>
      </c>
      <c r="AJ77" s="7">
        <f t="shared" si="13"/>
        <v>10</v>
      </c>
      <c r="AK77" s="7">
        <f t="shared" si="14"/>
        <v>6</v>
      </c>
      <c r="AL77" s="12">
        <f t="shared" si="16"/>
        <v>29</v>
      </c>
      <c r="AM77" s="14" t="str">
        <f t="shared" si="15"/>
        <v>Barrier</v>
      </c>
      <c r="AN77" s="10" t="s">
        <v>295</v>
      </c>
      <c r="AO77" s="21">
        <v>3</v>
      </c>
      <c r="AP77" s="10" t="s">
        <v>368</v>
      </c>
    </row>
    <row r="78" spans="1:42" ht="32">
      <c r="A78" s="59">
        <v>45200</v>
      </c>
      <c r="C78" s="10">
        <v>9900277</v>
      </c>
      <c r="D78" s="10" t="s">
        <v>132</v>
      </c>
      <c r="E78" s="11">
        <v>10</v>
      </c>
      <c r="F78" s="39">
        <v>508131</v>
      </c>
      <c r="G78" s="39">
        <v>5960681</v>
      </c>
      <c r="H78" s="11" t="s">
        <v>206</v>
      </c>
      <c r="I78" s="11" t="s">
        <v>207</v>
      </c>
      <c r="K78" s="11" t="s">
        <v>111</v>
      </c>
      <c r="L78" s="10" t="s">
        <v>103</v>
      </c>
      <c r="M78" s="10" t="s">
        <v>104</v>
      </c>
      <c r="N78" s="21">
        <v>2.5</v>
      </c>
      <c r="O78" s="21">
        <v>20</v>
      </c>
      <c r="P78" s="10" t="s">
        <v>105</v>
      </c>
      <c r="Q78" s="87"/>
      <c r="R78" s="10" t="s">
        <v>105</v>
      </c>
      <c r="S78" s="10" t="s">
        <v>105</v>
      </c>
      <c r="T78" s="87"/>
      <c r="U78" s="21">
        <v>2</v>
      </c>
      <c r="V78" s="10">
        <v>0</v>
      </c>
      <c r="W78" s="21">
        <v>0</v>
      </c>
      <c r="X78" s="10" t="s">
        <v>105</v>
      </c>
      <c r="Y78" s="21">
        <v>1</v>
      </c>
      <c r="Z78" s="21">
        <v>2.2999999999999998</v>
      </c>
      <c r="AA78" s="10">
        <v>2</v>
      </c>
      <c r="AB78" s="10" t="s">
        <v>109</v>
      </c>
      <c r="AC78" s="10" t="s">
        <v>105</v>
      </c>
      <c r="AD78" s="10" t="s">
        <v>106</v>
      </c>
      <c r="AE78" s="10" t="s">
        <v>107</v>
      </c>
      <c r="AF78" s="20">
        <f t="shared" si="17"/>
        <v>0.91999999999999993</v>
      </c>
      <c r="AG78" s="13">
        <f t="shared" si="10"/>
        <v>3</v>
      </c>
      <c r="AH78" s="7">
        <f t="shared" si="11"/>
        <v>10</v>
      </c>
      <c r="AI78" s="7">
        <f t="shared" si="12"/>
        <v>0</v>
      </c>
      <c r="AJ78" s="7">
        <f t="shared" si="13"/>
        <v>5</v>
      </c>
      <c r="AK78" s="7">
        <f t="shared" si="14"/>
        <v>0</v>
      </c>
      <c r="AL78" s="12">
        <f t="shared" si="16"/>
        <v>18</v>
      </c>
      <c r="AM78" s="14" t="str">
        <f t="shared" si="15"/>
        <v>Potential</v>
      </c>
      <c r="AN78" s="10" t="s">
        <v>294</v>
      </c>
      <c r="AO78" s="21">
        <v>15</v>
      </c>
      <c r="AP78" s="10" t="s">
        <v>369</v>
      </c>
    </row>
    <row r="79" spans="1:42" ht="16">
      <c r="A79" s="59">
        <v>45181</v>
      </c>
      <c r="C79" s="10">
        <v>13900100</v>
      </c>
      <c r="D79" s="10" t="s">
        <v>99</v>
      </c>
      <c r="E79" s="11">
        <v>10</v>
      </c>
      <c r="F79" s="39">
        <v>650774</v>
      </c>
      <c r="G79" s="39">
        <v>5934861</v>
      </c>
      <c r="H79" s="11" t="s">
        <v>208</v>
      </c>
      <c r="I79" s="11" t="s">
        <v>209</v>
      </c>
      <c r="K79" s="11" t="s">
        <v>102</v>
      </c>
      <c r="L79" s="10" t="s">
        <v>103</v>
      </c>
      <c r="M79" s="10" t="s">
        <v>148</v>
      </c>
      <c r="N79" s="21">
        <v>3.1</v>
      </c>
      <c r="O79" s="21">
        <v>44</v>
      </c>
      <c r="P79" s="10" t="s">
        <v>105</v>
      </c>
      <c r="Q79" s="87"/>
      <c r="R79" s="10" t="s">
        <v>105</v>
      </c>
      <c r="S79" s="10" t="s">
        <v>105</v>
      </c>
      <c r="T79" s="87"/>
      <c r="U79" s="21">
        <v>4.5</v>
      </c>
      <c r="V79" s="10">
        <v>0.35</v>
      </c>
      <c r="W79" s="21">
        <v>2</v>
      </c>
      <c r="X79" s="10" t="s">
        <v>105</v>
      </c>
      <c r="Y79" s="21">
        <v>2</v>
      </c>
      <c r="Z79" s="21">
        <v>15</v>
      </c>
      <c r="AA79" s="10">
        <v>0.5</v>
      </c>
      <c r="AB79" s="10" t="s">
        <v>105</v>
      </c>
      <c r="AC79" s="10" t="s">
        <v>105</v>
      </c>
      <c r="AD79" s="10" t="s">
        <v>106</v>
      </c>
      <c r="AE79" s="10" t="s">
        <v>119</v>
      </c>
      <c r="AF79" s="20">
        <f t="shared" si="17"/>
        <v>4.838709677419355</v>
      </c>
      <c r="AG79" s="13">
        <f t="shared" si="10"/>
        <v>6</v>
      </c>
      <c r="AH79" s="7">
        <f t="shared" si="11"/>
        <v>10</v>
      </c>
      <c r="AI79" s="7">
        <f t="shared" si="12"/>
        <v>10</v>
      </c>
      <c r="AJ79" s="7">
        <f t="shared" si="13"/>
        <v>5</v>
      </c>
      <c r="AK79" s="7">
        <f t="shared" si="14"/>
        <v>6</v>
      </c>
      <c r="AL79" s="12">
        <f t="shared" si="16"/>
        <v>37</v>
      </c>
      <c r="AM79" s="14" t="str">
        <f t="shared" si="15"/>
        <v>Barrier</v>
      </c>
      <c r="AN79" s="10" t="s">
        <v>294</v>
      </c>
      <c r="AO79" s="21">
        <v>19.5</v>
      </c>
      <c r="AP79" s="10" t="s">
        <v>370</v>
      </c>
    </row>
    <row r="80" spans="1:42" ht="32">
      <c r="A80" s="59">
        <v>45202</v>
      </c>
      <c r="C80" s="10">
        <v>13900026</v>
      </c>
      <c r="D80" s="10" t="s">
        <v>132</v>
      </c>
      <c r="E80" s="11">
        <v>10</v>
      </c>
      <c r="F80" s="39">
        <v>611035</v>
      </c>
      <c r="G80" s="39">
        <v>5968655</v>
      </c>
      <c r="H80" s="11" t="s">
        <v>210</v>
      </c>
      <c r="I80" s="11" t="s">
        <v>211</v>
      </c>
      <c r="K80" s="11" t="s">
        <v>212</v>
      </c>
      <c r="L80" s="10" t="s">
        <v>103</v>
      </c>
      <c r="M80" s="10" t="s">
        <v>104</v>
      </c>
      <c r="N80" s="21">
        <v>0.6</v>
      </c>
      <c r="O80" s="21">
        <v>10</v>
      </c>
      <c r="P80" s="10" t="s">
        <v>105</v>
      </c>
      <c r="Q80" s="87"/>
      <c r="R80" s="10" t="s">
        <v>105</v>
      </c>
      <c r="S80" s="10" t="s">
        <v>105</v>
      </c>
      <c r="T80" s="87"/>
      <c r="U80" s="21">
        <v>0.8</v>
      </c>
      <c r="V80" s="10">
        <v>0</v>
      </c>
      <c r="W80" s="21">
        <v>0</v>
      </c>
      <c r="X80" s="10" t="s">
        <v>105</v>
      </c>
      <c r="Y80" s="21">
        <v>3</v>
      </c>
      <c r="Z80" s="21">
        <v>1.4</v>
      </c>
      <c r="AA80" s="10">
        <v>2</v>
      </c>
      <c r="AB80" s="10" t="s">
        <v>105</v>
      </c>
      <c r="AC80" s="10" t="s">
        <v>105</v>
      </c>
      <c r="AD80" s="10" t="s">
        <v>106</v>
      </c>
      <c r="AE80" s="10" t="s">
        <v>107</v>
      </c>
      <c r="AF80" s="20">
        <f t="shared" si="17"/>
        <v>2.3333333333333335</v>
      </c>
      <c r="AG80" s="13">
        <f t="shared" si="10"/>
        <v>0</v>
      </c>
      <c r="AH80" s="7">
        <f t="shared" si="11"/>
        <v>10</v>
      </c>
      <c r="AI80" s="7">
        <f t="shared" si="12"/>
        <v>0</v>
      </c>
      <c r="AJ80" s="7">
        <f t="shared" si="13"/>
        <v>10</v>
      </c>
      <c r="AK80" s="7">
        <f t="shared" si="14"/>
        <v>6</v>
      </c>
      <c r="AL80" s="12">
        <f t="shared" si="16"/>
        <v>26</v>
      </c>
      <c r="AM80" s="14" t="str">
        <f t="shared" si="15"/>
        <v>Barrier</v>
      </c>
      <c r="AN80" s="10" t="s">
        <v>295</v>
      </c>
      <c r="AO80" s="21">
        <v>3</v>
      </c>
      <c r="AP80" s="10" t="s">
        <v>371</v>
      </c>
    </row>
    <row r="81" spans="1:42" ht="32">
      <c r="A81" s="59">
        <v>45202</v>
      </c>
      <c r="C81" s="10">
        <v>13905537</v>
      </c>
      <c r="D81" s="10" t="s">
        <v>99</v>
      </c>
      <c r="E81" s="11">
        <v>10</v>
      </c>
      <c r="F81" s="39">
        <v>612146</v>
      </c>
      <c r="G81" s="39">
        <v>5967655</v>
      </c>
      <c r="H81" s="11" t="s">
        <v>210</v>
      </c>
      <c r="I81" s="11" t="s">
        <v>213</v>
      </c>
      <c r="K81" s="11" t="s">
        <v>177</v>
      </c>
      <c r="L81" s="10" t="s">
        <v>103</v>
      </c>
      <c r="M81" s="10" t="s">
        <v>104</v>
      </c>
      <c r="N81" s="21">
        <v>2.7</v>
      </c>
      <c r="O81" s="21">
        <v>20</v>
      </c>
      <c r="P81" s="10" t="s">
        <v>105</v>
      </c>
      <c r="Q81" s="87"/>
      <c r="R81" s="10" t="s">
        <v>105</v>
      </c>
      <c r="S81" s="10" t="s">
        <v>105</v>
      </c>
      <c r="T81" s="87"/>
      <c r="U81" s="21">
        <v>7</v>
      </c>
      <c r="V81" s="10">
        <v>0.5</v>
      </c>
      <c r="W81" s="21">
        <v>0.3</v>
      </c>
      <c r="X81" s="10" t="s">
        <v>105</v>
      </c>
      <c r="Y81" s="21">
        <v>2.5</v>
      </c>
      <c r="Z81" s="21">
        <v>3.3</v>
      </c>
      <c r="AA81" s="10">
        <v>0.5</v>
      </c>
      <c r="AB81" s="10" t="s">
        <v>105</v>
      </c>
      <c r="AC81" s="10" t="s">
        <v>105</v>
      </c>
      <c r="AD81" s="10" t="s">
        <v>106</v>
      </c>
      <c r="AE81" s="10" t="s">
        <v>107</v>
      </c>
      <c r="AF81" s="20">
        <f t="shared" si="17"/>
        <v>1.2222222222222221</v>
      </c>
      <c r="AG81" s="13">
        <f t="shared" si="10"/>
        <v>3</v>
      </c>
      <c r="AH81" s="7">
        <f t="shared" si="11"/>
        <v>10</v>
      </c>
      <c r="AI81" s="7">
        <f t="shared" si="12"/>
        <v>10</v>
      </c>
      <c r="AJ81" s="7">
        <f t="shared" si="13"/>
        <v>5</v>
      </c>
      <c r="AK81" s="7">
        <f t="shared" si="14"/>
        <v>3</v>
      </c>
      <c r="AL81" s="12">
        <f t="shared" si="16"/>
        <v>31</v>
      </c>
      <c r="AM81" s="14" t="str">
        <f t="shared" si="15"/>
        <v>Barrier</v>
      </c>
      <c r="AN81" s="10" t="s">
        <v>295</v>
      </c>
      <c r="AO81" s="21">
        <v>4.5</v>
      </c>
      <c r="AP81" s="10" t="s">
        <v>372</v>
      </c>
    </row>
    <row r="82" spans="1:42" ht="16">
      <c r="A82" s="59">
        <v>45202</v>
      </c>
      <c r="C82" s="10">
        <v>13900027</v>
      </c>
      <c r="D82" s="10" t="s">
        <v>99</v>
      </c>
      <c r="E82" s="11">
        <v>10</v>
      </c>
      <c r="F82" s="39">
        <v>610540</v>
      </c>
      <c r="G82" s="39">
        <v>5969263</v>
      </c>
      <c r="H82" s="11" t="s">
        <v>214</v>
      </c>
      <c r="I82" s="11" t="s">
        <v>211</v>
      </c>
      <c r="K82" s="11" t="s">
        <v>212</v>
      </c>
      <c r="L82" s="10" t="s">
        <v>103</v>
      </c>
      <c r="M82" s="10" t="s">
        <v>104</v>
      </c>
      <c r="N82" s="21">
        <v>1.8</v>
      </c>
      <c r="O82" s="21">
        <v>10</v>
      </c>
      <c r="P82" s="10" t="s">
        <v>105</v>
      </c>
      <c r="Q82" s="87"/>
      <c r="R82" s="10" t="s">
        <v>105</v>
      </c>
      <c r="S82" s="10" t="s">
        <v>105</v>
      </c>
      <c r="T82" s="87"/>
      <c r="U82" s="21">
        <v>0.3</v>
      </c>
      <c r="V82" s="10">
        <v>0.2</v>
      </c>
      <c r="W82" s="21">
        <v>0.2</v>
      </c>
      <c r="X82" s="10" t="s">
        <v>105</v>
      </c>
      <c r="Y82" s="21">
        <v>1</v>
      </c>
      <c r="Z82" s="21">
        <v>3.1</v>
      </c>
      <c r="AA82" s="10">
        <v>1</v>
      </c>
      <c r="AB82" s="10" t="s">
        <v>105</v>
      </c>
      <c r="AC82" s="10" t="s">
        <v>105</v>
      </c>
      <c r="AD82" s="10" t="s">
        <v>106</v>
      </c>
      <c r="AE82" s="10" t="s">
        <v>107</v>
      </c>
      <c r="AF82" s="20">
        <f t="shared" si="17"/>
        <v>1.7222222222222223</v>
      </c>
      <c r="AG82" s="13">
        <f t="shared" si="10"/>
        <v>0</v>
      </c>
      <c r="AH82" s="7">
        <f t="shared" si="11"/>
        <v>10</v>
      </c>
      <c r="AI82" s="7">
        <f t="shared" si="12"/>
        <v>5</v>
      </c>
      <c r="AJ82" s="7">
        <f t="shared" si="13"/>
        <v>5</v>
      </c>
      <c r="AK82" s="7">
        <f t="shared" si="14"/>
        <v>6</v>
      </c>
      <c r="AL82" s="12">
        <f t="shared" si="16"/>
        <v>26</v>
      </c>
      <c r="AM82" s="14" t="str">
        <f t="shared" si="15"/>
        <v>Barrier</v>
      </c>
      <c r="AN82" s="10" t="s">
        <v>294</v>
      </c>
      <c r="AO82" s="21">
        <v>15</v>
      </c>
      <c r="AP82" s="10" t="s">
        <v>373</v>
      </c>
    </row>
    <row r="83" spans="1:42" ht="32">
      <c r="A83" s="59">
        <v>45202</v>
      </c>
      <c r="C83" s="10">
        <v>13905538</v>
      </c>
      <c r="D83" s="10" t="s">
        <v>99</v>
      </c>
      <c r="E83" s="11">
        <v>10</v>
      </c>
      <c r="F83" s="39">
        <v>610556</v>
      </c>
      <c r="G83" s="39">
        <v>5969281</v>
      </c>
      <c r="H83" s="11" t="s">
        <v>210</v>
      </c>
      <c r="I83" s="11" t="s">
        <v>213</v>
      </c>
      <c r="K83" s="11" t="s">
        <v>177</v>
      </c>
      <c r="L83" s="10" t="s">
        <v>103</v>
      </c>
      <c r="M83" s="10" t="s">
        <v>104</v>
      </c>
      <c r="N83" s="21">
        <v>1.8</v>
      </c>
      <c r="O83" s="21">
        <v>31</v>
      </c>
      <c r="P83" s="10" t="s">
        <v>105</v>
      </c>
      <c r="Q83" s="87"/>
      <c r="R83" s="10" t="s">
        <v>105</v>
      </c>
      <c r="S83" s="10" t="s">
        <v>105</v>
      </c>
      <c r="T83" s="87"/>
      <c r="U83" s="21">
        <v>9.9</v>
      </c>
      <c r="V83" s="10">
        <v>0</v>
      </c>
      <c r="W83" s="21">
        <v>0.2</v>
      </c>
      <c r="X83" s="10" t="s">
        <v>105</v>
      </c>
      <c r="Y83" s="21">
        <v>0.5</v>
      </c>
      <c r="Z83" s="21">
        <v>3.1</v>
      </c>
      <c r="AA83" s="10">
        <v>1</v>
      </c>
      <c r="AB83" s="10" t="s">
        <v>105</v>
      </c>
      <c r="AC83" s="10" t="s">
        <v>105</v>
      </c>
      <c r="AD83" s="10" t="s">
        <v>106</v>
      </c>
      <c r="AE83" s="10" t="s">
        <v>107</v>
      </c>
      <c r="AF83" s="20">
        <f t="shared" si="17"/>
        <v>1.7222222222222223</v>
      </c>
      <c r="AG83" s="13">
        <f t="shared" si="10"/>
        <v>6</v>
      </c>
      <c r="AH83" s="7">
        <f t="shared" si="11"/>
        <v>10</v>
      </c>
      <c r="AI83" s="7">
        <f t="shared" si="12"/>
        <v>0</v>
      </c>
      <c r="AJ83" s="7">
        <f t="shared" si="13"/>
        <v>0</v>
      </c>
      <c r="AK83" s="7">
        <f t="shared" si="14"/>
        <v>6</v>
      </c>
      <c r="AL83" s="12">
        <f t="shared" si="16"/>
        <v>22</v>
      </c>
      <c r="AM83" s="14" t="str">
        <f t="shared" si="15"/>
        <v>Barrier</v>
      </c>
      <c r="AN83" s="10" t="s">
        <v>295</v>
      </c>
      <c r="AO83" s="21">
        <v>4.5</v>
      </c>
      <c r="AP83" s="10" t="s">
        <v>374</v>
      </c>
    </row>
    <row r="84" spans="1:42" ht="32">
      <c r="A84" s="59">
        <v>45202</v>
      </c>
      <c r="C84" s="10">
        <v>13900309</v>
      </c>
      <c r="D84" s="10" t="s">
        <v>132</v>
      </c>
      <c r="E84" s="11">
        <v>10</v>
      </c>
      <c r="F84" s="39">
        <v>608028</v>
      </c>
      <c r="G84" s="39">
        <v>5970651</v>
      </c>
      <c r="H84" s="11" t="s">
        <v>210</v>
      </c>
      <c r="I84" s="11" t="s">
        <v>211</v>
      </c>
      <c r="K84" s="11" t="s">
        <v>212</v>
      </c>
      <c r="L84" s="10" t="s">
        <v>103</v>
      </c>
      <c r="M84" s="10" t="s">
        <v>104</v>
      </c>
      <c r="N84" s="21">
        <v>2</v>
      </c>
      <c r="O84" s="21">
        <v>19</v>
      </c>
      <c r="P84" s="10" t="s">
        <v>105</v>
      </c>
      <c r="Q84" s="87"/>
      <c r="R84" s="10" t="s">
        <v>105</v>
      </c>
      <c r="S84" s="10" t="s">
        <v>105</v>
      </c>
      <c r="T84" s="87"/>
      <c r="U84" s="21">
        <v>1.6</v>
      </c>
      <c r="V84" s="10">
        <v>0.3</v>
      </c>
      <c r="W84" s="21">
        <v>1.2</v>
      </c>
      <c r="X84" s="10" t="s">
        <v>105</v>
      </c>
      <c r="Y84" s="21">
        <v>3</v>
      </c>
      <c r="Z84" s="21">
        <v>3.8</v>
      </c>
      <c r="AA84" s="10">
        <v>1.5</v>
      </c>
      <c r="AB84" s="10" t="s">
        <v>105</v>
      </c>
      <c r="AC84" s="10" t="s">
        <v>105</v>
      </c>
      <c r="AD84" s="10" t="s">
        <v>106</v>
      </c>
      <c r="AE84" s="10" t="s">
        <v>119</v>
      </c>
      <c r="AF84" s="20">
        <f t="shared" si="17"/>
        <v>1.9</v>
      </c>
      <c r="AG84" s="13">
        <f t="shared" si="10"/>
        <v>3</v>
      </c>
      <c r="AH84" s="7">
        <f t="shared" si="11"/>
        <v>10</v>
      </c>
      <c r="AI84" s="7">
        <f t="shared" si="12"/>
        <v>10</v>
      </c>
      <c r="AJ84" s="7">
        <f t="shared" si="13"/>
        <v>10</v>
      </c>
      <c r="AK84" s="7">
        <f t="shared" si="14"/>
        <v>6</v>
      </c>
      <c r="AL84" s="12">
        <f t="shared" si="16"/>
        <v>39</v>
      </c>
      <c r="AM84" s="14" t="str">
        <f t="shared" si="15"/>
        <v>Barrier</v>
      </c>
      <c r="AN84" s="10" t="s">
        <v>294</v>
      </c>
      <c r="AO84" s="21">
        <v>15</v>
      </c>
      <c r="AP84" s="10" t="s">
        <v>375</v>
      </c>
    </row>
    <row r="85" spans="1:42" ht="32">
      <c r="A85" s="59">
        <v>45202</v>
      </c>
      <c r="C85" s="10">
        <v>13900306</v>
      </c>
      <c r="D85" s="10" t="s">
        <v>99</v>
      </c>
      <c r="E85" s="11">
        <v>10</v>
      </c>
      <c r="F85" s="39">
        <v>607661</v>
      </c>
      <c r="G85" s="39">
        <v>5971153</v>
      </c>
      <c r="H85" s="11" t="s">
        <v>210</v>
      </c>
      <c r="I85" s="11" t="s">
        <v>211</v>
      </c>
      <c r="K85" s="11" t="s">
        <v>212</v>
      </c>
      <c r="L85" s="10" t="s">
        <v>103</v>
      </c>
      <c r="M85" s="10" t="s">
        <v>104</v>
      </c>
      <c r="N85" s="21">
        <v>0.9</v>
      </c>
      <c r="O85" s="21">
        <v>8</v>
      </c>
      <c r="P85" s="10" t="s">
        <v>105</v>
      </c>
      <c r="Q85" s="87"/>
      <c r="R85" s="10" t="s">
        <v>105</v>
      </c>
      <c r="S85" s="10" t="s">
        <v>105</v>
      </c>
      <c r="T85" s="87"/>
      <c r="U85" s="21">
        <v>2</v>
      </c>
      <c r="V85" s="10">
        <v>0</v>
      </c>
      <c r="W85" s="21">
        <v>0.7</v>
      </c>
      <c r="X85" s="10" t="s">
        <v>109</v>
      </c>
      <c r="Y85" s="21">
        <v>1</v>
      </c>
      <c r="Z85" s="21">
        <v>3</v>
      </c>
      <c r="AA85" s="10">
        <v>0</v>
      </c>
      <c r="AB85" s="10" t="s">
        <v>109</v>
      </c>
      <c r="AC85" s="10" t="s">
        <v>105</v>
      </c>
      <c r="AD85" s="10" t="s">
        <v>106</v>
      </c>
      <c r="AE85" s="10" t="s">
        <v>107</v>
      </c>
      <c r="AF85" s="20">
        <f t="shared" si="17"/>
        <v>3.333333333333333</v>
      </c>
      <c r="AG85" s="13">
        <f t="shared" si="10"/>
        <v>0</v>
      </c>
      <c r="AH85" s="7">
        <f t="shared" si="11"/>
        <v>10</v>
      </c>
      <c r="AI85" s="7">
        <f t="shared" si="12"/>
        <v>0</v>
      </c>
      <c r="AJ85" s="7">
        <f t="shared" si="13"/>
        <v>5</v>
      </c>
      <c r="AK85" s="7">
        <f t="shared" si="14"/>
        <v>6</v>
      </c>
      <c r="AL85" s="12">
        <f t="shared" si="16"/>
        <v>21</v>
      </c>
      <c r="AM85" s="14" t="str">
        <f t="shared" si="15"/>
        <v>Barrier</v>
      </c>
      <c r="AN85" s="10" t="s">
        <v>294</v>
      </c>
      <c r="AO85" s="21">
        <v>15</v>
      </c>
      <c r="AP85" s="10" t="s">
        <v>376</v>
      </c>
    </row>
    <row r="86" spans="1:42" ht="32">
      <c r="A86" s="59">
        <v>45202</v>
      </c>
      <c r="C86" s="10">
        <v>13900305</v>
      </c>
      <c r="D86" s="10" t="s">
        <v>99</v>
      </c>
      <c r="E86" s="11">
        <v>10</v>
      </c>
      <c r="F86" s="39">
        <v>605976</v>
      </c>
      <c r="G86" s="39">
        <v>5971827</v>
      </c>
      <c r="H86" s="11" t="s">
        <v>210</v>
      </c>
      <c r="I86" s="11" t="s">
        <v>211</v>
      </c>
      <c r="K86" s="11" t="s">
        <v>215</v>
      </c>
      <c r="L86" s="10" t="s">
        <v>103</v>
      </c>
      <c r="M86" s="10" t="s">
        <v>104</v>
      </c>
      <c r="N86" s="21">
        <v>0.9</v>
      </c>
      <c r="O86" s="21">
        <v>6</v>
      </c>
      <c r="P86" s="10" t="s">
        <v>105</v>
      </c>
      <c r="Q86" s="87"/>
      <c r="R86" s="10" t="s">
        <v>105</v>
      </c>
      <c r="S86" s="10" t="s">
        <v>105</v>
      </c>
      <c r="T86" s="87"/>
      <c r="U86" s="21">
        <v>0.5</v>
      </c>
      <c r="V86" s="10">
        <v>0</v>
      </c>
      <c r="W86" s="21">
        <v>0</v>
      </c>
      <c r="X86" s="10" t="s">
        <v>109</v>
      </c>
      <c r="Y86" s="21">
        <v>1</v>
      </c>
      <c r="Z86" s="21">
        <v>2.2000000000000002</v>
      </c>
      <c r="AA86" s="10">
        <v>2</v>
      </c>
      <c r="AB86" s="10" t="s">
        <v>105</v>
      </c>
      <c r="AC86" s="10" t="s">
        <v>105</v>
      </c>
      <c r="AD86" s="10" t="s">
        <v>106</v>
      </c>
      <c r="AE86" s="10" t="s">
        <v>114</v>
      </c>
      <c r="AF86" s="20">
        <f t="shared" si="17"/>
        <v>2.4444444444444446</v>
      </c>
      <c r="AG86" s="13">
        <f t="shared" si="10"/>
        <v>0</v>
      </c>
      <c r="AH86" s="7">
        <f t="shared" si="11"/>
        <v>10</v>
      </c>
      <c r="AI86" s="7">
        <f t="shared" si="12"/>
        <v>0</v>
      </c>
      <c r="AJ86" s="7">
        <f t="shared" si="13"/>
        <v>5</v>
      </c>
      <c r="AK86" s="7">
        <f t="shared" si="14"/>
        <v>6</v>
      </c>
      <c r="AL86" s="12">
        <f t="shared" si="16"/>
        <v>21</v>
      </c>
      <c r="AM86" s="14" t="str">
        <f t="shared" si="15"/>
        <v>Barrier</v>
      </c>
      <c r="AN86" s="10" t="s">
        <v>294</v>
      </c>
      <c r="AO86" s="21">
        <v>15</v>
      </c>
      <c r="AP86" s="10" t="s">
        <v>377</v>
      </c>
    </row>
    <row r="87" spans="1:42" ht="32">
      <c r="A87" s="59">
        <v>45202</v>
      </c>
      <c r="C87" s="10">
        <v>13903451</v>
      </c>
      <c r="D87" s="10" t="s">
        <v>132</v>
      </c>
      <c r="E87" s="11">
        <v>10</v>
      </c>
      <c r="F87" s="39">
        <v>605208</v>
      </c>
      <c r="G87" s="39">
        <v>5972373</v>
      </c>
      <c r="H87" s="11" t="s">
        <v>210</v>
      </c>
      <c r="I87" s="11" t="s">
        <v>211</v>
      </c>
      <c r="K87" s="11" t="s">
        <v>215</v>
      </c>
      <c r="L87" s="10" t="s">
        <v>103</v>
      </c>
      <c r="M87" s="10" t="s">
        <v>104</v>
      </c>
      <c r="N87" s="21">
        <v>0.8</v>
      </c>
      <c r="O87" s="21">
        <v>10</v>
      </c>
      <c r="P87" s="10" t="s">
        <v>105</v>
      </c>
      <c r="Q87" s="87"/>
      <c r="R87" s="10" t="s">
        <v>105</v>
      </c>
      <c r="S87" s="10" t="s">
        <v>105</v>
      </c>
      <c r="T87" s="87"/>
      <c r="U87" s="21">
        <v>1</v>
      </c>
      <c r="V87" s="10">
        <v>0.2</v>
      </c>
      <c r="W87" s="21">
        <v>0.2</v>
      </c>
      <c r="X87" s="10" t="s">
        <v>105</v>
      </c>
      <c r="Y87" s="21">
        <v>3</v>
      </c>
      <c r="Z87" s="21">
        <v>1.4</v>
      </c>
      <c r="AA87" s="10">
        <v>2</v>
      </c>
      <c r="AB87" s="10" t="s">
        <v>105</v>
      </c>
      <c r="AC87" s="10" t="s">
        <v>105</v>
      </c>
      <c r="AD87" s="10" t="s">
        <v>106</v>
      </c>
      <c r="AE87" s="10" t="s">
        <v>107</v>
      </c>
      <c r="AF87" s="20">
        <f t="shared" si="17"/>
        <v>1.7499999999999998</v>
      </c>
      <c r="AG87" s="13">
        <f t="shared" si="10"/>
        <v>0</v>
      </c>
      <c r="AH87" s="7">
        <f t="shared" si="11"/>
        <v>10</v>
      </c>
      <c r="AI87" s="7">
        <f t="shared" si="12"/>
        <v>5</v>
      </c>
      <c r="AJ87" s="7">
        <f t="shared" si="13"/>
        <v>10</v>
      </c>
      <c r="AK87" s="7">
        <f t="shared" si="14"/>
        <v>6</v>
      </c>
      <c r="AL87" s="12">
        <f t="shared" si="16"/>
        <v>31</v>
      </c>
      <c r="AM87" s="14" t="str">
        <f t="shared" si="15"/>
        <v>Barrier</v>
      </c>
      <c r="AN87" s="10" t="s">
        <v>295</v>
      </c>
      <c r="AO87" s="21">
        <v>3</v>
      </c>
      <c r="AP87" s="10" t="s">
        <v>378</v>
      </c>
    </row>
    <row r="88" spans="1:42" ht="32">
      <c r="A88" s="59">
        <v>45202</v>
      </c>
      <c r="C88" s="10">
        <v>13903452</v>
      </c>
      <c r="D88" s="10" t="s">
        <v>99</v>
      </c>
      <c r="E88" s="11">
        <v>10</v>
      </c>
      <c r="F88" s="39">
        <v>604828</v>
      </c>
      <c r="G88" s="39">
        <v>5973094</v>
      </c>
      <c r="H88" s="11" t="s">
        <v>210</v>
      </c>
      <c r="I88" s="11" t="s">
        <v>211</v>
      </c>
      <c r="K88" s="11" t="s">
        <v>215</v>
      </c>
      <c r="L88" s="10" t="s">
        <v>103</v>
      </c>
      <c r="M88" s="10" t="s">
        <v>104</v>
      </c>
      <c r="N88" s="21">
        <v>0.6</v>
      </c>
      <c r="O88" s="21">
        <v>13.5</v>
      </c>
      <c r="P88" s="10" t="s">
        <v>105</v>
      </c>
      <c r="Q88" s="87"/>
      <c r="R88" s="10" t="s">
        <v>105</v>
      </c>
      <c r="S88" s="10" t="s">
        <v>105</v>
      </c>
      <c r="T88" s="87"/>
      <c r="U88" s="21">
        <v>1.5</v>
      </c>
      <c r="V88" s="10">
        <v>0.7</v>
      </c>
      <c r="W88" s="21">
        <v>0.6</v>
      </c>
      <c r="X88" s="10" t="s">
        <v>105</v>
      </c>
      <c r="Y88" s="21">
        <v>3</v>
      </c>
      <c r="Z88" s="21">
        <v>3.2</v>
      </c>
      <c r="AA88" s="10">
        <v>2</v>
      </c>
      <c r="AB88" s="10" t="s">
        <v>105</v>
      </c>
      <c r="AC88" s="10" t="s">
        <v>105</v>
      </c>
      <c r="AD88" s="10" t="s">
        <v>106</v>
      </c>
      <c r="AE88" s="10" t="s">
        <v>107</v>
      </c>
      <c r="AF88" s="20">
        <f t="shared" si="17"/>
        <v>5.3333333333333339</v>
      </c>
      <c r="AG88" s="13">
        <f t="shared" si="10"/>
        <v>0</v>
      </c>
      <c r="AH88" s="7">
        <f t="shared" si="11"/>
        <v>10</v>
      </c>
      <c r="AI88" s="7">
        <f t="shared" si="12"/>
        <v>10</v>
      </c>
      <c r="AJ88" s="7">
        <f t="shared" si="13"/>
        <v>10</v>
      </c>
      <c r="AK88" s="7">
        <f t="shared" si="14"/>
        <v>6</v>
      </c>
      <c r="AL88" s="12">
        <f t="shared" si="16"/>
        <v>36</v>
      </c>
      <c r="AM88" s="14" t="str">
        <f t="shared" si="15"/>
        <v>Barrier</v>
      </c>
      <c r="AN88" s="10" t="s">
        <v>294</v>
      </c>
      <c r="AO88" s="21">
        <v>15</v>
      </c>
      <c r="AP88" s="10" t="s">
        <v>379</v>
      </c>
    </row>
    <row r="89" spans="1:42" ht="32">
      <c r="A89" s="59">
        <v>45202</v>
      </c>
      <c r="C89" s="10">
        <v>13903450</v>
      </c>
      <c r="D89" s="10" t="s">
        <v>132</v>
      </c>
      <c r="E89" s="11">
        <v>10</v>
      </c>
      <c r="F89" s="39">
        <v>604449</v>
      </c>
      <c r="G89" s="39">
        <v>5973168</v>
      </c>
      <c r="H89" s="11" t="s">
        <v>210</v>
      </c>
      <c r="I89" s="11" t="s">
        <v>211</v>
      </c>
      <c r="K89" s="11" t="s">
        <v>215</v>
      </c>
      <c r="L89" s="10" t="s">
        <v>103</v>
      </c>
      <c r="M89" s="10" t="s">
        <v>104</v>
      </c>
      <c r="N89" s="21">
        <v>1.3</v>
      </c>
      <c r="O89" s="21">
        <v>10</v>
      </c>
      <c r="P89" s="10" t="s">
        <v>105</v>
      </c>
      <c r="Q89" s="87"/>
      <c r="R89" s="10" t="s">
        <v>105</v>
      </c>
      <c r="S89" s="10" t="s">
        <v>105</v>
      </c>
      <c r="T89" s="87"/>
      <c r="U89" s="21">
        <v>0.6</v>
      </c>
      <c r="V89" s="10">
        <v>0.5</v>
      </c>
      <c r="W89" s="21">
        <v>0.5</v>
      </c>
      <c r="X89" s="10" t="s">
        <v>105</v>
      </c>
      <c r="Y89" s="21">
        <v>4</v>
      </c>
      <c r="Z89" s="21">
        <v>1.9</v>
      </c>
      <c r="AA89" s="10">
        <v>2</v>
      </c>
      <c r="AB89" s="10" t="s">
        <v>109</v>
      </c>
      <c r="AC89" s="10" t="s">
        <v>105</v>
      </c>
      <c r="AD89" s="10" t="s">
        <v>106</v>
      </c>
      <c r="AE89" s="10" t="s">
        <v>107</v>
      </c>
      <c r="AF89" s="20">
        <f t="shared" si="17"/>
        <v>1.4615384615384615</v>
      </c>
      <c r="AG89" s="13">
        <f t="shared" si="10"/>
        <v>0</v>
      </c>
      <c r="AH89" s="7">
        <f t="shared" si="11"/>
        <v>10</v>
      </c>
      <c r="AI89" s="7">
        <f t="shared" si="12"/>
        <v>10</v>
      </c>
      <c r="AJ89" s="7">
        <f t="shared" si="13"/>
        <v>10</v>
      </c>
      <c r="AK89" s="7">
        <f t="shared" si="14"/>
        <v>6</v>
      </c>
      <c r="AL89" s="12">
        <f t="shared" si="16"/>
        <v>36</v>
      </c>
      <c r="AM89" s="14" t="str">
        <f t="shared" si="15"/>
        <v>Barrier</v>
      </c>
      <c r="AN89" s="10" t="s">
        <v>295</v>
      </c>
      <c r="AO89" s="21">
        <v>3</v>
      </c>
      <c r="AP89" s="10" t="s">
        <v>380</v>
      </c>
    </row>
    <row r="90" spans="1:42" ht="32">
      <c r="A90" s="59">
        <v>45202</v>
      </c>
      <c r="C90" s="10">
        <v>13903449</v>
      </c>
      <c r="D90" s="10" t="s">
        <v>99</v>
      </c>
      <c r="E90" s="11">
        <v>10</v>
      </c>
      <c r="F90" s="39">
        <v>603342</v>
      </c>
      <c r="G90" s="39">
        <v>5973549</v>
      </c>
      <c r="H90" s="11" t="s">
        <v>210</v>
      </c>
      <c r="I90" s="11" t="s">
        <v>211</v>
      </c>
      <c r="K90" s="11" t="s">
        <v>215</v>
      </c>
      <c r="L90" s="10" t="s">
        <v>103</v>
      </c>
      <c r="M90" s="10" t="s">
        <v>104</v>
      </c>
      <c r="N90" s="21">
        <v>0.6</v>
      </c>
      <c r="O90" s="21">
        <v>14.5</v>
      </c>
      <c r="P90" s="10" t="s">
        <v>105</v>
      </c>
      <c r="Q90" s="87"/>
      <c r="R90" s="10" t="s">
        <v>105</v>
      </c>
      <c r="S90" s="10" t="s">
        <v>105</v>
      </c>
      <c r="T90" s="87"/>
      <c r="U90" s="21">
        <v>1.1000000000000001</v>
      </c>
      <c r="V90" s="10">
        <v>0.6</v>
      </c>
      <c r="W90" s="21">
        <v>0.65</v>
      </c>
      <c r="X90" s="10" t="s">
        <v>105</v>
      </c>
      <c r="Y90" s="21">
        <v>4</v>
      </c>
      <c r="Z90" s="21">
        <v>0.7</v>
      </c>
      <c r="AA90" s="10">
        <v>1</v>
      </c>
      <c r="AB90" s="10" t="s">
        <v>105</v>
      </c>
      <c r="AC90" s="10" t="s">
        <v>105</v>
      </c>
      <c r="AD90" s="10" t="s">
        <v>106</v>
      </c>
      <c r="AE90" s="10" t="s">
        <v>114</v>
      </c>
      <c r="AF90" s="20">
        <f t="shared" si="17"/>
        <v>1.1666666666666667</v>
      </c>
      <c r="AG90" s="13">
        <f t="shared" si="10"/>
        <v>0</v>
      </c>
      <c r="AH90" s="7">
        <f t="shared" si="11"/>
        <v>10</v>
      </c>
      <c r="AI90" s="7">
        <f t="shared" si="12"/>
        <v>10</v>
      </c>
      <c r="AJ90" s="7">
        <f t="shared" si="13"/>
        <v>10</v>
      </c>
      <c r="AK90" s="7">
        <f t="shared" si="14"/>
        <v>3</v>
      </c>
      <c r="AL90" s="12">
        <f t="shared" si="16"/>
        <v>33</v>
      </c>
      <c r="AM90" s="14" t="str">
        <f t="shared" si="15"/>
        <v>Barrier</v>
      </c>
      <c r="AN90" s="10" t="s">
        <v>295</v>
      </c>
      <c r="AO90" s="21">
        <v>3</v>
      </c>
      <c r="AP90" s="10" t="s">
        <v>381</v>
      </c>
    </row>
    <row r="91" spans="1:42" ht="16">
      <c r="A91" s="59">
        <v>45202</v>
      </c>
      <c r="C91" s="10">
        <v>2023100301</v>
      </c>
      <c r="D91" s="10" t="s">
        <v>99</v>
      </c>
      <c r="E91" s="11">
        <v>10</v>
      </c>
      <c r="F91" s="39">
        <v>601824</v>
      </c>
      <c r="G91" s="39">
        <v>5974432</v>
      </c>
      <c r="H91" s="11" t="s">
        <v>216</v>
      </c>
      <c r="I91" s="11" t="s">
        <v>217</v>
      </c>
      <c r="K91" s="11" t="s">
        <v>111</v>
      </c>
      <c r="L91" s="10" t="s">
        <v>103</v>
      </c>
      <c r="M91" s="10" t="s">
        <v>104</v>
      </c>
      <c r="N91" s="21">
        <v>0.8</v>
      </c>
      <c r="O91" s="21">
        <v>11</v>
      </c>
      <c r="P91" s="10" t="s">
        <v>105</v>
      </c>
      <c r="Q91" s="87"/>
      <c r="R91" s="10" t="s">
        <v>105</v>
      </c>
      <c r="S91" s="10" t="s">
        <v>105</v>
      </c>
      <c r="T91" s="87"/>
      <c r="U91" s="21">
        <v>0.3</v>
      </c>
      <c r="V91" s="10">
        <v>0.08</v>
      </c>
      <c r="W91" s="21">
        <v>0.2</v>
      </c>
      <c r="X91" s="10" t="s">
        <v>105</v>
      </c>
      <c r="Y91" s="21">
        <v>2.5</v>
      </c>
      <c r="Z91" s="21">
        <v>3.4</v>
      </c>
      <c r="AA91" s="10">
        <v>1.5</v>
      </c>
      <c r="AB91" s="10" t="s">
        <v>105</v>
      </c>
      <c r="AC91" s="10" t="s">
        <v>105</v>
      </c>
      <c r="AD91" s="10" t="s">
        <v>106</v>
      </c>
      <c r="AE91" s="10" t="s">
        <v>107</v>
      </c>
      <c r="AF91" s="20">
        <f t="shared" si="17"/>
        <v>4.25</v>
      </c>
      <c r="AG91" s="13">
        <f t="shared" si="10"/>
        <v>0</v>
      </c>
      <c r="AH91" s="7">
        <f t="shared" si="11"/>
        <v>10</v>
      </c>
      <c r="AI91" s="7">
        <f t="shared" si="12"/>
        <v>0</v>
      </c>
      <c r="AJ91" s="7">
        <f t="shared" si="13"/>
        <v>5</v>
      </c>
      <c r="AK91" s="7">
        <f t="shared" si="14"/>
        <v>6</v>
      </c>
      <c r="AL91" s="12">
        <f t="shared" si="16"/>
        <v>21</v>
      </c>
      <c r="AM91" s="14" t="str">
        <f t="shared" si="15"/>
        <v>Barrier</v>
      </c>
      <c r="AN91" s="10" t="s">
        <v>294</v>
      </c>
      <c r="AO91" s="21">
        <v>15</v>
      </c>
      <c r="AP91" s="10" t="s">
        <v>382</v>
      </c>
    </row>
    <row r="92" spans="1:42" ht="16">
      <c r="A92" s="59">
        <v>45202</v>
      </c>
      <c r="C92" s="10">
        <v>13900052</v>
      </c>
      <c r="D92" s="10" t="s">
        <v>132</v>
      </c>
      <c r="E92" s="11">
        <v>10</v>
      </c>
      <c r="F92" s="39">
        <v>587885</v>
      </c>
      <c r="G92" s="39">
        <v>5985390</v>
      </c>
      <c r="H92" s="11" t="s">
        <v>218</v>
      </c>
      <c r="I92" s="11" t="s">
        <v>219</v>
      </c>
      <c r="K92" s="11" t="s">
        <v>102</v>
      </c>
      <c r="L92" s="10" t="s">
        <v>103</v>
      </c>
      <c r="M92" s="10" t="s">
        <v>104</v>
      </c>
      <c r="N92" s="21">
        <v>0.9</v>
      </c>
      <c r="O92" s="21">
        <v>18</v>
      </c>
      <c r="P92" s="10" t="s">
        <v>105</v>
      </c>
      <c r="Q92" s="87"/>
      <c r="R92" s="10" t="s">
        <v>105</v>
      </c>
      <c r="S92" s="10" t="s">
        <v>105</v>
      </c>
      <c r="T92" s="87"/>
      <c r="U92" s="21">
        <v>1</v>
      </c>
      <c r="V92" s="10">
        <v>0</v>
      </c>
      <c r="W92" s="21">
        <v>0</v>
      </c>
      <c r="X92" s="10" t="s">
        <v>105</v>
      </c>
      <c r="Y92" s="21">
        <v>3</v>
      </c>
      <c r="Z92" s="21">
        <v>1.6</v>
      </c>
      <c r="AA92" s="10">
        <v>2.5</v>
      </c>
      <c r="AB92" s="10" t="s">
        <v>105</v>
      </c>
      <c r="AC92" s="10" t="s">
        <v>105</v>
      </c>
      <c r="AD92" s="10" t="s">
        <v>106</v>
      </c>
      <c r="AE92" s="10" t="s">
        <v>107</v>
      </c>
      <c r="AF92" s="20">
        <f t="shared" si="17"/>
        <v>1.7777777777777779</v>
      </c>
      <c r="AG92" s="13">
        <f t="shared" si="10"/>
        <v>3</v>
      </c>
      <c r="AH92" s="7">
        <f t="shared" si="11"/>
        <v>10</v>
      </c>
      <c r="AI92" s="7">
        <f t="shared" si="12"/>
        <v>0</v>
      </c>
      <c r="AJ92" s="7">
        <f t="shared" si="13"/>
        <v>10</v>
      </c>
      <c r="AK92" s="7">
        <f t="shared" si="14"/>
        <v>6</v>
      </c>
      <c r="AL92" s="12">
        <f t="shared" si="16"/>
        <v>29</v>
      </c>
      <c r="AM92" s="14" t="str">
        <f t="shared" si="15"/>
        <v>Barrier</v>
      </c>
      <c r="AN92" s="10" t="s">
        <v>295</v>
      </c>
      <c r="AO92" s="21">
        <v>3</v>
      </c>
      <c r="AP92" s="10" t="s">
        <v>383</v>
      </c>
    </row>
    <row r="93" spans="1:42" ht="16">
      <c r="A93" s="59">
        <v>45202</v>
      </c>
      <c r="C93" s="10">
        <v>13905581</v>
      </c>
      <c r="D93" s="10" t="s">
        <v>132</v>
      </c>
      <c r="E93" s="11">
        <v>10</v>
      </c>
      <c r="F93" s="39">
        <v>587975</v>
      </c>
      <c r="G93" s="39">
        <v>5985293</v>
      </c>
      <c r="H93" s="11" t="s">
        <v>218</v>
      </c>
      <c r="I93" s="11" t="s">
        <v>176</v>
      </c>
      <c r="K93" s="11" t="s">
        <v>177</v>
      </c>
      <c r="L93" s="10" t="s">
        <v>103</v>
      </c>
      <c r="M93" s="10" t="s">
        <v>104</v>
      </c>
      <c r="N93" s="21">
        <v>0.9</v>
      </c>
      <c r="O93" s="21">
        <v>12</v>
      </c>
      <c r="P93" s="10" t="s">
        <v>105</v>
      </c>
      <c r="Q93" s="87"/>
      <c r="R93" s="10" t="s">
        <v>105</v>
      </c>
      <c r="S93" s="10" t="s">
        <v>105</v>
      </c>
      <c r="T93" s="87"/>
      <c r="U93" s="21">
        <v>1.2</v>
      </c>
      <c r="V93" s="10">
        <v>0</v>
      </c>
      <c r="W93" s="21">
        <v>0</v>
      </c>
      <c r="X93" s="10" t="s">
        <v>105</v>
      </c>
      <c r="Y93" s="21">
        <v>1</v>
      </c>
      <c r="Z93" s="21">
        <v>1.1000000000000001</v>
      </c>
      <c r="AA93" s="10">
        <v>2</v>
      </c>
      <c r="AB93" s="10" t="s">
        <v>105</v>
      </c>
      <c r="AC93" s="10" t="s">
        <v>105</v>
      </c>
      <c r="AD93" s="10" t="s">
        <v>106</v>
      </c>
      <c r="AE93" s="10" t="s">
        <v>114</v>
      </c>
      <c r="AF93" s="20">
        <f t="shared" si="17"/>
        <v>1.2222222222222223</v>
      </c>
      <c r="AG93" s="13">
        <f t="shared" si="10"/>
        <v>0</v>
      </c>
      <c r="AH93" s="7">
        <f t="shared" si="11"/>
        <v>10</v>
      </c>
      <c r="AI93" s="7">
        <f t="shared" si="12"/>
        <v>0</v>
      </c>
      <c r="AJ93" s="7">
        <f t="shared" si="13"/>
        <v>5</v>
      </c>
      <c r="AK93" s="7">
        <f t="shared" si="14"/>
        <v>3</v>
      </c>
      <c r="AL93" s="12">
        <f t="shared" si="16"/>
        <v>18</v>
      </c>
      <c r="AM93" s="14" t="str">
        <f t="shared" si="15"/>
        <v>Potential</v>
      </c>
      <c r="AN93" s="10" t="s">
        <v>295</v>
      </c>
      <c r="AO93" s="21">
        <v>3</v>
      </c>
      <c r="AP93" s="10" t="s">
        <v>384</v>
      </c>
    </row>
    <row r="94" spans="1:42" ht="32">
      <c r="A94" s="59">
        <v>45202</v>
      </c>
      <c r="C94" s="10">
        <v>13900094</v>
      </c>
      <c r="D94" s="10" t="s">
        <v>99</v>
      </c>
      <c r="E94" s="11">
        <v>10</v>
      </c>
      <c r="F94" s="39">
        <v>584227</v>
      </c>
      <c r="G94" s="39">
        <v>5988493</v>
      </c>
      <c r="H94" s="11" t="s">
        <v>210</v>
      </c>
      <c r="I94" s="11" t="s">
        <v>220</v>
      </c>
      <c r="K94" s="11" t="s">
        <v>102</v>
      </c>
      <c r="L94" s="10" t="s">
        <v>103</v>
      </c>
      <c r="M94" s="10" t="s">
        <v>104</v>
      </c>
      <c r="N94" s="21">
        <v>0.8</v>
      </c>
      <c r="O94" s="21">
        <v>19.5</v>
      </c>
      <c r="P94" s="10" t="s">
        <v>105</v>
      </c>
      <c r="Q94" s="87"/>
      <c r="R94" s="10" t="s">
        <v>105</v>
      </c>
      <c r="S94" s="10" t="s">
        <v>105</v>
      </c>
      <c r="T94" s="87"/>
      <c r="U94" s="21">
        <v>1.2</v>
      </c>
      <c r="V94" s="10">
        <v>0</v>
      </c>
      <c r="W94" s="21">
        <v>0.2</v>
      </c>
      <c r="X94" s="10" t="s">
        <v>105</v>
      </c>
      <c r="Y94" s="21">
        <v>2</v>
      </c>
      <c r="Z94" s="21">
        <v>1.8</v>
      </c>
      <c r="AA94" s="10">
        <v>4.5</v>
      </c>
      <c r="AB94" s="10" t="s">
        <v>109</v>
      </c>
      <c r="AC94" s="10" t="s">
        <v>105</v>
      </c>
      <c r="AD94" s="10" t="s">
        <v>106</v>
      </c>
      <c r="AE94" s="10" t="s">
        <v>107</v>
      </c>
      <c r="AF94" s="20">
        <f t="shared" si="17"/>
        <v>2.25</v>
      </c>
      <c r="AG94" s="13">
        <f t="shared" si="10"/>
        <v>3</v>
      </c>
      <c r="AH94" s="7">
        <f t="shared" si="11"/>
        <v>10</v>
      </c>
      <c r="AI94" s="7">
        <f t="shared" si="12"/>
        <v>0</v>
      </c>
      <c r="AJ94" s="7">
        <f t="shared" si="13"/>
        <v>5</v>
      </c>
      <c r="AK94" s="7">
        <f t="shared" si="14"/>
        <v>6</v>
      </c>
      <c r="AL94" s="12">
        <f t="shared" si="16"/>
        <v>24</v>
      </c>
      <c r="AM94" s="14" t="str">
        <f t="shared" si="15"/>
        <v>Barrier</v>
      </c>
      <c r="AN94" s="10" t="s">
        <v>295</v>
      </c>
      <c r="AO94" s="21">
        <v>3</v>
      </c>
      <c r="AP94" s="10" t="s">
        <v>385</v>
      </c>
    </row>
    <row r="95" spans="1:42" ht="32">
      <c r="A95" s="59">
        <v>45202</v>
      </c>
      <c r="C95" s="10">
        <v>13903446</v>
      </c>
      <c r="D95" s="10" t="s">
        <v>99</v>
      </c>
      <c r="E95" s="11">
        <v>10</v>
      </c>
      <c r="F95" s="39">
        <v>582480</v>
      </c>
      <c r="G95" s="39">
        <v>5989487</v>
      </c>
      <c r="H95" s="11" t="s">
        <v>210</v>
      </c>
      <c r="I95" s="11" t="s">
        <v>220</v>
      </c>
      <c r="K95" s="11" t="s">
        <v>102</v>
      </c>
      <c r="L95" s="10" t="s">
        <v>103</v>
      </c>
      <c r="M95" s="10" t="s">
        <v>104</v>
      </c>
      <c r="N95" s="21">
        <v>1.05</v>
      </c>
      <c r="O95" s="21">
        <v>17</v>
      </c>
      <c r="P95" s="10" t="s">
        <v>105</v>
      </c>
      <c r="Q95" s="87"/>
      <c r="R95" s="10" t="s">
        <v>105</v>
      </c>
      <c r="S95" s="10" t="s">
        <v>105</v>
      </c>
      <c r="T95" s="87"/>
      <c r="U95" s="21">
        <v>1.6</v>
      </c>
      <c r="V95" s="10">
        <v>0.05</v>
      </c>
      <c r="W95" s="21">
        <v>0.2</v>
      </c>
      <c r="X95" s="10" t="s">
        <v>105</v>
      </c>
      <c r="Y95" s="21">
        <v>2.5</v>
      </c>
      <c r="Z95" s="21">
        <v>2</v>
      </c>
      <c r="AA95" s="10">
        <v>1</v>
      </c>
      <c r="AB95" s="10" t="s">
        <v>105</v>
      </c>
      <c r="AC95" s="10" t="s">
        <v>105</v>
      </c>
      <c r="AD95" s="10" t="s">
        <v>106</v>
      </c>
      <c r="AE95" s="10" t="s">
        <v>107</v>
      </c>
      <c r="AF95" s="20">
        <f t="shared" si="17"/>
        <v>1.9047619047619047</v>
      </c>
      <c r="AG95" s="13">
        <f t="shared" si="10"/>
        <v>3</v>
      </c>
      <c r="AH95" s="7">
        <f t="shared" si="11"/>
        <v>10</v>
      </c>
      <c r="AI95" s="7">
        <f t="shared" si="12"/>
        <v>0</v>
      </c>
      <c r="AJ95" s="7">
        <f t="shared" si="13"/>
        <v>5</v>
      </c>
      <c r="AK95" s="7">
        <f t="shared" si="14"/>
        <v>6</v>
      </c>
      <c r="AL95" s="12">
        <f t="shared" si="16"/>
        <v>24</v>
      </c>
      <c r="AM95" s="14" t="str">
        <f t="shared" si="15"/>
        <v>Barrier</v>
      </c>
      <c r="AN95" s="10" t="s">
        <v>294</v>
      </c>
      <c r="AO95" s="21">
        <v>15</v>
      </c>
      <c r="AP95" s="10" t="s">
        <v>386</v>
      </c>
    </row>
    <row r="96" spans="1:42" ht="32">
      <c r="A96" s="59">
        <v>45202</v>
      </c>
      <c r="C96" s="10">
        <v>13900043</v>
      </c>
      <c r="D96" s="10" t="s">
        <v>132</v>
      </c>
      <c r="E96" s="11">
        <v>10</v>
      </c>
      <c r="F96" s="39">
        <v>569895</v>
      </c>
      <c r="G96" s="39">
        <v>5996572</v>
      </c>
      <c r="H96" s="11" t="s">
        <v>210</v>
      </c>
      <c r="I96" s="11" t="s">
        <v>219</v>
      </c>
      <c r="K96" s="11" t="s">
        <v>102</v>
      </c>
      <c r="L96" s="10" t="s">
        <v>103</v>
      </c>
      <c r="M96" s="10" t="s">
        <v>104</v>
      </c>
      <c r="N96" s="21">
        <v>0.95</v>
      </c>
      <c r="O96" s="21">
        <v>54</v>
      </c>
      <c r="P96" s="10" t="s">
        <v>105</v>
      </c>
      <c r="Q96" s="87"/>
      <c r="R96" s="10" t="s">
        <v>105</v>
      </c>
      <c r="S96" s="10" t="s">
        <v>105</v>
      </c>
      <c r="T96" s="87"/>
      <c r="U96" s="21">
        <v>4</v>
      </c>
      <c r="V96" s="10">
        <v>0.6</v>
      </c>
      <c r="W96" s="21">
        <v>0.2</v>
      </c>
      <c r="X96" s="10" t="s">
        <v>105</v>
      </c>
      <c r="Y96" s="21">
        <v>2</v>
      </c>
      <c r="Z96" s="21">
        <v>2.2999999999999998</v>
      </c>
      <c r="AA96" s="10">
        <v>4</v>
      </c>
      <c r="AB96" s="10" t="s">
        <v>105</v>
      </c>
      <c r="AC96" s="10" t="s">
        <v>105</v>
      </c>
      <c r="AD96" s="10" t="s">
        <v>106</v>
      </c>
      <c r="AE96" s="10" t="s">
        <v>107</v>
      </c>
      <c r="AF96" s="20">
        <f t="shared" si="17"/>
        <v>2.4210526315789473</v>
      </c>
      <c r="AG96" s="13">
        <f t="shared" si="10"/>
        <v>6</v>
      </c>
      <c r="AH96" s="7">
        <f t="shared" si="11"/>
        <v>10</v>
      </c>
      <c r="AI96" s="7">
        <f t="shared" si="12"/>
        <v>10</v>
      </c>
      <c r="AJ96" s="7">
        <f t="shared" si="13"/>
        <v>5</v>
      </c>
      <c r="AK96" s="7">
        <f t="shared" si="14"/>
        <v>6</v>
      </c>
      <c r="AL96" s="12">
        <f t="shared" si="16"/>
        <v>37</v>
      </c>
      <c r="AM96" s="14" t="str">
        <f t="shared" si="15"/>
        <v>Barrier</v>
      </c>
      <c r="AN96" s="10" t="s">
        <v>294</v>
      </c>
      <c r="AO96" s="21">
        <v>18</v>
      </c>
      <c r="AP96" s="10" t="s">
        <v>387</v>
      </c>
    </row>
    <row r="97" spans="1:42" ht="32">
      <c r="A97" s="59">
        <v>45203</v>
      </c>
      <c r="C97" s="10">
        <v>13903617</v>
      </c>
      <c r="D97" s="10" t="s">
        <v>99</v>
      </c>
      <c r="E97" s="11">
        <v>10</v>
      </c>
      <c r="F97" s="39">
        <v>578670</v>
      </c>
      <c r="G97" s="39">
        <v>5973004</v>
      </c>
      <c r="H97" s="11" t="s">
        <v>221</v>
      </c>
      <c r="I97" s="11" t="s">
        <v>222</v>
      </c>
      <c r="J97" s="22">
        <v>31.9</v>
      </c>
      <c r="K97" s="11" t="s">
        <v>223</v>
      </c>
      <c r="L97" s="10" t="s">
        <v>103</v>
      </c>
      <c r="M97" s="10" t="s">
        <v>104</v>
      </c>
      <c r="N97" s="21">
        <v>1.1000000000000001</v>
      </c>
      <c r="O97" s="21">
        <v>17</v>
      </c>
      <c r="P97" s="10" t="s">
        <v>105</v>
      </c>
      <c r="Q97" s="87"/>
      <c r="R97" s="10" t="s">
        <v>105</v>
      </c>
      <c r="S97" s="10" t="s">
        <v>105</v>
      </c>
      <c r="T97" s="87"/>
      <c r="U97" s="21">
        <v>1.3</v>
      </c>
      <c r="V97" s="10">
        <v>0.05</v>
      </c>
      <c r="W97" s="21">
        <v>0.05</v>
      </c>
      <c r="X97" s="10" t="s">
        <v>109</v>
      </c>
      <c r="Y97" s="21">
        <v>3</v>
      </c>
      <c r="Z97" s="21">
        <v>2.6</v>
      </c>
      <c r="AA97" s="10">
        <v>2</v>
      </c>
      <c r="AB97" s="10" t="s">
        <v>109</v>
      </c>
      <c r="AC97" s="10" t="s">
        <v>105</v>
      </c>
      <c r="AD97" s="10" t="s">
        <v>106</v>
      </c>
      <c r="AE97" s="10" t="s">
        <v>107</v>
      </c>
      <c r="AF97" s="20">
        <f t="shared" si="17"/>
        <v>2.3636363636363633</v>
      </c>
      <c r="AG97" s="13">
        <f t="shared" si="10"/>
        <v>3</v>
      </c>
      <c r="AH97" s="7">
        <f t="shared" si="11"/>
        <v>10</v>
      </c>
      <c r="AI97" s="7">
        <f t="shared" si="12"/>
        <v>0</v>
      </c>
      <c r="AJ97" s="7">
        <f t="shared" si="13"/>
        <v>10</v>
      </c>
      <c r="AK97" s="7">
        <f t="shared" si="14"/>
        <v>6</v>
      </c>
      <c r="AL97" s="12">
        <f t="shared" si="16"/>
        <v>29</v>
      </c>
      <c r="AM97" s="14" t="str">
        <f t="shared" si="15"/>
        <v>Barrier</v>
      </c>
      <c r="AN97" s="10" t="s">
        <v>294</v>
      </c>
      <c r="AO97" s="21">
        <v>15</v>
      </c>
      <c r="AP97" s="10" t="s">
        <v>388</v>
      </c>
    </row>
    <row r="98" spans="1:42" ht="16">
      <c r="A98" s="59">
        <v>45203</v>
      </c>
      <c r="C98" s="10">
        <v>13903184</v>
      </c>
      <c r="D98" s="10" t="s">
        <v>132</v>
      </c>
      <c r="E98" s="11">
        <v>10</v>
      </c>
      <c r="F98" s="39">
        <v>582276</v>
      </c>
      <c r="G98" s="39">
        <v>5975078</v>
      </c>
      <c r="H98" s="11" t="s">
        <v>224</v>
      </c>
      <c r="I98" s="11" t="s">
        <v>101</v>
      </c>
      <c r="K98" s="11" t="s">
        <v>102</v>
      </c>
      <c r="L98" s="10" t="s">
        <v>103</v>
      </c>
      <c r="M98" s="10" t="s">
        <v>148</v>
      </c>
      <c r="N98" s="21">
        <v>4.7</v>
      </c>
      <c r="O98" s="21">
        <v>33</v>
      </c>
      <c r="P98" s="10" t="s">
        <v>105</v>
      </c>
      <c r="Q98" s="87"/>
      <c r="R98" s="10" t="s">
        <v>105</v>
      </c>
      <c r="S98" s="10" t="s">
        <v>105</v>
      </c>
      <c r="T98" s="87"/>
      <c r="U98" s="21">
        <v>1</v>
      </c>
      <c r="V98" s="10">
        <v>1</v>
      </c>
      <c r="W98" s="21">
        <v>2.4</v>
      </c>
      <c r="X98" s="10" t="s">
        <v>105</v>
      </c>
      <c r="Y98" s="21">
        <v>1.5</v>
      </c>
      <c r="Z98" s="21">
        <v>9.4</v>
      </c>
      <c r="AA98" s="10">
        <v>1</v>
      </c>
      <c r="AB98" s="10" t="s">
        <v>105</v>
      </c>
      <c r="AC98" s="10" t="s">
        <v>105</v>
      </c>
      <c r="AD98" s="10" t="s">
        <v>106</v>
      </c>
      <c r="AE98" s="10" t="s">
        <v>119</v>
      </c>
      <c r="AF98" s="20">
        <f t="shared" si="17"/>
        <v>2</v>
      </c>
      <c r="AG98" s="13">
        <f t="shared" si="10"/>
        <v>6</v>
      </c>
      <c r="AH98" s="7">
        <f t="shared" si="11"/>
        <v>10</v>
      </c>
      <c r="AI98" s="7">
        <f t="shared" si="12"/>
        <v>10</v>
      </c>
      <c r="AJ98" s="7">
        <f t="shared" si="13"/>
        <v>5</v>
      </c>
      <c r="AK98" s="7">
        <f t="shared" si="14"/>
        <v>6</v>
      </c>
      <c r="AL98" s="12">
        <f t="shared" si="16"/>
        <v>37</v>
      </c>
      <c r="AM98" s="14" t="str">
        <f t="shared" si="15"/>
        <v>Barrier</v>
      </c>
      <c r="AN98" s="10" t="s">
        <v>294</v>
      </c>
      <c r="AO98" s="21">
        <v>15</v>
      </c>
      <c r="AP98" s="10" t="s">
        <v>389</v>
      </c>
    </row>
    <row r="99" spans="1:42" ht="32">
      <c r="A99" s="59">
        <v>45203</v>
      </c>
      <c r="C99" s="10">
        <v>13903183</v>
      </c>
      <c r="D99" s="10" t="s">
        <v>99</v>
      </c>
      <c r="E99" s="11">
        <v>10</v>
      </c>
      <c r="F99" s="39">
        <v>582694</v>
      </c>
      <c r="G99" s="39">
        <v>5975012</v>
      </c>
      <c r="H99" s="11" t="s">
        <v>221</v>
      </c>
      <c r="I99" s="11" t="s">
        <v>101</v>
      </c>
      <c r="K99" s="11" t="s">
        <v>102</v>
      </c>
      <c r="L99" s="10" t="s">
        <v>103</v>
      </c>
      <c r="M99" s="10" t="s">
        <v>104</v>
      </c>
      <c r="N99" s="21">
        <v>1.2</v>
      </c>
      <c r="O99" s="21">
        <v>30</v>
      </c>
      <c r="P99" s="10" t="s">
        <v>105</v>
      </c>
      <c r="Q99" s="87"/>
      <c r="R99" s="10" t="s">
        <v>105</v>
      </c>
      <c r="S99" s="10" t="s">
        <v>105</v>
      </c>
      <c r="T99" s="87"/>
      <c r="U99" s="21">
        <v>3.5</v>
      </c>
      <c r="V99" s="10">
        <v>0.35</v>
      </c>
      <c r="W99" s="21">
        <v>0.7</v>
      </c>
      <c r="X99" s="10" t="s">
        <v>109</v>
      </c>
      <c r="Y99" s="21">
        <v>1.5</v>
      </c>
      <c r="Z99" s="21">
        <v>2.2000000000000002</v>
      </c>
      <c r="AA99" s="10">
        <v>1.5</v>
      </c>
      <c r="AB99" s="10" t="s">
        <v>109</v>
      </c>
      <c r="AC99" s="10" t="s">
        <v>105</v>
      </c>
      <c r="AD99" s="10" t="s">
        <v>106</v>
      </c>
      <c r="AE99" s="10" t="s">
        <v>107</v>
      </c>
      <c r="AF99" s="20">
        <f t="shared" si="17"/>
        <v>1.8333333333333335</v>
      </c>
      <c r="AG99" s="13">
        <f t="shared" si="10"/>
        <v>6</v>
      </c>
      <c r="AH99" s="7">
        <f t="shared" si="11"/>
        <v>10</v>
      </c>
      <c r="AI99" s="7">
        <f t="shared" si="12"/>
        <v>10</v>
      </c>
      <c r="AJ99" s="7">
        <f t="shared" si="13"/>
        <v>5</v>
      </c>
      <c r="AK99" s="7">
        <f t="shared" si="14"/>
        <v>6</v>
      </c>
      <c r="AL99" s="12">
        <f t="shared" si="16"/>
        <v>37</v>
      </c>
      <c r="AM99" s="14" t="str">
        <f t="shared" si="15"/>
        <v>Barrier</v>
      </c>
      <c r="AN99" s="10" t="s">
        <v>294</v>
      </c>
      <c r="AO99" s="21">
        <v>16.5</v>
      </c>
      <c r="AP99" s="10" t="s">
        <v>390</v>
      </c>
    </row>
    <row r="100" spans="1:42" ht="32">
      <c r="A100" s="59">
        <v>45203</v>
      </c>
      <c r="C100" s="10">
        <v>13900192</v>
      </c>
      <c r="D100" s="10" t="s">
        <v>132</v>
      </c>
      <c r="E100" s="11">
        <v>10</v>
      </c>
      <c r="F100" s="39">
        <v>585255</v>
      </c>
      <c r="G100" s="39">
        <v>5973726</v>
      </c>
      <c r="H100" s="11" t="s">
        <v>221</v>
      </c>
      <c r="I100" s="11" t="s">
        <v>101</v>
      </c>
      <c r="K100" s="11" t="s">
        <v>102</v>
      </c>
      <c r="L100" s="10" t="s">
        <v>103</v>
      </c>
      <c r="M100" s="10" t="s">
        <v>104</v>
      </c>
      <c r="N100" s="21">
        <v>1.2</v>
      </c>
      <c r="O100" s="21">
        <v>31</v>
      </c>
      <c r="P100" s="10" t="s">
        <v>105</v>
      </c>
      <c r="Q100" s="87"/>
      <c r="R100" s="10" t="s">
        <v>105</v>
      </c>
      <c r="S100" s="10" t="s">
        <v>105</v>
      </c>
      <c r="T100" s="87"/>
      <c r="U100" s="21">
        <v>2</v>
      </c>
      <c r="V100" s="10">
        <v>1.7</v>
      </c>
      <c r="W100" s="21">
        <v>0.6</v>
      </c>
      <c r="X100" s="10" t="s">
        <v>105</v>
      </c>
      <c r="Y100" s="21">
        <v>5</v>
      </c>
      <c r="Z100" s="21">
        <v>2.2999999999999998</v>
      </c>
      <c r="AA100" s="10">
        <v>4.5</v>
      </c>
      <c r="AB100" s="10" t="s">
        <v>105</v>
      </c>
      <c r="AC100" s="10" t="s">
        <v>105</v>
      </c>
      <c r="AD100" s="10" t="s">
        <v>106</v>
      </c>
      <c r="AE100" s="10" t="s">
        <v>119</v>
      </c>
      <c r="AF100" s="20">
        <f t="shared" si="17"/>
        <v>1.9166666666666665</v>
      </c>
      <c r="AG100" s="13">
        <f t="shared" si="10"/>
        <v>6</v>
      </c>
      <c r="AH100" s="7">
        <f t="shared" si="11"/>
        <v>10</v>
      </c>
      <c r="AI100" s="7">
        <f t="shared" si="12"/>
        <v>10</v>
      </c>
      <c r="AJ100" s="7">
        <f t="shared" si="13"/>
        <v>10</v>
      </c>
      <c r="AK100" s="7">
        <f t="shared" si="14"/>
        <v>6</v>
      </c>
      <c r="AL100" s="12">
        <f t="shared" si="16"/>
        <v>42</v>
      </c>
      <c r="AM100" s="14" t="str">
        <f t="shared" si="15"/>
        <v>Barrier</v>
      </c>
      <c r="AN100" s="10" t="s">
        <v>294</v>
      </c>
      <c r="AO100" s="21">
        <v>15</v>
      </c>
      <c r="AP100" s="10" t="s">
        <v>391</v>
      </c>
    </row>
    <row r="101" spans="1:42" ht="32">
      <c r="A101" s="59">
        <v>45203</v>
      </c>
      <c r="C101" s="10">
        <v>13900261</v>
      </c>
      <c r="D101" s="10" t="s">
        <v>99</v>
      </c>
      <c r="E101" s="11">
        <v>10</v>
      </c>
      <c r="F101" s="39">
        <v>587876</v>
      </c>
      <c r="G101" s="39">
        <v>5972476</v>
      </c>
      <c r="H101" s="11" t="s">
        <v>225</v>
      </c>
      <c r="I101" s="11" t="s">
        <v>101</v>
      </c>
      <c r="K101" s="11" t="s">
        <v>102</v>
      </c>
      <c r="L101" s="10" t="s">
        <v>103</v>
      </c>
      <c r="M101" s="10" t="s">
        <v>104</v>
      </c>
      <c r="N101" s="21">
        <v>1.1000000000000001</v>
      </c>
      <c r="O101" s="21">
        <v>42</v>
      </c>
      <c r="P101" s="10" t="s">
        <v>105</v>
      </c>
      <c r="Q101" s="87"/>
      <c r="R101" s="10" t="s">
        <v>105</v>
      </c>
      <c r="S101" s="10" t="s">
        <v>105</v>
      </c>
      <c r="T101" s="87"/>
      <c r="U101" s="21">
        <v>7</v>
      </c>
      <c r="V101" s="10">
        <v>0.2</v>
      </c>
      <c r="W101" s="21">
        <v>0.7</v>
      </c>
      <c r="X101" s="10" t="s">
        <v>109</v>
      </c>
      <c r="Y101" s="21">
        <v>12</v>
      </c>
      <c r="Z101" s="21">
        <v>2.5</v>
      </c>
      <c r="AA101" s="10">
        <v>9</v>
      </c>
      <c r="AB101" s="10" t="s">
        <v>105</v>
      </c>
      <c r="AC101" s="10" t="s">
        <v>105</v>
      </c>
      <c r="AD101" s="10" t="s">
        <v>106</v>
      </c>
      <c r="AE101" s="10" t="s">
        <v>107</v>
      </c>
      <c r="AF101" s="20">
        <f t="shared" si="17"/>
        <v>2.2727272727272725</v>
      </c>
      <c r="AG101" s="13">
        <f t="shared" si="10"/>
        <v>6</v>
      </c>
      <c r="AH101" s="7">
        <f t="shared" si="11"/>
        <v>10</v>
      </c>
      <c r="AI101" s="7">
        <f t="shared" si="12"/>
        <v>5</v>
      </c>
      <c r="AJ101" s="7">
        <f t="shared" si="13"/>
        <v>10</v>
      </c>
      <c r="AK101" s="7">
        <f t="shared" si="14"/>
        <v>6</v>
      </c>
      <c r="AL101" s="12">
        <f t="shared" si="16"/>
        <v>37</v>
      </c>
      <c r="AM101" s="14" t="str">
        <f t="shared" si="15"/>
        <v>Barrier</v>
      </c>
      <c r="AN101" s="10" t="s">
        <v>295</v>
      </c>
      <c r="AO101" s="21">
        <v>4.5</v>
      </c>
      <c r="AP101" s="10" t="s">
        <v>392</v>
      </c>
    </row>
    <row r="102" spans="1:42" ht="32">
      <c r="A102" s="59">
        <v>45203</v>
      </c>
      <c r="C102" s="10">
        <v>13900260</v>
      </c>
      <c r="D102" s="10" t="s">
        <v>99</v>
      </c>
      <c r="E102" s="11">
        <v>10</v>
      </c>
      <c r="F102" s="39">
        <v>587936</v>
      </c>
      <c r="G102" s="39">
        <v>5972452</v>
      </c>
      <c r="H102" s="11" t="s">
        <v>225</v>
      </c>
      <c r="I102" s="11" t="s">
        <v>101</v>
      </c>
      <c r="K102" s="11" t="s">
        <v>102</v>
      </c>
      <c r="L102" s="10" t="s">
        <v>103</v>
      </c>
      <c r="M102" s="10" t="s">
        <v>104</v>
      </c>
      <c r="N102" s="21">
        <v>1.2</v>
      </c>
      <c r="O102" s="21">
        <v>38</v>
      </c>
      <c r="P102" s="10" t="s">
        <v>105</v>
      </c>
      <c r="Q102" s="87"/>
      <c r="R102" s="10" t="s">
        <v>105</v>
      </c>
      <c r="S102" s="10" t="s">
        <v>105</v>
      </c>
      <c r="T102" s="87"/>
      <c r="U102" s="21">
        <v>8</v>
      </c>
      <c r="V102" s="10">
        <v>1.1499999999999999</v>
      </c>
      <c r="W102" s="21">
        <v>0.8</v>
      </c>
      <c r="X102" s="10" t="s">
        <v>109</v>
      </c>
      <c r="Y102" s="21">
        <v>7</v>
      </c>
      <c r="Z102" s="21">
        <v>5.2</v>
      </c>
      <c r="AA102" s="10">
        <v>9</v>
      </c>
      <c r="AB102" s="10" t="s">
        <v>105</v>
      </c>
      <c r="AC102" s="10" t="s">
        <v>105</v>
      </c>
      <c r="AD102" s="10" t="s">
        <v>106</v>
      </c>
      <c r="AE102" s="10" t="s">
        <v>119</v>
      </c>
      <c r="AF102" s="20">
        <f t="shared" si="17"/>
        <v>4.3333333333333339</v>
      </c>
      <c r="AG102" s="13">
        <f t="shared" si="10"/>
        <v>6</v>
      </c>
      <c r="AH102" s="7">
        <f t="shared" si="11"/>
        <v>10</v>
      </c>
      <c r="AI102" s="7">
        <f t="shared" si="12"/>
        <v>10</v>
      </c>
      <c r="AJ102" s="7">
        <f t="shared" si="13"/>
        <v>10</v>
      </c>
      <c r="AK102" s="7">
        <f t="shared" si="14"/>
        <v>6</v>
      </c>
      <c r="AL102" s="12">
        <f t="shared" si="16"/>
        <v>42</v>
      </c>
      <c r="AM102" s="14" t="str">
        <f t="shared" si="15"/>
        <v>Barrier</v>
      </c>
      <c r="AN102" s="10" t="s">
        <v>294</v>
      </c>
      <c r="AO102" s="21">
        <v>30</v>
      </c>
      <c r="AP102" s="10" t="s">
        <v>393</v>
      </c>
    </row>
    <row r="103" spans="1:42" ht="32">
      <c r="A103" s="59">
        <v>45203</v>
      </c>
      <c r="C103" s="10">
        <v>13900270</v>
      </c>
      <c r="D103" s="10" t="s">
        <v>132</v>
      </c>
      <c r="E103" s="11">
        <v>10</v>
      </c>
      <c r="F103" s="39">
        <v>595602</v>
      </c>
      <c r="G103" s="39">
        <v>5969818</v>
      </c>
      <c r="H103" s="11" t="s">
        <v>225</v>
      </c>
      <c r="I103" s="11" t="s">
        <v>101</v>
      </c>
      <c r="K103" s="11" t="s">
        <v>102</v>
      </c>
      <c r="L103" s="10" t="s">
        <v>103</v>
      </c>
      <c r="M103" s="10" t="s">
        <v>104</v>
      </c>
      <c r="N103" s="21">
        <v>1.2</v>
      </c>
      <c r="O103" s="21">
        <v>56</v>
      </c>
      <c r="P103" s="10" t="s">
        <v>105</v>
      </c>
      <c r="Q103" s="87"/>
      <c r="R103" s="10" t="s">
        <v>105</v>
      </c>
      <c r="S103" s="10" t="s">
        <v>105</v>
      </c>
      <c r="T103" s="87"/>
      <c r="U103" s="21">
        <v>6</v>
      </c>
      <c r="V103" s="10">
        <v>0.9</v>
      </c>
      <c r="W103" s="21">
        <v>0.4</v>
      </c>
      <c r="X103" s="10" t="s">
        <v>105</v>
      </c>
      <c r="Y103" s="21">
        <v>3</v>
      </c>
      <c r="Z103" s="21">
        <v>3.7</v>
      </c>
      <c r="AA103" s="10">
        <v>4</v>
      </c>
      <c r="AB103" s="10" t="s">
        <v>109</v>
      </c>
      <c r="AC103" s="10" t="s">
        <v>105</v>
      </c>
      <c r="AD103" s="10" t="s">
        <v>106</v>
      </c>
      <c r="AE103" s="10" t="s">
        <v>107</v>
      </c>
      <c r="AF103" s="20">
        <f t="shared" si="17"/>
        <v>3.0833333333333335</v>
      </c>
      <c r="AG103" s="13">
        <f t="shared" si="10"/>
        <v>6</v>
      </c>
      <c r="AH103" s="7">
        <f t="shared" si="11"/>
        <v>10</v>
      </c>
      <c r="AI103" s="7">
        <f t="shared" si="12"/>
        <v>10</v>
      </c>
      <c r="AJ103" s="7">
        <f t="shared" si="13"/>
        <v>10</v>
      </c>
      <c r="AK103" s="7">
        <f t="shared" si="14"/>
        <v>6</v>
      </c>
      <c r="AL103" s="12">
        <f t="shared" si="16"/>
        <v>42</v>
      </c>
      <c r="AM103" s="14" t="str">
        <f t="shared" si="15"/>
        <v>Barrier</v>
      </c>
      <c r="AN103" s="10" t="s">
        <v>294</v>
      </c>
      <c r="AO103" s="21">
        <v>24</v>
      </c>
      <c r="AP103" s="10" t="s">
        <v>394</v>
      </c>
    </row>
    <row r="104" spans="1:42" ht="16">
      <c r="A104" s="59">
        <v>45203</v>
      </c>
      <c r="C104" s="10">
        <v>13900196</v>
      </c>
      <c r="D104" s="10" t="s">
        <v>99</v>
      </c>
      <c r="E104" s="11">
        <v>10</v>
      </c>
      <c r="F104" s="39">
        <v>596934</v>
      </c>
      <c r="G104" s="39">
        <v>5969359</v>
      </c>
      <c r="H104" s="11" t="s">
        <v>226</v>
      </c>
      <c r="I104" s="11" t="s">
        <v>101</v>
      </c>
      <c r="K104" s="11" t="s">
        <v>102</v>
      </c>
      <c r="L104" s="10" t="s">
        <v>103</v>
      </c>
      <c r="M104" s="10" t="s">
        <v>148</v>
      </c>
      <c r="N104" s="21">
        <v>5</v>
      </c>
      <c r="O104" s="21">
        <v>31</v>
      </c>
      <c r="P104" s="10" t="s">
        <v>105</v>
      </c>
      <c r="Q104" s="87"/>
      <c r="R104" s="10" t="s">
        <v>105</v>
      </c>
      <c r="S104" s="10" t="s">
        <v>105</v>
      </c>
      <c r="T104" s="87"/>
      <c r="U104" s="21">
        <v>2</v>
      </c>
      <c r="V104" s="10">
        <v>0.5</v>
      </c>
      <c r="W104" s="21">
        <v>1.4</v>
      </c>
      <c r="X104" s="10" t="s">
        <v>105</v>
      </c>
      <c r="Y104" s="21">
        <v>1</v>
      </c>
      <c r="Z104" s="21">
        <v>11.6</v>
      </c>
      <c r="AA104" s="10">
        <v>1</v>
      </c>
      <c r="AB104" s="10" t="s">
        <v>105</v>
      </c>
      <c r="AC104" s="10" t="s">
        <v>105</v>
      </c>
      <c r="AD104" s="10" t="s">
        <v>106</v>
      </c>
      <c r="AE104" s="10" t="s">
        <v>119</v>
      </c>
      <c r="AF104" s="20">
        <f t="shared" si="17"/>
        <v>2.3199999999999998</v>
      </c>
      <c r="AG104" s="13">
        <f t="shared" si="10"/>
        <v>6</v>
      </c>
      <c r="AH104" s="7">
        <f t="shared" si="11"/>
        <v>10</v>
      </c>
      <c r="AI104" s="7">
        <f t="shared" si="12"/>
        <v>10</v>
      </c>
      <c r="AJ104" s="7">
        <f t="shared" si="13"/>
        <v>5</v>
      </c>
      <c r="AK104" s="7">
        <f t="shared" si="14"/>
        <v>6</v>
      </c>
      <c r="AL104" s="12">
        <f t="shared" si="16"/>
        <v>37</v>
      </c>
      <c r="AM104" s="14" t="str">
        <f t="shared" si="15"/>
        <v>Barrier</v>
      </c>
      <c r="AN104" s="10" t="s">
        <v>294</v>
      </c>
      <c r="AO104" s="21">
        <v>16.5</v>
      </c>
      <c r="AP104" s="10" t="s">
        <v>395</v>
      </c>
    </row>
    <row r="105" spans="1:42" ht="16">
      <c r="A105" s="59">
        <v>45203</v>
      </c>
      <c r="C105" s="10">
        <v>13900198</v>
      </c>
      <c r="D105" s="10" t="s">
        <v>132</v>
      </c>
      <c r="E105" s="11">
        <v>10</v>
      </c>
      <c r="F105" s="39">
        <v>601647</v>
      </c>
      <c r="G105" s="39">
        <v>5967974</v>
      </c>
      <c r="H105" s="11" t="s">
        <v>227</v>
      </c>
      <c r="I105" s="11" t="s">
        <v>101</v>
      </c>
      <c r="K105" s="11" t="s">
        <v>102</v>
      </c>
      <c r="L105" s="10" t="s">
        <v>103</v>
      </c>
      <c r="M105" s="10" t="s">
        <v>104</v>
      </c>
      <c r="N105" s="21">
        <v>1.2</v>
      </c>
      <c r="O105" s="21">
        <v>82</v>
      </c>
      <c r="P105" s="10" t="s">
        <v>105</v>
      </c>
      <c r="Q105" s="87"/>
      <c r="R105" s="10" t="s">
        <v>105</v>
      </c>
      <c r="S105" s="10" t="s">
        <v>105</v>
      </c>
      <c r="T105" s="87"/>
      <c r="U105" s="21">
        <v>8</v>
      </c>
      <c r="V105" s="10">
        <v>2.8</v>
      </c>
      <c r="W105" s="21">
        <v>2</v>
      </c>
      <c r="X105" s="10" t="s">
        <v>105</v>
      </c>
      <c r="Y105" s="21">
        <v>2</v>
      </c>
      <c r="Z105" s="21">
        <v>2.4</v>
      </c>
      <c r="AA105" s="10">
        <v>3</v>
      </c>
      <c r="AB105" s="10" t="s">
        <v>109</v>
      </c>
      <c r="AC105" s="10" t="s">
        <v>105</v>
      </c>
      <c r="AD105" s="10" t="s">
        <v>106</v>
      </c>
      <c r="AE105" s="10" t="s">
        <v>107</v>
      </c>
      <c r="AF105" s="20">
        <f t="shared" si="17"/>
        <v>2</v>
      </c>
      <c r="AG105" s="13">
        <f t="shared" si="10"/>
        <v>6</v>
      </c>
      <c r="AH105" s="7">
        <f t="shared" si="11"/>
        <v>10</v>
      </c>
      <c r="AI105" s="7">
        <f t="shared" si="12"/>
        <v>10</v>
      </c>
      <c r="AJ105" s="7">
        <f t="shared" si="13"/>
        <v>5</v>
      </c>
      <c r="AK105" s="7">
        <f t="shared" si="14"/>
        <v>6</v>
      </c>
      <c r="AL105" s="12">
        <f t="shared" si="16"/>
        <v>37</v>
      </c>
      <c r="AM105" s="14" t="str">
        <f t="shared" si="15"/>
        <v>Barrier</v>
      </c>
      <c r="AN105" s="10" t="s">
        <v>295</v>
      </c>
      <c r="AO105" s="21">
        <v>4.5</v>
      </c>
      <c r="AP105" s="10" t="s">
        <v>396</v>
      </c>
    </row>
    <row r="106" spans="1:42" ht="32">
      <c r="A106" s="59">
        <v>45203</v>
      </c>
      <c r="C106" s="10">
        <v>13903179</v>
      </c>
      <c r="D106" s="10" t="s">
        <v>99</v>
      </c>
      <c r="E106" s="11">
        <v>10</v>
      </c>
      <c r="F106" s="39">
        <v>610990</v>
      </c>
      <c r="G106" s="39">
        <v>5966577</v>
      </c>
      <c r="H106" s="11" t="s">
        <v>210</v>
      </c>
      <c r="I106" s="11" t="s">
        <v>228</v>
      </c>
      <c r="K106" s="11" t="s">
        <v>102</v>
      </c>
      <c r="L106" s="10" t="s">
        <v>103</v>
      </c>
      <c r="M106" s="10" t="s">
        <v>104</v>
      </c>
      <c r="N106" s="21">
        <v>0.6</v>
      </c>
      <c r="O106" s="21">
        <v>20</v>
      </c>
      <c r="P106" s="10" t="s">
        <v>105</v>
      </c>
      <c r="Q106" s="87"/>
      <c r="R106" s="10" t="s">
        <v>105</v>
      </c>
      <c r="S106" s="10" t="s">
        <v>105</v>
      </c>
      <c r="T106" s="87"/>
      <c r="U106" s="21">
        <v>3</v>
      </c>
      <c r="V106" s="10">
        <v>0.2</v>
      </c>
      <c r="W106" s="21">
        <v>0.2</v>
      </c>
      <c r="X106" s="10" t="s">
        <v>109</v>
      </c>
      <c r="Y106" s="21">
        <v>3</v>
      </c>
      <c r="Z106" s="21">
        <v>1.6</v>
      </c>
      <c r="AA106" s="10">
        <v>0.25</v>
      </c>
      <c r="AB106" s="10" t="s">
        <v>109</v>
      </c>
      <c r="AC106" s="10" t="s">
        <v>105</v>
      </c>
      <c r="AD106" s="10" t="s">
        <v>106</v>
      </c>
      <c r="AE106" s="10" t="s">
        <v>107</v>
      </c>
      <c r="AF106" s="20">
        <f t="shared" si="17"/>
        <v>2.666666666666667</v>
      </c>
      <c r="AG106" s="13">
        <f t="shared" si="10"/>
        <v>3</v>
      </c>
      <c r="AH106" s="7">
        <f t="shared" si="11"/>
        <v>10</v>
      </c>
      <c r="AI106" s="7">
        <f t="shared" si="12"/>
        <v>5</v>
      </c>
      <c r="AJ106" s="7">
        <f t="shared" si="13"/>
        <v>10</v>
      </c>
      <c r="AK106" s="7">
        <f t="shared" si="14"/>
        <v>6</v>
      </c>
      <c r="AL106" s="12">
        <f t="shared" si="16"/>
        <v>34</v>
      </c>
      <c r="AM106" s="14" t="str">
        <f t="shared" si="15"/>
        <v>Barrier</v>
      </c>
      <c r="AN106" s="10" t="s">
        <v>295</v>
      </c>
      <c r="AO106" s="21">
        <v>3</v>
      </c>
      <c r="AP106" s="10" t="s">
        <v>397</v>
      </c>
    </row>
    <row r="107" spans="1:42" ht="32">
      <c r="A107" s="59">
        <v>45203</v>
      </c>
      <c r="C107" s="10">
        <v>13900200</v>
      </c>
      <c r="D107" s="10" t="s">
        <v>132</v>
      </c>
      <c r="E107" s="11">
        <v>10</v>
      </c>
      <c r="F107" s="39">
        <v>604596</v>
      </c>
      <c r="G107" s="39">
        <v>5966257</v>
      </c>
      <c r="H107" s="11" t="s">
        <v>229</v>
      </c>
      <c r="I107" s="11" t="s">
        <v>101</v>
      </c>
      <c r="K107" s="11" t="s">
        <v>102</v>
      </c>
      <c r="L107" s="10" t="s">
        <v>103</v>
      </c>
      <c r="M107" s="10" t="s">
        <v>104</v>
      </c>
      <c r="N107" s="21">
        <v>0.6</v>
      </c>
      <c r="O107" s="21">
        <v>36</v>
      </c>
      <c r="P107" s="10" t="s">
        <v>105</v>
      </c>
      <c r="Q107" s="87"/>
      <c r="R107" s="10" t="s">
        <v>105</v>
      </c>
      <c r="S107" s="10" t="s">
        <v>105</v>
      </c>
      <c r="T107" s="87"/>
      <c r="U107" s="21">
        <v>4</v>
      </c>
      <c r="V107" s="10">
        <v>0.2</v>
      </c>
      <c r="W107" s="21">
        <v>0</v>
      </c>
      <c r="X107" s="10" t="s">
        <v>105</v>
      </c>
      <c r="Y107" s="21">
        <v>1.5</v>
      </c>
      <c r="Z107" s="21">
        <v>1.1000000000000001</v>
      </c>
      <c r="AA107" s="10">
        <v>2</v>
      </c>
      <c r="AB107" s="10" t="s">
        <v>105</v>
      </c>
      <c r="AC107" s="10" t="s">
        <v>105</v>
      </c>
      <c r="AD107" s="10" t="s">
        <v>106</v>
      </c>
      <c r="AE107" s="10" t="s">
        <v>114</v>
      </c>
      <c r="AF107" s="20">
        <f t="shared" si="17"/>
        <v>1.8333333333333335</v>
      </c>
      <c r="AG107" s="13">
        <f t="shared" si="10"/>
        <v>6</v>
      </c>
      <c r="AH107" s="7">
        <f t="shared" si="11"/>
        <v>10</v>
      </c>
      <c r="AI107" s="7">
        <f t="shared" si="12"/>
        <v>5</v>
      </c>
      <c r="AJ107" s="7">
        <f t="shared" si="13"/>
        <v>5</v>
      </c>
      <c r="AK107" s="7">
        <f t="shared" si="14"/>
        <v>6</v>
      </c>
      <c r="AL107" s="12">
        <f t="shared" si="16"/>
        <v>32</v>
      </c>
      <c r="AM107" s="14" t="str">
        <f t="shared" si="15"/>
        <v>Barrier</v>
      </c>
      <c r="AN107" s="10" t="s">
        <v>295</v>
      </c>
      <c r="AO107" s="21">
        <v>3</v>
      </c>
      <c r="AP107" s="10" t="s">
        <v>398</v>
      </c>
    </row>
    <row r="108" spans="1:42" ht="32">
      <c r="A108" s="59">
        <v>45203</v>
      </c>
      <c r="C108" s="10">
        <v>13900053</v>
      </c>
      <c r="D108" s="10" t="s">
        <v>99</v>
      </c>
      <c r="E108" s="11">
        <v>10</v>
      </c>
      <c r="F108" s="39">
        <v>608807</v>
      </c>
      <c r="G108" s="39">
        <v>5966506</v>
      </c>
      <c r="H108" s="11" t="s">
        <v>210</v>
      </c>
      <c r="I108" s="11" t="s">
        <v>228</v>
      </c>
      <c r="K108" s="11" t="s">
        <v>102</v>
      </c>
      <c r="L108" s="10" t="s">
        <v>103</v>
      </c>
      <c r="M108" s="10" t="s">
        <v>104</v>
      </c>
      <c r="N108" s="21">
        <v>0.6</v>
      </c>
      <c r="O108" s="21">
        <v>10</v>
      </c>
      <c r="P108" s="10" t="s">
        <v>105</v>
      </c>
      <c r="Q108" s="87"/>
      <c r="R108" s="10" t="s">
        <v>105</v>
      </c>
      <c r="S108" s="10" t="s">
        <v>105</v>
      </c>
      <c r="T108" s="87"/>
      <c r="U108" s="21">
        <v>1</v>
      </c>
      <c r="V108" s="10">
        <v>0</v>
      </c>
      <c r="W108" s="21">
        <v>0</v>
      </c>
      <c r="X108" s="10" t="s">
        <v>105</v>
      </c>
      <c r="Y108" s="21">
        <v>0</v>
      </c>
      <c r="Z108" s="21">
        <v>2</v>
      </c>
      <c r="AA108" s="10">
        <v>0</v>
      </c>
      <c r="AB108" s="10" t="s">
        <v>109</v>
      </c>
      <c r="AC108" s="10" t="s">
        <v>105</v>
      </c>
      <c r="AD108" s="10" t="s">
        <v>106</v>
      </c>
      <c r="AE108" s="10" t="s">
        <v>107</v>
      </c>
      <c r="AF108" s="20">
        <f t="shared" si="17"/>
        <v>3.3333333333333335</v>
      </c>
      <c r="AG108" s="13">
        <f t="shared" si="10"/>
        <v>0</v>
      </c>
      <c r="AH108" s="7">
        <f t="shared" si="11"/>
        <v>10</v>
      </c>
      <c r="AI108" s="7">
        <f t="shared" si="12"/>
        <v>0</v>
      </c>
      <c r="AJ108" s="7">
        <f t="shared" si="13"/>
        <v>0</v>
      </c>
      <c r="AK108" s="7">
        <f t="shared" si="14"/>
        <v>6</v>
      </c>
      <c r="AL108" s="12">
        <f t="shared" si="16"/>
        <v>16</v>
      </c>
      <c r="AM108" s="14" t="str">
        <f t="shared" si="15"/>
        <v>Potential</v>
      </c>
      <c r="AN108" s="10" t="s">
        <v>294</v>
      </c>
      <c r="AO108" s="21">
        <v>15</v>
      </c>
      <c r="AP108" s="10" t="s">
        <v>399</v>
      </c>
    </row>
    <row r="109" spans="1:42" ht="16">
      <c r="A109" s="59">
        <v>45203</v>
      </c>
      <c r="C109" s="10">
        <v>13900201</v>
      </c>
      <c r="D109" s="10" t="s">
        <v>132</v>
      </c>
      <c r="E109" s="11">
        <v>10</v>
      </c>
      <c r="F109" s="39">
        <v>606374</v>
      </c>
      <c r="G109" s="39">
        <v>5965784</v>
      </c>
      <c r="H109" s="11" t="s">
        <v>230</v>
      </c>
      <c r="I109" s="11" t="s">
        <v>101</v>
      </c>
      <c r="K109" s="11" t="s">
        <v>102</v>
      </c>
      <c r="L109" s="10" t="s">
        <v>103</v>
      </c>
      <c r="M109" s="10" t="s">
        <v>104</v>
      </c>
      <c r="N109" s="21">
        <v>2.4</v>
      </c>
      <c r="O109" s="21">
        <v>56</v>
      </c>
      <c r="P109" s="10" t="s">
        <v>105</v>
      </c>
      <c r="Q109" s="87"/>
      <c r="R109" s="10" t="s">
        <v>105</v>
      </c>
      <c r="S109" s="10" t="s">
        <v>105</v>
      </c>
      <c r="T109" s="87"/>
      <c r="U109" s="21">
        <v>3.5</v>
      </c>
      <c r="V109" s="10">
        <v>0.6</v>
      </c>
      <c r="W109" s="21">
        <v>0.7</v>
      </c>
      <c r="X109" s="10" t="s">
        <v>105</v>
      </c>
      <c r="Y109" s="21">
        <v>2</v>
      </c>
      <c r="Z109" s="21">
        <v>6.4</v>
      </c>
      <c r="AA109" s="10">
        <v>2</v>
      </c>
      <c r="AB109" s="10" t="s">
        <v>109</v>
      </c>
      <c r="AC109" s="10" t="s">
        <v>105</v>
      </c>
      <c r="AD109" s="10" t="s">
        <v>106</v>
      </c>
      <c r="AE109" s="10" t="s">
        <v>119</v>
      </c>
      <c r="AF109" s="20">
        <f t="shared" si="17"/>
        <v>2.666666666666667</v>
      </c>
      <c r="AG109" s="13">
        <f t="shared" si="10"/>
        <v>6</v>
      </c>
      <c r="AH109" s="7">
        <f t="shared" si="11"/>
        <v>10</v>
      </c>
      <c r="AI109" s="7">
        <f t="shared" si="12"/>
        <v>10</v>
      </c>
      <c r="AJ109" s="7">
        <f t="shared" si="13"/>
        <v>5</v>
      </c>
      <c r="AK109" s="7">
        <f t="shared" si="14"/>
        <v>6</v>
      </c>
      <c r="AL109" s="12">
        <f t="shared" si="16"/>
        <v>37</v>
      </c>
      <c r="AM109" s="14" t="str">
        <f t="shared" si="15"/>
        <v>Barrier</v>
      </c>
      <c r="AN109" s="10" t="s">
        <v>294</v>
      </c>
      <c r="AO109" s="21">
        <v>16.5</v>
      </c>
      <c r="AP109" s="10" t="s">
        <v>400</v>
      </c>
    </row>
    <row r="110" spans="1:42" ht="16">
      <c r="A110" s="59">
        <v>45203</v>
      </c>
      <c r="C110" s="10">
        <v>13900157</v>
      </c>
      <c r="D110" s="10" t="s">
        <v>99</v>
      </c>
      <c r="E110" s="11">
        <v>10</v>
      </c>
      <c r="F110" s="39">
        <v>645733</v>
      </c>
      <c r="G110" s="39">
        <v>5940526</v>
      </c>
      <c r="H110" s="11" t="s">
        <v>231</v>
      </c>
      <c r="I110" s="11" t="s">
        <v>101</v>
      </c>
      <c r="J110" s="22">
        <v>825</v>
      </c>
      <c r="K110" s="11" t="s">
        <v>102</v>
      </c>
      <c r="L110" s="10" t="s">
        <v>103</v>
      </c>
      <c r="M110" s="10" t="s">
        <v>104</v>
      </c>
      <c r="N110" s="21">
        <v>2.4</v>
      </c>
      <c r="O110" s="21">
        <v>45</v>
      </c>
      <c r="P110" s="10" t="s">
        <v>105</v>
      </c>
      <c r="Q110" s="87"/>
      <c r="R110" s="10" t="s">
        <v>105</v>
      </c>
      <c r="S110" s="10" t="s">
        <v>105</v>
      </c>
      <c r="T110" s="87"/>
      <c r="U110" s="21">
        <v>9.9</v>
      </c>
      <c r="V110" s="10">
        <v>1</v>
      </c>
      <c r="W110" s="21">
        <v>0.1</v>
      </c>
      <c r="X110" s="10" t="s">
        <v>109</v>
      </c>
      <c r="Y110" s="21">
        <v>2</v>
      </c>
      <c r="Z110" s="21">
        <v>6.7</v>
      </c>
      <c r="AA110" s="10">
        <v>0</v>
      </c>
      <c r="AB110" s="10" t="s">
        <v>109</v>
      </c>
      <c r="AC110" s="10" t="s">
        <v>105</v>
      </c>
      <c r="AD110" s="10" t="s">
        <v>232</v>
      </c>
      <c r="AE110" s="10" t="s">
        <v>119</v>
      </c>
      <c r="AF110" s="20">
        <f t="shared" si="17"/>
        <v>2.791666666666667</v>
      </c>
      <c r="AG110" s="13">
        <f t="shared" si="10"/>
        <v>6</v>
      </c>
      <c r="AH110" s="7">
        <f t="shared" si="11"/>
        <v>10</v>
      </c>
      <c r="AI110" s="7">
        <f t="shared" si="12"/>
        <v>10</v>
      </c>
      <c r="AJ110" s="7">
        <f t="shared" si="13"/>
        <v>5</v>
      </c>
      <c r="AK110" s="7">
        <f t="shared" si="14"/>
        <v>6</v>
      </c>
      <c r="AL110" s="12">
        <f t="shared" si="16"/>
        <v>37</v>
      </c>
      <c r="AM110" s="14" t="str">
        <f t="shared" si="15"/>
        <v>Barrier</v>
      </c>
      <c r="AN110" s="10" t="s">
        <v>294</v>
      </c>
      <c r="AO110" s="21">
        <v>35.5</v>
      </c>
      <c r="AP110" s="10" t="s">
        <v>401</v>
      </c>
    </row>
    <row r="111" spans="1:42" ht="32">
      <c r="A111" s="59">
        <v>45203</v>
      </c>
      <c r="C111" s="10">
        <v>13900019</v>
      </c>
      <c r="D111" s="10" t="s">
        <v>132</v>
      </c>
      <c r="E111" s="11">
        <v>10</v>
      </c>
      <c r="F111" s="39">
        <v>660595</v>
      </c>
      <c r="G111" s="39">
        <v>5929526</v>
      </c>
      <c r="H111" s="11" t="s">
        <v>210</v>
      </c>
      <c r="I111" s="11" t="s">
        <v>101</v>
      </c>
      <c r="K111" s="11" t="s">
        <v>102</v>
      </c>
      <c r="L111" s="10" t="s">
        <v>103</v>
      </c>
      <c r="M111" s="10" t="s">
        <v>104</v>
      </c>
      <c r="N111" s="21">
        <v>1.3</v>
      </c>
      <c r="O111" s="21">
        <v>27</v>
      </c>
      <c r="P111" s="10" t="s">
        <v>105</v>
      </c>
      <c r="Q111" s="87"/>
      <c r="R111" s="10" t="s">
        <v>105</v>
      </c>
      <c r="S111" s="10" t="s">
        <v>105</v>
      </c>
      <c r="T111" s="87"/>
      <c r="U111" s="21">
        <v>2</v>
      </c>
      <c r="V111" s="10">
        <v>0.3</v>
      </c>
      <c r="W111" s="21">
        <v>0</v>
      </c>
      <c r="X111" s="10" t="s">
        <v>105</v>
      </c>
      <c r="Y111" s="21">
        <v>1</v>
      </c>
      <c r="Z111" s="21">
        <v>3.9</v>
      </c>
      <c r="AA111" s="10">
        <v>3.5</v>
      </c>
      <c r="AB111" s="10" t="s">
        <v>105</v>
      </c>
      <c r="AC111" s="10" t="s">
        <v>105</v>
      </c>
      <c r="AD111" s="10" t="s">
        <v>106</v>
      </c>
      <c r="AE111" s="10" t="s">
        <v>119</v>
      </c>
      <c r="AF111" s="20">
        <f t="shared" si="17"/>
        <v>3</v>
      </c>
      <c r="AG111" s="13">
        <f t="shared" si="10"/>
        <v>3</v>
      </c>
      <c r="AH111" s="7">
        <f t="shared" si="11"/>
        <v>10</v>
      </c>
      <c r="AI111" s="7">
        <f t="shared" si="12"/>
        <v>10</v>
      </c>
      <c r="AJ111" s="7">
        <f t="shared" si="13"/>
        <v>5</v>
      </c>
      <c r="AK111" s="7">
        <f t="shared" si="14"/>
        <v>6</v>
      </c>
      <c r="AL111" s="12">
        <f t="shared" si="16"/>
        <v>34</v>
      </c>
      <c r="AM111" s="14" t="str">
        <f t="shared" si="15"/>
        <v>Barrier</v>
      </c>
      <c r="AN111" s="10" t="s">
        <v>294</v>
      </c>
      <c r="AO111" s="21">
        <v>15</v>
      </c>
      <c r="AP111" s="10" t="s">
        <v>402</v>
      </c>
    </row>
    <row r="112" spans="1:42" ht="16">
      <c r="A112" s="59">
        <v>45203</v>
      </c>
      <c r="C112" s="10">
        <v>13900066</v>
      </c>
      <c r="D112" s="10" t="s">
        <v>99</v>
      </c>
      <c r="E112" s="11">
        <v>10</v>
      </c>
      <c r="F112" s="39">
        <v>675449</v>
      </c>
      <c r="G112" s="39">
        <v>5917446</v>
      </c>
      <c r="H112" s="11" t="s">
        <v>233</v>
      </c>
      <c r="I112" s="11" t="s">
        <v>101</v>
      </c>
      <c r="K112" s="11" t="s">
        <v>102</v>
      </c>
      <c r="L112" s="10" t="s">
        <v>103</v>
      </c>
      <c r="M112" s="10" t="s">
        <v>104</v>
      </c>
      <c r="N112" s="21">
        <v>5</v>
      </c>
      <c r="O112" s="21">
        <v>90</v>
      </c>
      <c r="P112" s="10" t="s">
        <v>105</v>
      </c>
      <c r="Q112" s="87"/>
      <c r="R112" s="10" t="s">
        <v>105</v>
      </c>
      <c r="S112" s="10" t="s">
        <v>105</v>
      </c>
      <c r="T112" s="87"/>
      <c r="U112" s="21">
        <v>9.9</v>
      </c>
      <c r="V112" s="10">
        <v>0.75</v>
      </c>
      <c r="W112" s="21">
        <v>1.8</v>
      </c>
      <c r="X112" s="10" t="s">
        <v>109</v>
      </c>
      <c r="Y112" s="21">
        <v>4</v>
      </c>
      <c r="Z112" s="21">
        <v>6.4</v>
      </c>
      <c r="AA112" s="10">
        <v>3.5</v>
      </c>
      <c r="AB112" s="10" t="s">
        <v>105</v>
      </c>
      <c r="AC112" s="10" t="s">
        <v>105</v>
      </c>
      <c r="AD112" s="10" t="s">
        <v>106</v>
      </c>
      <c r="AE112" s="10" t="s">
        <v>119</v>
      </c>
      <c r="AF112" s="20">
        <f t="shared" si="17"/>
        <v>1.28</v>
      </c>
      <c r="AG112" s="13">
        <f t="shared" si="10"/>
        <v>6</v>
      </c>
      <c r="AH112" s="7">
        <f t="shared" si="11"/>
        <v>10</v>
      </c>
      <c r="AI112" s="7">
        <f t="shared" si="12"/>
        <v>10</v>
      </c>
      <c r="AJ112" s="7">
        <f t="shared" si="13"/>
        <v>10</v>
      </c>
      <c r="AK112" s="7">
        <f t="shared" si="14"/>
        <v>3</v>
      </c>
      <c r="AL112" s="12">
        <f t="shared" si="16"/>
        <v>39</v>
      </c>
      <c r="AM112" s="14" t="str">
        <f t="shared" si="15"/>
        <v>Barrier</v>
      </c>
      <c r="AN112" s="10" t="s">
        <v>294</v>
      </c>
      <c r="AO112" s="21">
        <v>35.5</v>
      </c>
      <c r="AP112" s="10" t="s">
        <v>403</v>
      </c>
    </row>
    <row r="113" spans="1:42" ht="16">
      <c r="A113" s="59">
        <v>45203</v>
      </c>
      <c r="C113" s="10">
        <v>13900064</v>
      </c>
      <c r="D113" s="10" t="s">
        <v>132</v>
      </c>
      <c r="E113" s="11">
        <v>10</v>
      </c>
      <c r="F113" s="39">
        <v>677526</v>
      </c>
      <c r="G113" s="39">
        <v>5916242</v>
      </c>
      <c r="H113" s="11" t="s">
        <v>139</v>
      </c>
      <c r="I113" s="11" t="s">
        <v>101</v>
      </c>
      <c r="K113" s="11" t="s">
        <v>102</v>
      </c>
      <c r="L113" s="10" t="s">
        <v>103</v>
      </c>
      <c r="M113" s="10" t="s">
        <v>104</v>
      </c>
      <c r="N113" s="21">
        <v>4.0999999999999996</v>
      </c>
      <c r="O113" s="21">
        <v>52</v>
      </c>
      <c r="P113" s="10" t="s">
        <v>105</v>
      </c>
      <c r="Q113" s="87"/>
      <c r="R113" s="10" t="s">
        <v>105</v>
      </c>
      <c r="S113" s="10" t="s">
        <v>105</v>
      </c>
      <c r="T113" s="87"/>
      <c r="U113" s="21">
        <v>9.9</v>
      </c>
      <c r="V113" s="10">
        <v>2.4</v>
      </c>
      <c r="W113" s="21">
        <v>1.2</v>
      </c>
      <c r="X113" s="10" t="s">
        <v>105</v>
      </c>
      <c r="Y113" s="21">
        <v>2.5</v>
      </c>
      <c r="Z113" s="21">
        <v>6.2</v>
      </c>
      <c r="AA113" s="10">
        <v>4</v>
      </c>
      <c r="AB113" s="10" t="s">
        <v>105</v>
      </c>
      <c r="AC113" s="10" t="s">
        <v>105</v>
      </c>
      <c r="AD113" s="10" t="s">
        <v>106</v>
      </c>
      <c r="AE113" s="10" t="s">
        <v>119</v>
      </c>
      <c r="AF113" s="20">
        <f t="shared" si="17"/>
        <v>1.5121951219512197</v>
      </c>
      <c r="AG113" s="13">
        <f t="shared" si="10"/>
        <v>6</v>
      </c>
      <c r="AH113" s="7">
        <f t="shared" si="11"/>
        <v>10</v>
      </c>
      <c r="AI113" s="7">
        <f t="shared" si="12"/>
        <v>10</v>
      </c>
      <c r="AJ113" s="7">
        <f t="shared" si="13"/>
        <v>5</v>
      </c>
      <c r="AK113" s="7">
        <f t="shared" si="14"/>
        <v>6</v>
      </c>
      <c r="AL113" s="12">
        <f t="shared" si="16"/>
        <v>37</v>
      </c>
      <c r="AM113" s="14" t="str">
        <f t="shared" si="15"/>
        <v>Barrier</v>
      </c>
      <c r="AN113" s="10" t="s">
        <v>294</v>
      </c>
      <c r="AO113" s="21">
        <v>35.5</v>
      </c>
      <c r="AP113" s="10" t="s">
        <v>404</v>
      </c>
    </row>
    <row r="114" spans="1:42" ht="16">
      <c r="A114" s="59">
        <v>45204</v>
      </c>
      <c r="C114" s="10">
        <v>22200151</v>
      </c>
      <c r="D114" s="10" t="s">
        <v>99</v>
      </c>
      <c r="E114" s="11">
        <v>11</v>
      </c>
      <c r="F114" s="39">
        <v>345349</v>
      </c>
      <c r="G114" s="39">
        <v>5856053</v>
      </c>
      <c r="H114" s="11" t="s">
        <v>234</v>
      </c>
      <c r="I114" s="11" t="s">
        <v>235</v>
      </c>
      <c r="K114" s="11" t="s">
        <v>102</v>
      </c>
      <c r="L114" s="10" t="s">
        <v>103</v>
      </c>
      <c r="M114" s="10" t="s">
        <v>104</v>
      </c>
      <c r="N114" s="21">
        <v>2.7</v>
      </c>
      <c r="O114" s="21">
        <v>35</v>
      </c>
      <c r="P114" s="10" t="s">
        <v>105</v>
      </c>
      <c r="Q114" s="87"/>
      <c r="R114" s="10" t="s">
        <v>105</v>
      </c>
      <c r="S114" s="10" t="s">
        <v>105</v>
      </c>
      <c r="T114" s="87"/>
      <c r="U114" s="21">
        <v>3</v>
      </c>
      <c r="V114" s="10">
        <v>0.38</v>
      </c>
      <c r="W114" s="21">
        <v>0.35</v>
      </c>
      <c r="X114" s="10" t="s">
        <v>109</v>
      </c>
      <c r="Y114" s="21">
        <v>2.5</v>
      </c>
      <c r="Z114" s="21">
        <v>4</v>
      </c>
      <c r="AA114" s="10">
        <v>0</v>
      </c>
      <c r="AB114" s="10" t="s">
        <v>109</v>
      </c>
      <c r="AC114" s="10" t="s">
        <v>105</v>
      </c>
      <c r="AD114" s="10" t="s">
        <v>106</v>
      </c>
      <c r="AE114" s="10" t="s">
        <v>119</v>
      </c>
      <c r="AF114" s="20">
        <f t="shared" si="17"/>
        <v>1.4814814814814814</v>
      </c>
      <c r="AG114" s="13">
        <f t="shared" si="10"/>
        <v>6</v>
      </c>
      <c r="AH114" s="7">
        <f t="shared" si="11"/>
        <v>10</v>
      </c>
      <c r="AI114" s="7">
        <f t="shared" si="12"/>
        <v>10</v>
      </c>
      <c r="AJ114" s="7">
        <f t="shared" si="13"/>
        <v>5</v>
      </c>
      <c r="AK114" s="7">
        <f t="shared" si="14"/>
        <v>6</v>
      </c>
      <c r="AL114" s="12">
        <f t="shared" si="16"/>
        <v>37</v>
      </c>
      <c r="AM114" s="14" t="str">
        <f t="shared" si="15"/>
        <v>Barrier</v>
      </c>
      <c r="AN114" s="10" t="s">
        <v>294</v>
      </c>
      <c r="AO114" s="21">
        <v>15</v>
      </c>
      <c r="AP114" s="10" t="s">
        <v>405</v>
      </c>
    </row>
    <row r="115" spans="1:42" ht="16">
      <c r="A115" s="59">
        <v>45204</v>
      </c>
      <c r="C115" s="10">
        <v>13900077</v>
      </c>
      <c r="D115" s="10" t="s">
        <v>132</v>
      </c>
      <c r="E115" s="11">
        <v>10</v>
      </c>
      <c r="F115" s="39">
        <v>691822</v>
      </c>
      <c r="G115" s="39">
        <v>5904863</v>
      </c>
      <c r="H115" s="11" t="s">
        <v>236</v>
      </c>
      <c r="I115" s="11" t="s">
        <v>237</v>
      </c>
      <c r="K115" s="11" t="s">
        <v>111</v>
      </c>
      <c r="L115" s="10" t="s">
        <v>103</v>
      </c>
      <c r="M115" s="10" t="s">
        <v>148</v>
      </c>
      <c r="N115" s="21">
        <v>4.5</v>
      </c>
      <c r="O115" s="21">
        <v>28</v>
      </c>
      <c r="P115" s="10" t="s">
        <v>105</v>
      </c>
      <c r="Q115" s="87"/>
      <c r="R115" s="10" t="s">
        <v>105</v>
      </c>
      <c r="S115" s="10" t="s">
        <v>105</v>
      </c>
      <c r="T115" s="87"/>
      <c r="U115" s="21">
        <v>1.5</v>
      </c>
      <c r="V115" s="10">
        <v>0.3</v>
      </c>
      <c r="W115" s="21">
        <v>0.2</v>
      </c>
      <c r="X115" s="10" t="s">
        <v>105</v>
      </c>
      <c r="Y115" s="21">
        <v>0.5</v>
      </c>
      <c r="Z115" s="21">
        <v>6.7</v>
      </c>
      <c r="AA115" s="10">
        <v>1.5</v>
      </c>
      <c r="AB115" s="10" t="s">
        <v>105</v>
      </c>
      <c r="AC115" s="10" t="s">
        <v>105</v>
      </c>
      <c r="AD115" s="10" t="s">
        <v>106</v>
      </c>
      <c r="AE115" s="10" t="s">
        <v>119</v>
      </c>
      <c r="AF115" s="20">
        <f t="shared" si="17"/>
        <v>1.4888888888888889</v>
      </c>
      <c r="AG115" s="13">
        <f t="shared" si="10"/>
        <v>3</v>
      </c>
      <c r="AH115" s="7">
        <f t="shared" si="11"/>
        <v>10</v>
      </c>
      <c r="AI115" s="7">
        <f t="shared" si="12"/>
        <v>10</v>
      </c>
      <c r="AJ115" s="7">
        <f t="shared" si="13"/>
        <v>0</v>
      </c>
      <c r="AK115" s="7">
        <f t="shared" si="14"/>
        <v>6</v>
      </c>
      <c r="AL115" s="12">
        <f t="shared" si="16"/>
        <v>29</v>
      </c>
      <c r="AM115" s="14" t="str">
        <f t="shared" si="15"/>
        <v>Barrier</v>
      </c>
      <c r="AN115" s="10" t="s">
        <v>294</v>
      </c>
      <c r="AO115" s="21">
        <v>15</v>
      </c>
      <c r="AP115" s="10" t="s">
        <v>406</v>
      </c>
    </row>
    <row r="116" spans="1:42" ht="16">
      <c r="A116" s="59">
        <v>45204</v>
      </c>
      <c r="C116" s="10">
        <v>13900003</v>
      </c>
      <c r="D116" s="10" t="s">
        <v>132</v>
      </c>
      <c r="E116" s="11">
        <v>10</v>
      </c>
      <c r="F116" s="39">
        <v>688720</v>
      </c>
      <c r="G116" s="39">
        <v>5909202</v>
      </c>
      <c r="H116" s="11" t="s">
        <v>238</v>
      </c>
      <c r="I116" s="11" t="s">
        <v>239</v>
      </c>
      <c r="K116" s="11" t="s">
        <v>240</v>
      </c>
      <c r="L116" s="10" t="s">
        <v>103</v>
      </c>
      <c r="M116" s="10" t="s">
        <v>104</v>
      </c>
      <c r="N116" s="21">
        <v>1.5</v>
      </c>
      <c r="O116" s="21">
        <v>18</v>
      </c>
      <c r="P116" s="10" t="s">
        <v>105</v>
      </c>
      <c r="Q116" s="87"/>
      <c r="R116" s="10" t="s">
        <v>105</v>
      </c>
      <c r="S116" s="10" t="s">
        <v>105</v>
      </c>
      <c r="T116" s="87"/>
      <c r="U116" s="21">
        <v>3</v>
      </c>
      <c r="V116" s="10">
        <v>0</v>
      </c>
      <c r="W116" s="21">
        <v>0</v>
      </c>
      <c r="X116" s="10" t="s">
        <v>109</v>
      </c>
      <c r="Y116" s="21">
        <v>1</v>
      </c>
      <c r="Z116" s="21">
        <v>2.2999999999999998</v>
      </c>
      <c r="AA116" s="10">
        <v>2</v>
      </c>
      <c r="AB116" s="10" t="s">
        <v>105</v>
      </c>
      <c r="AC116" s="10" t="s">
        <v>105</v>
      </c>
      <c r="AD116" s="10" t="s">
        <v>106</v>
      </c>
      <c r="AE116" s="10" t="s">
        <v>119</v>
      </c>
      <c r="AF116" s="20">
        <f t="shared" si="17"/>
        <v>1.5333333333333332</v>
      </c>
      <c r="AG116" s="13">
        <f t="shared" si="10"/>
        <v>3</v>
      </c>
      <c r="AH116" s="7">
        <f t="shared" si="11"/>
        <v>10</v>
      </c>
      <c r="AI116" s="7">
        <f t="shared" si="12"/>
        <v>0</v>
      </c>
      <c r="AJ116" s="7">
        <f t="shared" si="13"/>
        <v>5</v>
      </c>
      <c r="AK116" s="7">
        <f t="shared" si="14"/>
        <v>6</v>
      </c>
      <c r="AL116" s="12">
        <f t="shared" si="16"/>
        <v>24</v>
      </c>
      <c r="AM116" s="14" t="str">
        <f t="shared" si="15"/>
        <v>Barrier</v>
      </c>
      <c r="AN116" s="10" t="s">
        <v>294</v>
      </c>
      <c r="AO116" s="21">
        <v>15</v>
      </c>
      <c r="AP116" s="10" t="s">
        <v>407</v>
      </c>
    </row>
    <row r="117" spans="1:42" ht="32">
      <c r="A117" s="59">
        <v>45204</v>
      </c>
      <c r="C117" s="10">
        <v>13900030</v>
      </c>
      <c r="D117" s="10" t="s">
        <v>132</v>
      </c>
      <c r="E117" s="11">
        <v>10</v>
      </c>
      <c r="F117" s="39">
        <v>689523</v>
      </c>
      <c r="G117" s="39">
        <v>5908856</v>
      </c>
      <c r="H117" s="11" t="s">
        <v>241</v>
      </c>
      <c r="I117" s="11" t="s">
        <v>242</v>
      </c>
      <c r="K117" s="11" t="s">
        <v>111</v>
      </c>
      <c r="L117" s="10" t="s">
        <v>103</v>
      </c>
      <c r="M117" s="10" t="s">
        <v>104</v>
      </c>
      <c r="N117" s="21">
        <v>0.9</v>
      </c>
      <c r="O117" s="21">
        <v>15</v>
      </c>
      <c r="P117" s="10" t="s">
        <v>105</v>
      </c>
      <c r="Q117" s="87"/>
      <c r="R117" s="10" t="s">
        <v>105</v>
      </c>
      <c r="S117" s="10" t="s">
        <v>105</v>
      </c>
      <c r="T117" s="87"/>
      <c r="U117" s="21">
        <v>0.5</v>
      </c>
      <c r="V117" s="10">
        <v>0</v>
      </c>
      <c r="W117" s="21">
        <v>0</v>
      </c>
      <c r="X117" s="10" t="s">
        <v>105</v>
      </c>
      <c r="Y117" s="21">
        <v>1</v>
      </c>
      <c r="Z117" s="21">
        <v>0.9</v>
      </c>
      <c r="AA117" s="10">
        <v>1</v>
      </c>
      <c r="AB117" s="10" t="s">
        <v>105</v>
      </c>
      <c r="AC117" s="10" t="s">
        <v>105</v>
      </c>
      <c r="AD117" s="10" t="s">
        <v>106</v>
      </c>
      <c r="AE117" s="10" t="s">
        <v>114</v>
      </c>
      <c r="AF117" s="20">
        <f t="shared" si="17"/>
        <v>1</v>
      </c>
      <c r="AG117" s="13">
        <f t="shared" si="10"/>
        <v>3</v>
      </c>
      <c r="AH117" s="7">
        <f t="shared" si="11"/>
        <v>10</v>
      </c>
      <c r="AI117" s="7">
        <f t="shared" si="12"/>
        <v>0</v>
      </c>
      <c r="AJ117" s="7">
        <f t="shared" si="13"/>
        <v>5</v>
      </c>
      <c r="AK117" s="7">
        <f t="shared" si="14"/>
        <v>3</v>
      </c>
      <c r="AL117" s="12">
        <f t="shared" si="16"/>
        <v>21</v>
      </c>
      <c r="AM117" s="14" t="str">
        <f t="shared" si="15"/>
        <v>Barrier</v>
      </c>
      <c r="AN117" s="10" t="s">
        <v>295</v>
      </c>
      <c r="AO117" s="21">
        <v>3</v>
      </c>
      <c r="AP117" s="10" t="s">
        <v>408</v>
      </c>
    </row>
    <row r="118" spans="1:42" ht="16">
      <c r="A118" s="59">
        <v>45204</v>
      </c>
      <c r="C118" s="10">
        <v>22200081</v>
      </c>
      <c r="D118" s="10" t="s">
        <v>132</v>
      </c>
      <c r="E118" s="11">
        <v>11</v>
      </c>
      <c r="F118" s="39">
        <v>345396</v>
      </c>
      <c r="G118" s="39">
        <v>5860898</v>
      </c>
      <c r="H118" s="11" t="s">
        <v>243</v>
      </c>
      <c r="I118" s="11" t="s">
        <v>244</v>
      </c>
      <c r="K118" s="11" t="s">
        <v>102</v>
      </c>
      <c r="L118" s="10" t="s">
        <v>103</v>
      </c>
      <c r="M118" s="10" t="s">
        <v>148</v>
      </c>
      <c r="N118" s="21">
        <v>2.8</v>
      </c>
      <c r="O118" s="21">
        <v>13</v>
      </c>
      <c r="P118" s="10" t="s">
        <v>105</v>
      </c>
      <c r="Q118" s="87"/>
      <c r="R118" s="10" t="s">
        <v>105</v>
      </c>
      <c r="S118" s="10" t="s">
        <v>105</v>
      </c>
      <c r="T118" s="87"/>
      <c r="U118" s="21">
        <v>1</v>
      </c>
      <c r="V118" s="10">
        <v>0.42</v>
      </c>
      <c r="W118" s="21">
        <v>0.5</v>
      </c>
      <c r="X118" s="10" t="s">
        <v>105</v>
      </c>
      <c r="Y118" s="21">
        <v>4</v>
      </c>
      <c r="Z118" s="21">
        <v>3.4</v>
      </c>
      <c r="AA118" s="10">
        <v>4.5</v>
      </c>
      <c r="AB118" s="10" t="s">
        <v>105</v>
      </c>
      <c r="AC118" s="10" t="s">
        <v>105</v>
      </c>
      <c r="AD118" s="10" t="s">
        <v>106</v>
      </c>
      <c r="AE118" s="10" t="s">
        <v>107</v>
      </c>
      <c r="AF118" s="20">
        <f t="shared" si="17"/>
        <v>1.2142857142857144</v>
      </c>
      <c r="AG118" s="13">
        <f t="shared" si="10"/>
        <v>0</v>
      </c>
      <c r="AH118" s="7">
        <f t="shared" si="11"/>
        <v>10</v>
      </c>
      <c r="AI118" s="7">
        <f t="shared" si="12"/>
        <v>10</v>
      </c>
      <c r="AJ118" s="7">
        <f t="shared" si="13"/>
        <v>10</v>
      </c>
      <c r="AK118" s="7">
        <f t="shared" si="14"/>
        <v>3</v>
      </c>
      <c r="AL118" s="12">
        <f t="shared" si="16"/>
        <v>33</v>
      </c>
      <c r="AM118" s="14" t="str">
        <f t="shared" si="15"/>
        <v>Barrier</v>
      </c>
      <c r="AN118" s="10" t="s">
        <v>294</v>
      </c>
      <c r="AO118" s="21">
        <v>15</v>
      </c>
      <c r="AP118" s="10" t="s">
        <v>409</v>
      </c>
    </row>
    <row r="119" spans="1:42" ht="16">
      <c r="A119" s="59">
        <v>45204</v>
      </c>
      <c r="C119" s="10">
        <v>22201951</v>
      </c>
      <c r="D119" s="10" t="s">
        <v>132</v>
      </c>
      <c r="E119" s="11">
        <v>11</v>
      </c>
      <c r="F119" s="39">
        <v>345405</v>
      </c>
      <c r="G119" s="39">
        <v>5860914</v>
      </c>
      <c r="H119" s="11" t="s">
        <v>243</v>
      </c>
      <c r="I119" s="11" t="s">
        <v>213</v>
      </c>
      <c r="K119" s="11" t="s">
        <v>177</v>
      </c>
      <c r="L119" s="10" t="s">
        <v>103</v>
      </c>
      <c r="M119" s="10" t="s">
        <v>104</v>
      </c>
      <c r="N119" s="21">
        <v>1.7</v>
      </c>
      <c r="O119" s="21">
        <v>40</v>
      </c>
      <c r="P119" s="10" t="s">
        <v>105</v>
      </c>
      <c r="Q119" s="87"/>
      <c r="R119" s="10" t="s">
        <v>105</v>
      </c>
      <c r="S119" s="10" t="s">
        <v>105</v>
      </c>
      <c r="T119" s="87"/>
      <c r="U119" s="21">
        <v>2.5</v>
      </c>
      <c r="V119" s="10">
        <v>0.2</v>
      </c>
      <c r="W119" s="21">
        <v>0.75</v>
      </c>
      <c r="X119" s="10" t="s">
        <v>109</v>
      </c>
      <c r="Y119" s="21">
        <v>2.5</v>
      </c>
      <c r="Z119" s="21">
        <v>3.6</v>
      </c>
      <c r="AA119" s="10">
        <v>4.5</v>
      </c>
      <c r="AB119" s="10" t="s">
        <v>105</v>
      </c>
      <c r="AC119" s="10" t="s">
        <v>105</v>
      </c>
      <c r="AD119" s="10" t="s">
        <v>106</v>
      </c>
      <c r="AE119" s="10" t="s">
        <v>107</v>
      </c>
      <c r="AF119" s="20">
        <f t="shared" si="17"/>
        <v>2.1176470588235294</v>
      </c>
      <c r="AG119" s="13">
        <f t="shared" si="10"/>
        <v>6</v>
      </c>
      <c r="AH119" s="7">
        <f t="shared" si="11"/>
        <v>10</v>
      </c>
      <c r="AI119" s="7">
        <f t="shared" si="12"/>
        <v>5</v>
      </c>
      <c r="AJ119" s="7">
        <f t="shared" si="13"/>
        <v>5</v>
      </c>
      <c r="AK119" s="7">
        <f t="shared" si="14"/>
        <v>6</v>
      </c>
      <c r="AL119" s="12">
        <f t="shared" si="16"/>
        <v>32</v>
      </c>
      <c r="AM119" s="14" t="str">
        <f t="shared" si="15"/>
        <v>Barrier</v>
      </c>
      <c r="AN119" s="10" t="s">
        <v>294</v>
      </c>
      <c r="AO119" s="21">
        <v>15</v>
      </c>
      <c r="AP119" s="10" t="s">
        <v>410</v>
      </c>
    </row>
    <row r="120" spans="1:42" ht="16">
      <c r="A120" s="59">
        <v>45204</v>
      </c>
      <c r="C120" s="10">
        <v>22201176</v>
      </c>
      <c r="D120" s="10" t="s">
        <v>132</v>
      </c>
      <c r="E120" s="11">
        <v>11</v>
      </c>
      <c r="F120" s="39">
        <v>344016</v>
      </c>
      <c r="G120" s="39">
        <v>5862741</v>
      </c>
      <c r="H120" s="11" t="s">
        <v>245</v>
      </c>
      <c r="I120" s="11" t="s">
        <v>246</v>
      </c>
      <c r="K120" s="11" t="s">
        <v>102</v>
      </c>
      <c r="L120" s="10" t="s">
        <v>103</v>
      </c>
      <c r="M120" s="10" t="s">
        <v>104</v>
      </c>
      <c r="N120" s="21">
        <v>1.5</v>
      </c>
      <c r="O120" s="21">
        <v>26</v>
      </c>
      <c r="P120" s="10" t="s">
        <v>105</v>
      </c>
      <c r="Q120" s="87"/>
      <c r="R120" s="10" t="s">
        <v>105</v>
      </c>
      <c r="S120" s="10" t="s">
        <v>105</v>
      </c>
      <c r="T120" s="87"/>
      <c r="U120" s="21">
        <v>1.5</v>
      </c>
      <c r="V120" s="10">
        <v>0.4</v>
      </c>
      <c r="W120" s="21">
        <v>1</v>
      </c>
      <c r="X120" s="10" t="s">
        <v>109</v>
      </c>
      <c r="Y120" s="21">
        <v>1.5</v>
      </c>
      <c r="Z120" s="21">
        <v>4.5</v>
      </c>
      <c r="AA120" s="10">
        <v>3.5</v>
      </c>
      <c r="AB120" s="10" t="s">
        <v>105</v>
      </c>
      <c r="AC120" s="10" t="s">
        <v>105</v>
      </c>
      <c r="AD120" s="10" t="s">
        <v>106</v>
      </c>
      <c r="AE120" s="10" t="s">
        <v>119</v>
      </c>
      <c r="AF120" s="20">
        <f t="shared" si="17"/>
        <v>3</v>
      </c>
      <c r="AG120" s="13">
        <f t="shared" si="10"/>
        <v>3</v>
      </c>
      <c r="AH120" s="7">
        <f t="shared" si="11"/>
        <v>10</v>
      </c>
      <c r="AI120" s="7">
        <f t="shared" si="12"/>
        <v>10</v>
      </c>
      <c r="AJ120" s="7">
        <f t="shared" si="13"/>
        <v>5</v>
      </c>
      <c r="AK120" s="7">
        <f t="shared" si="14"/>
        <v>6</v>
      </c>
      <c r="AL120" s="12">
        <f t="shared" si="16"/>
        <v>34</v>
      </c>
      <c r="AM120" s="14" t="str">
        <f t="shared" si="15"/>
        <v>Barrier</v>
      </c>
      <c r="AN120" s="10" t="s">
        <v>294</v>
      </c>
      <c r="AO120" s="21">
        <v>15</v>
      </c>
      <c r="AP120" s="10" t="s">
        <v>411</v>
      </c>
    </row>
    <row r="121" spans="1:42" ht="32">
      <c r="A121" s="59">
        <v>45204</v>
      </c>
      <c r="C121" s="10">
        <v>22200022</v>
      </c>
      <c r="D121" s="10" t="s">
        <v>132</v>
      </c>
      <c r="E121" s="11">
        <v>11</v>
      </c>
      <c r="F121" s="39">
        <v>302951</v>
      </c>
      <c r="G121" s="39">
        <v>5899072</v>
      </c>
      <c r="H121" s="11" t="s">
        <v>247</v>
      </c>
      <c r="I121" s="11" t="s">
        <v>248</v>
      </c>
      <c r="K121" s="11" t="s">
        <v>111</v>
      </c>
      <c r="L121" s="10" t="s">
        <v>103</v>
      </c>
      <c r="M121" s="10" t="s">
        <v>104</v>
      </c>
      <c r="N121" s="21">
        <v>0.6</v>
      </c>
      <c r="O121" s="21">
        <v>20</v>
      </c>
      <c r="P121" s="10" t="s">
        <v>105</v>
      </c>
      <c r="Q121" s="87"/>
      <c r="R121" s="10" t="s">
        <v>105</v>
      </c>
      <c r="S121" s="10" t="s">
        <v>105</v>
      </c>
      <c r="T121" s="87"/>
      <c r="U121" s="21">
        <v>5</v>
      </c>
      <c r="V121" s="10">
        <v>0.7</v>
      </c>
      <c r="W121" s="21">
        <v>0</v>
      </c>
      <c r="X121" s="10" t="s">
        <v>105</v>
      </c>
      <c r="Y121" s="21">
        <v>1</v>
      </c>
      <c r="Z121" s="21">
        <v>1.4</v>
      </c>
      <c r="AA121" s="10">
        <v>3</v>
      </c>
      <c r="AB121" s="10" t="s">
        <v>105</v>
      </c>
      <c r="AC121" s="10" t="s">
        <v>105</v>
      </c>
      <c r="AD121" s="10" t="s">
        <v>106</v>
      </c>
      <c r="AE121" s="10" t="s">
        <v>114</v>
      </c>
      <c r="AF121" s="20">
        <f t="shared" si="17"/>
        <v>2.3333333333333335</v>
      </c>
      <c r="AG121" s="13">
        <f t="shared" si="10"/>
        <v>3</v>
      </c>
      <c r="AH121" s="7">
        <f t="shared" si="11"/>
        <v>10</v>
      </c>
      <c r="AI121" s="7">
        <f t="shared" si="12"/>
        <v>10</v>
      </c>
      <c r="AJ121" s="7">
        <f t="shared" si="13"/>
        <v>5</v>
      </c>
      <c r="AK121" s="7">
        <f t="shared" si="14"/>
        <v>6</v>
      </c>
      <c r="AL121" s="12">
        <f t="shared" si="16"/>
        <v>34</v>
      </c>
      <c r="AM121" s="14" t="str">
        <f t="shared" si="15"/>
        <v>Barrier</v>
      </c>
      <c r="AN121" s="10" t="s">
        <v>295</v>
      </c>
      <c r="AO121" s="21">
        <v>3</v>
      </c>
      <c r="AP121" s="10" t="s">
        <v>412</v>
      </c>
    </row>
    <row r="122" spans="1:42" ht="16">
      <c r="A122" s="59">
        <v>45204</v>
      </c>
      <c r="C122" s="10">
        <v>22200075</v>
      </c>
      <c r="D122" s="10" t="s">
        <v>132</v>
      </c>
      <c r="E122" s="11">
        <v>11</v>
      </c>
      <c r="F122" s="39">
        <v>335908</v>
      </c>
      <c r="G122" s="39">
        <v>5872652</v>
      </c>
      <c r="H122" s="11" t="s">
        <v>249</v>
      </c>
      <c r="I122" s="11" t="s">
        <v>250</v>
      </c>
      <c r="K122" s="11" t="s">
        <v>102</v>
      </c>
      <c r="L122" s="10" t="s">
        <v>103</v>
      </c>
      <c r="M122" s="10" t="s">
        <v>104</v>
      </c>
      <c r="N122" s="21">
        <v>1.05</v>
      </c>
      <c r="O122" s="21">
        <v>19</v>
      </c>
      <c r="P122" s="10" t="s">
        <v>105</v>
      </c>
      <c r="Q122" s="87"/>
      <c r="R122" s="10" t="s">
        <v>105</v>
      </c>
      <c r="S122" s="10" t="s">
        <v>105</v>
      </c>
      <c r="T122" s="87"/>
      <c r="U122" s="21">
        <v>1.8</v>
      </c>
      <c r="V122" s="10">
        <v>0.5</v>
      </c>
      <c r="W122" s="21">
        <v>0.4</v>
      </c>
      <c r="X122" s="10" t="s">
        <v>105</v>
      </c>
      <c r="Y122" s="21">
        <v>3</v>
      </c>
      <c r="Z122" s="21">
        <v>2.2000000000000002</v>
      </c>
      <c r="AA122" s="10">
        <v>2</v>
      </c>
      <c r="AB122" s="10" t="s">
        <v>105</v>
      </c>
      <c r="AC122" s="10" t="s">
        <v>105</v>
      </c>
      <c r="AD122" s="10" t="s">
        <v>106</v>
      </c>
      <c r="AE122" s="10" t="s">
        <v>107</v>
      </c>
      <c r="AF122" s="20">
        <f t="shared" si="17"/>
        <v>2.0952380952380953</v>
      </c>
      <c r="AG122" s="13">
        <f t="shared" si="10"/>
        <v>3</v>
      </c>
      <c r="AH122" s="7">
        <f t="shared" si="11"/>
        <v>10</v>
      </c>
      <c r="AI122" s="7">
        <f t="shared" si="12"/>
        <v>10</v>
      </c>
      <c r="AJ122" s="7">
        <f t="shared" si="13"/>
        <v>10</v>
      </c>
      <c r="AK122" s="7">
        <f t="shared" si="14"/>
        <v>6</v>
      </c>
      <c r="AL122" s="12">
        <f t="shared" si="16"/>
        <v>39</v>
      </c>
      <c r="AM122" s="14" t="str">
        <f t="shared" si="15"/>
        <v>Barrier</v>
      </c>
      <c r="AN122" s="10" t="s">
        <v>294</v>
      </c>
      <c r="AO122" s="21">
        <v>15</v>
      </c>
      <c r="AP122" s="10" t="s">
        <v>413</v>
      </c>
    </row>
    <row r="123" spans="1:42" ht="16">
      <c r="A123" s="59">
        <v>45204</v>
      </c>
      <c r="C123" s="10">
        <v>22201218</v>
      </c>
      <c r="D123" s="10" t="s">
        <v>132</v>
      </c>
      <c r="E123" s="11">
        <v>11</v>
      </c>
      <c r="F123" s="39">
        <v>335375</v>
      </c>
      <c r="G123" s="39">
        <v>5873132</v>
      </c>
      <c r="H123" s="11" t="s">
        <v>251</v>
      </c>
      <c r="I123" s="11" t="s">
        <v>101</v>
      </c>
      <c r="K123" s="11" t="s">
        <v>102</v>
      </c>
      <c r="L123" s="10" t="s">
        <v>103</v>
      </c>
      <c r="M123" s="10" t="s">
        <v>148</v>
      </c>
      <c r="N123" s="21">
        <v>1.7</v>
      </c>
      <c r="O123" s="21">
        <v>35</v>
      </c>
      <c r="P123" s="10" t="s">
        <v>105</v>
      </c>
      <c r="Q123" s="87"/>
      <c r="R123" s="10" t="s">
        <v>105</v>
      </c>
      <c r="S123" s="10" t="s">
        <v>105</v>
      </c>
      <c r="T123" s="87"/>
      <c r="U123" s="21">
        <v>2</v>
      </c>
      <c r="V123" s="10">
        <v>0.4</v>
      </c>
      <c r="W123" s="21">
        <v>0.4</v>
      </c>
      <c r="X123" s="10" t="s">
        <v>105</v>
      </c>
      <c r="Y123" s="21">
        <v>2</v>
      </c>
      <c r="Z123" s="21">
        <v>1</v>
      </c>
      <c r="AA123" s="10">
        <v>0</v>
      </c>
      <c r="AB123" s="10" t="s">
        <v>105</v>
      </c>
      <c r="AC123" s="10" t="s">
        <v>105</v>
      </c>
      <c r="AD123" s="10" t="s">
        <v>106</v>
      </c>
      <c r="AE123" s="10" t="s">
        <v>107</v>
      </c>
      <c r="AF123" s="20">
        <f t="shared" si="17"/>
        <v>0.58823529411764708</v>
      </c>
      <c r="AG123" s="13">
        <f t="shared" si="10"/>
        <v>6</v>
      </c>
      <c r="AH123" s="7">
        <f t="shared" si="11"/>
        <v>10</v>
      </c>
      <c r="AI123" s="7">
        <f t="shared" si="12"/>
        <v>10</v>
      </c>
      <c r="AJ123" s="7">
        <f t="shared" si="13"/>
        <v>5</v>
      </c>
      <c r="AK123" s="7">
        <f t="shared" si="14"/>
        <v>0</v>
      </c>
      <c r="AL123" s="12">
        <f t="shared" si="16"/>
        <v>31</v>
      </c>
      <c r="AM123" s="14" t="str">
        <f t="shared" si="15"/>
        <v>Barrier</v>
      </c>
      <c r="AN123" s="10" t="s">
        <v>295</v>
      </c>
      <c r="AO123" s="21">
        <v>3</v>
      </c>
      <c r="AP123" s="10" t="s">
        <v>414</v>
      </c>
    </row>
    <row r="124" spans="1:42" ht="16">
      <c r="A124" s="59">
        <v>45204</v>
      </c>
      <c r="C124" s="10">
        <v>22201229</v>
      </c>
      <c r="D124" s="10" t="s">
        <v>132</v>
      </c>
      <c r="E124" s="11">
        <v>11</v>
      </c>
      <c r="F124" s="39">
        <v>305965</v>
      </c>
      <c r="G124" s="39">
        <v>5896000</v>
      </c>
      <c r="H124" s="11" t="s">
        <v>252</v>
      </c>
      <c r="I124" s="11" t="s">
        <v>101</v>
      </c>
      <c r="K124" s="11" t="s">
        <v>102</v>
      </c>
      <c r="L124" s="10" t="s">
        <v>103</v>
      </c>
      <c r="M124" s="10" t="s">
        <v>104</v>
      </c>
      <c r="N124" s="21">
        <v>2.5</v>
      </c>
      <c r="O124" s="21">
        <v>56</v>
      </c>
      <c r="P124" s="10" t="s">
        <v>105</v>
      </c>
      <c r="Q124" s="87"/>
      <c r="R124" s="10" t="s">
        <v>105</v>
      </c>
      <c r="S124" s="10" t="s">
        <v>105</v>
      </c>
      <c r="T124" s="87"/>
      <c r="U124" s="21">
        <v>2.2999999999999998</v>
      </c>
      <c r="V124" s="10">
        <v>0.4</v>
      </c>
      <c r="W124" s="21">
        <v>0.3</v>
      </c>
      <c r="X124" s="10" t="s">
        <v>105</v>
      </c>
      <c r="Y124" s="21">
        <v>2</v>
      </c>
      <c r="Z124" s="21">
        <v>10.8</v>
      </c>
      <c r="AA124" s="10">
        <v>5</v>
      </c>
      <c r="AB124" s="10" t="s">
        <v>105</v>
      </c>
      <c r="AC124" s="10" t="s">
        <v>105</v>
      </c>
      <c r="AD124" s="10" t="s">
        <v>106</v>
      </c>
      <c r="AE124" s="10" t="s">
        <v>119</v>
      </c>
      <c r="AF124" s="20">
        <f t="shared" si="17"/>
        <v>4.32</v>
      </c>
      <c r="AG124" s="13">
        <f t="shared" si="10"/>
        <v>6</v>
      </c>
      <c r="AH124" s="7">
        <f t="shared" si="11"/>
        <v>10</v>
      </c>
      <c r="AI124" s="7">
        <f t="shared" si="12"/>
        <v>10</v>
      </c>
      <c r="AJ124" s="7">
        <f t="shared" si="13"/>
        <v>5</v>
      </c>
      <c r="AK124" s="7">
        <f t="shared" si="14"/>
        <v>6</v>
      </c>
      <c r="AL124" s="12">
        <f t="shared" si="16"/>
        <v>37</v>
      </c>
      <c r="AM124" s="14" t="str">
        <f t="shared" si="15"/>
        <v>Barrier</v>
      </c>
      <c r="AN124" s="10" t="s">
        <v>294</v>
      </c>
      <c r="AO124" s="21">
        <v>15</v>
      </c>
      <c r="AP124" s="10" t="s">
        <v>415</v>
      </c>
    </row>
    <row r="125" spans="1:42" ht="32">
      <c r="A125" s="59">
        <v>45204</v>
      </c>
      <c r="C125" s="10">
        <v>22200029</v>
      </c>
      <c r="D125" s="10" t="s">
        <v>132</v>
      </c>
      <c r="E125" s="11">
        <v>11</v>
      </c>
      <c r="F125" s="39">
        <v>309830</v>
      </c>
      <c r="G125" s="39">
        <v>5892394</v>
      </c>
      <c r="H125" s="11" t="s">
        <v>210</v>
      </c>
      <c r="I125" s="11" t="s">
        <v>253</v>
      </c>
      <c r="K125" s="11" t="s">
        <v>111</v>
      </c>
      <c r="L125" s="10" t="s">
        <v>103</v>
      </c>
      <c r="M125" s="10" t="s">
        <v>104</v>
      </c>
      <c r="N125" s="21">
        <v>1.4</v>
      </c>
      <c r="O125" s="21">
        <v>19</v>
      </c>
      <c r="P125" s="10" t="s">
        <v>105</v>
      </c>
      <c r="Q125" s="87"/>
      <c r="R125" s="10" t="s">
        <v>105</v>
      </c>
      <c r="S125" s="10" t="s">
        <v>105</v>
      </c>
      <c r="T125" s="87"/>
      <c r="U125" s="21">
        <v>2.2000000000000002</v>
      </c>
      <c r="V125" s="10">
        <v>0.2</v>
      </c>
      <c r="W125" s="21">
        <v>0.2</v>
      </c>
      <c r="X125" s="10" t="s">
        <v>105</v>
      </c>
      <c r="Y125" s="21">
        <v>0</v>
      </c>
      <c r="Z125" s="21">
        <v>1.2</v>
      </c>
      <c r="AA125" s="10">
        <v>3.5</v>
      </c>
      <c r="AB125" s="10" t="s">
        <v>105</v>
      </c>
      <c r="AC125" s="10" t="s">
        <v>105</v>
      </c>
      <c r="AD125" s="10" t="s">
        <v>106</v>
      </c>
      <c r="AE125" s="10" t="s">
        <v>114</v>
      </c>
      <c r="AF125" s="20">
        <f t="shared" si="17"/>
        <v>0.85714285714285721</v>
      </c>
      <c r="AG125" s="13">
        <f t="shared" si="10"/>
        <v>3</v>
      </c>
      <c r="AH125" s="7">
        <f t="shared" si="11"/>
        <v>10</v>
      </c>
      <c r="AI125" s="7">
        <f t="shared" si="12"/>
        <v>5</v>
      </c>
      <c r="AJ125" s="7">
        <f t="shared" si="13"/>
        <v>0</v>
      </c>
      <c r="AK125" s="7">
        <f t="shared" si="14"/>
        <v>0</v>
      </c>
      <c r="AL125" s="12">
        <f t="shared" si="16"/>
        <v>18</v>
      </c>
      <c r="AM125" s="14" t="str">
        <f t="shared" si="15"/>
        <v>Potential</v>
      </c>
      <c r="AN125" s="10" t="s">
        <v>295</v>
      </c>
      <c r="AO125" s="21">
        <v>3</v>
      </c>
      <c r="AP125" s="10" t="s">
        <v>416</v>
      </c>
    </row>
    <row r="126" spans="1:42" ht="16">
      <c r="A126" s="59">
        <v>45204</v>
      </c>
      <c r="C126" s="10">
        <v>22200067</v>
      </c>
      <c r="D126" s="10" t="s">
        <v>132</v>
      </c>
      <c r="E126" s="11">
        <v>11</v>
      </c>
      <c r="F126" s="39">
        <v>331575</v>
      </c>
      <c r="G126" s="39">
        <v>5875589</v>
      </c>
      <c r="H126" s="11" t="s">
        <v>254</v>
      </c>
      <c r="I126" s="11" t="s">
        <v>255</v>
      </c>
      <c r="K126" s="11" t="s">
        <v>102</v>
      </c>
      <c r="L126" s="10" t="s">
        <v>103</v>
      </c>
      <c r="M126" s="10" t="s">
        <v>104</v>
      </c>
      <c r="N126" s="21">
        <v>2.6</v>
      </c>
      <c r="O126" s="21">
        <v>18</v>
      </c>
      <c r="P126" s="10" t="s">
        <v>105</v>
      </c>
      <c r="Q126" s="87"/>
      <c r="R126" s="10" t="s">
        <v>105</v>
      </c>
      <c r="S126" s="10" t="s">
        <v>105</v>
      </c>
      <c r="T126" s="87"/>
      <c r="U126" s="21">
        <v>1.5</v>
      </c>
      <c r="V126" s="10">
        <v>0</v>
      </c>
      <c r="W126" s="21">
        <v>0.4</v>
      </c>
      <c r="X126" s="10" t="s">
        <v>109</v>
      </c>
      <c r="Y126" s="21">
        <v>5</v>
      </c>
      <c r="Z126" s="21">
        <v>5.8</v>
      </c>
      <c r="AA126" s="10">
        <v>6</v>
      </c>
      <c r="AB126" s="10" t="s">
        <v>105</v>
      </c>
      <c r="AC126" s="10" t="s">
        <v>105</v>
      </c>
      <c r="AD126" s="10" t="s">
        <v>106</v>
      </c>
      <c r="AE126" s="10" t="s">
        <v>119</v>
      </c>
      <c r="AF126" s="20">
        <f t="shared" si="17"/>
        <v>2.2307692307692308</v>
      </c>
      <c r="AG126" s="13">
        <f t="shared" si="10"/>
        <v>3</v>
      </c>
      <c r="AH126" s="7">
        <f t="shared" si="11"/>
        <v>10</v>
      </c>
      <c r="AI126" s="7">
        <f t="shared" si="12"/>
        <v>0</v>
      </c>
      <c r="AJ126" s="7">
        <f t="shared" si="13"/>
        <v>10</v>
      </c>
      <c r="AK126" s="7">
        <f t="shared" si="14"/>
        <v>6</v>
      </c>
      <c r="AL126" s="12">
        <f t="shared" si="16"/>
        <v>29</v>
      </c>
      <c r="AM126" s="14" t="str">
        <f t="shared" si="15"/>
        <v>Barrier</v>
      </c>
      <c r="AN126" s="10" t="s">
        <v>294</v>
      </c>
      <c r="AO126" s="21">
        <v>15</v>
      </c>
      <c r="AP126" s="10" t="s">
        <v>417</v>
      </c>
    </row>
    <row r="127" spans="1:42" ht="32">
      <c r="A127" s="59">
        <v>45204</v>
      </c>
      <c r="C127" s="10">
        <v>22200051</v>
      </c>
      <c r="D127" s="10" t="s">
        <v>132</v>
      </c>
      <c r="E127" s="11">
        <v>11</v>
      </c>
      <c r="F127" s="39">
        <v>312484</v>
      </c>
      <c r="G127" s="39">
        <v>5892004</v>
      </c>
      <c r="H127" s="11" t="s">
        <v>210</v>
      </c>
      <c r="I127" s="11" t="s">
        <v>256</v>
      </c>
      <c r="K127" s="11" t="s">
        <v>111</v>
      </c>
      <c r="L127" s="10" t="s">
        <v>103</v>
      </c>
      <c r="M127" s="10" t="s">
        <v>104</v>
      </c>
      <c r="N127" s="21">
        <v>1.1000000000000001</v>
      </c>
      <c r="O127" s="21">
        <v>8</v>
      </c>
      <c r="P127" s="10" t="s">
        <v>105</v>
      </c>
      <c r="Q127" s="87"/>
      <c r="R127" s="10" t="s">
        <v>105</v>
      </c>
      <c r="S127" s="10" t="s">
        <v>105</v>
      </c>
      <c r="T127" s="87"/>
      <c r="U127" s="21">
        <v>1</v>
      </c>
      <c r="V127" s="10">
        <v>0</v>
      </c>
      <c r="W127" s="21">
        <v>0</v>
      </c>
      <c r="X127" s="10" t="s">
        <v>105</v>
      </c>
      <c r="Y127" s="21">
        <v>5</v>
      </c>
      <c r="Z127" s="21">
        <v>2.5</v>
      </c>
      <c r="AA127" s="10">
        <v>4.5</v>
      </c>
      <c r="AB127" s="10" t="s">
        <v>105</v>
      </c>
      <c r="AC127" s="10" t="s">
        <v>105</v>
      </c>
      <c r="AD127" s="10" t="s">
        <v>106</v>
      </c>
      <c r="AE127" s="10" t="s">
        <v>107</v>
      </c>
      <c r="AF127" s="20">
        <f t="shared" si="17"/>
        <v>2.2727272727272725</v>
      </c>
      <c r="AG127" s="13">
        <f t="shared" si="10"/>
        <v>0</v>
      </c>
      <c r="AH127" s="7">
        <f t="shared" si="11"/>
        <v>10</v>
      </c>
      <c r="AI127" s="7">
        <f t="shared" si="12"/>
        <v>0</v>
      </c>
      <c r="AJ127" s="7">
        <f t="shared" si="13"/>
        <v>10</v>
      </c>
      <c r="AK127" s="7">
        <f t="shared" si="14"/>
        <v>6</v>
      </c>
      <c r="AL127" s="12">
        <f t="shared" si="16"/>
        <v>26</v>
      </c>
      <c r="AM127" s="14" t="str">
        <f t="shared" si="15"/>
        <v>Barrier</v>
      </c>
      <c r="AN127" s="10" t="s">
        <v>294</v>
      </c>
      <c r="AO127" s="21">
        <v>15</v>
      </c>
      <c r="AP127" s="10" t="s">
        <v>418</v>
      </c>
    </row>
    <row r="128" spans="1:42" ht="16">
      <c r="A128" s="59">
        <v>45204</v>
      </c>
      <c r="C128" s="10">
        <v>22200061</v>
      </c>
      <c r="D128" s="10" t="s">
        <v>132</v>
      </c>
      <c r="E128" s="11">
        <v>11</v>
      </c>
      <c r="F128" s="39">
        <v>331629</v>
      </c>
      <c r="G128" s="39">
        <v>5875684</v>
      </c>
      <c r="H128" s="11" t="s">
        <v>254</v>
      </c>
      <c r="I128" s="11" t="s">
        <v>101</v>
      </c>
      <c r="K128" s="11" t="s">
        <v>102</v>
      </c>
      <c r="L128" s="10" t="s">
        <v>103</v>
      </c>
      <c r="M128" s="10" t="s">
        <v>257</v>
      </c>
      <c r="N128" s="21">
        <v>3.65</v>
      </c>
      <c r="O128" s="21">
        <v>21</v>
      </c>
      <c r="P128" s="10" t="s">
        <v>105</v>
      </c>
      <c r="Q128" s="87"/>
      <c r="R128" s="10" t="s">
        <v>105</v>
      </c>
      <c r="S128" s="10" t="s">
        <v>105</v>
      </c>
      <c r="T128" s="87"/>
      <c r="U128" s="21">
        <v>1.5</v>
      </c>
      <c r="V128" s="10">
        <v>0</v>
      </c>
      <c r="W128" s="21">
        <v>0.2</v>
      </c>
      <c r="X128" s="10" t="s">
        <v>109</v>
      </c>
      <c r="Y128" s="21">
        <v>6</v>
      </c>
      <c r="Z128" s="21">
        <v>5.8</v>
      </c>
      <c r="AA128" s="10">
        <v>6</v>
      </c>
      <c r="AB128" s="10" t="s">
        <v>105</v>
      </c>
      <c r="AC128" s="10" t="s">
        <v>105</v>
      </c>
      <c r="AD128" s="10" t="s">
        <v>106</v>
      </c>
      <c r="AE128" s="10" t="s">
        <v>119</v>
      </c>
      <c r="AF128" s="20">
        <f t="shared" si="17"/>
        <v>1.5890410958904109</v>
      </c>
      <c r="AG128" s="13">
        <f t="shared" si="10"/>
        <v>3</v>
      </c>
      <c r="AH128" s="7">
        <f t="shared" si="11"/>
        <v>10</v>
      </c>
      <c r="AI128" s="7">
        <f t="shared" si="12"/>
        <v>0</v>
      </c>
      <c r="AJ128" s="7">
        <f t="shared" si="13"/>
        <v>10</v>
      </c>
      <c r="AK128" s="7">
        <f t="shared" si="14"/>
        <v>6</v>
      </c>
      <c r="AL128" s="12">
        <f t="shared" si="16"/>
        <v>29</v>
      </c>
      <c r="AM128" s="14" t="str">
        <f t="shared" si="15"/>
        <v>Barrier</v>
      </c>
      <c r="AN128" s="10" t="s">
        <v>294</v>
      </c>
      <c r="AO128" s="21">
        <v>15</v>
      </c>
      <c r="AP128" s="10" t="s">
        <v>419</v>
      </c>
    </row>
    <row r="129" spans="1:42" ht="16">
      <c r="A129" s="59">
        <v>45197</v>
      </c>
      <c r="C129" s="10">
        <v>5400446</v>
      </c>
      <c r="D129" s="10" t="s">
        <v>99</v>
      </c>
      <c r="E129" s="11">
        <v>10</v>
      </c>
      <c r="F129" s="39">
        <v>307446</v>
      </c>
      <c r="G129" s="39">
        <v>6030655</v>
      </c>
      <c r="H129" s="11" t="s">
        <v>258</v>
      </c>
      <c r="I129" s="11" t="s">
        <v>101</v>
      </c>
      <c r="K129" s="11" t="s">
        <v>102</v>
      </c>
      <c r="L129" s="10" t="s">
        <v>103</v>
      </c>
      <c r="M129" s="10" t="s">
        <v>104</v>
      </c>
      <c r="N129" s="21">
        <v>2.25</v>
      </c>
      <c r="O129" s="21">
        <v>22</v>
      </c>
      <c r="P129" s="10" t="s">
        <v>105</v>
      </c>
      <c r="Q129" s="87"/>
      <c r="R129" s="10" t="s">
        <v>105</v>
      </c>
      <c r="S129" s="10" t="s">
        <v>109</v>
      </c>
      <c r="T129" s="21">
        <v>100</v>
      </c>
      <c r="U129" s="21">
        <v>1</v>
      </c>
      <c r="V129" s="10">
        <v>0</v>
      </c>
      <c r="W129" s="21">
        <v>0.3</v>
      </c>
      <c r="X129" s="10" t="s">
        <v>105</v>
      </c>
      <c r="Y129" s="21">
        <v>1.5</v>
      </c>
      <c r="Z129" s="21">
        <v>3.8</v>
      </c>
      <c r="AA129" s="10">
        <v>2</v>
      </c>
      <c r="AB129" s="10" t="s">
        <v>105</v>
      </c>
      <c r="AC129" s="10" t="s">
        <v>105</v>
      </c>
      <c r="AD129" s="10" t="s">
        <v>106</v>
      </c>
      <c r="AE129" s="10" t="s">
        <v>119</v>
      </c>
      <c r="AF129" s="20">
        <f t="shared" si="17"/>
        <v>1.6888888888888889</v>
      </c>
      <c r="AG129" s="13">
        <f t="shared" si="10"/>
        <v>3</v>
      </c>
      <c r="AH129" s="7">
        <f t="shared" si="11"/>
        <v>10</v>
      </c>
      <c r="AI129" s="7">
        <f t="shared" si="12"/>
        <v>0</v>
      </c>
      <c r="AJ129" s="7">
        <f t="shared" si="13"/>
        <v>5</v>
      </c>
      <c r="AK129" s="7">
        <f t="shared" si="14"/>
        <v>6</v>
      </c>
      <c r="AL129" s="12">
        <f t="shared" si="16"/>
        <v>24</v>
      </c>
      <c r="AM129" s="14" t="str">
        <f t="shared" si="15"/>
        <v>Barrier</v>
      </c>
      <c r="AN129" s="10" t="s">
        <v>294</v>
      </c>
      <c r="AO129" s="21">
        <v>15</v>
      </c>
      <c r="AP129" s="10" t="s">
        <v>420</v>
      </c>
    </row>
    <row r="130" spans="1:42" ht="32">
      <c r="A130" s="59">
        <v>45197</v>
      </c>
      <c r="C130" s="10">
        <v>5400589</v>
      </c>
      <c r="D130" s="10" t="s">
        <v>99</v>
      </c>
      <c r="E130" s="11">
        <v>10</v>
      </c>
      <c r="F130" s="39">
        <v>311154</v>
      </c>
      <c r="G130" s="39">
        <v>6025092</v>
      </c>
      <c r="H130" s="11" t="s">
        <v>100</v>
      </c>
      <c r="I130" s="11" t="s">
        <v>259</v>
      </c>
      <c r="K130" s="11" t="s">
        <v>102</v>
      </c>
      <c r="L130" s="10" t="s">
        <v>103</v>
      </c>
      <c r="M130" s="10" t="s">
        <v>104</v>
      </c>
      <c r="N130" s="21">
        <v>1.7</v>
      </c>
      <c r="O130" s="21">
        <v>21.5</v>
      </c>
      <c r="P130" s="10" t="s">
        <v>105</v>
      </c>
      <c r="Q130" s="87"/>
      <c r="R130" s="10" t="s">
        <v>105</v>
      </c>
      <c r="S130" s="10" t="s">
        <v>109</v>
      </c>
      <c r="T130" s="21">
        <v>100</v>
      </c>
      <c r="U130" s="21">
        <v>1</v>
      </c>
      <c r="V130" s="10">
        <v>0</v>
      </c>
      <c r="W130" s="21">
        <v>1</v>
      </c>
      <c r="X130" s="10" t="s">
        <v>105</v>
      </c>
      <c r="Y130" s="21">
        <v>0</v>
      </c>
      <c r="Z130" s="21">
        <v>4.5</v>
      </c>
      <c r="AA130" s="10">
        <v>0</v>
      </c>
      <c r="AB130" s="10" t="s">
        <v>109</v>
      </c>
      <c r="AC130" s="10" t="s">
        <v>105</v>
      </c>
      <c r="AD130" s="10" t="s">
        <v>106</v>
      </c>
      <c r="AE130" s="10" t="s">
        <v>107</v>
      </c>
      <c r="AF130" s="20">
        <f t="shared" si="17"/>
        <v>2.6470588235294117</v>
      </c>
      <c r="AG130" s="13">
        <f t="shared" si="10"/>
        <v>3</v>
      </c>
      <c r="AH130" s="7">
        <f t="shared" si="11"/>
        <v>10</v>
      </c>
      <c r="AI130" s="7">
        <f t="shared" si="12"/>
        <v>0</v>
      </c>
      <c r="AJ130" s="7">
        <f t="shared" si="13"/>
        <v>0</v>
      </c>
      <c r="AK130" s="7">
        <f t="shared" si="14"/>
        <v>6</v>
      </c>
      <c r="AL130" s="12">
        <f t="shared" si="16"/>
        <v>19</v>
      </c>
      <c r="AM130" s="14" t="str">
        <f t="shared" si="15"/>
        <v>Potential</v>
      </c>
      <c r="AN130" s="10" t="s">
        <v>294</v>
      </c>
      <c r="AO130" s="21">
        <v>15</v>
      </c>
      <c r="AP130" s="10" t="s">
        <v>421</v>
      </c>
    </row>
    <row r="131" spans="1:42" ht="16">
      <c r="A131" s="59">
        <v>45198</v>
      </c>
      <c r="C131" s="10">
        <v>5400423</v>
      </c>
      <c r="D131" s="10" t="s">
        <v>99</v>
      </c>
      <c r="E131" s="11">
        <v>10</v>
      </c>
      <c r="F131" s="39">
        <v>327463</v>
      </c>
      <c r="G131" s="39">
        <v>6011366</v>
      </c>
      <c r="H131" s="11" t="s">
        <v>260</v>
      </c>
      <c r="I131" s="11" t="s">
        <v>261</v>
      </c>
      <c r="K131" s="11" t="s">
        <v>102</v>
      </c>
      <c r="L131" s="10" t="s">
        <v>103</v>
      </c>
      <c r="M131" s="10" t="s">
        <v>104</v>
      </c>
      <c r="N131" s="21">
        <v>3.6</v>
      </c>
      <c r="O131" s="21">
        <v>21.5</v>
      </c>
      <c r="P131" s="10" t="s">
        <v>105</v>
      </c>
      <c r="Q131" s="87"/>
      <c r="R131" s="10" t="s">
        <v>105</v>
      </c>
      <c r="S131" s="10" t="s">
        <v>109</v>
      </c>
      <c r="T131" s="21">
        <v>60</v>
      </c>
      <c r="U131" s="21">
        <v>1</v>
      </c>
      <c r="V131" s="10">
        <v>0</v>
      </c>
      <c r="W131" s="21">
        <v>0.1</v>
      </c>
      <c r="X131" s="10" t="s">
        <v>105</v>
      </c>
      <c r="Y131" s="21">
        <v>1.5</v>
      </c>
      <c r="Z131" s="21">
        <v>5</v>
      </c>
      <c r="AA131" s="10">
        <v>1.5</v>
      </c>
      <c r="AB131" s="10" t="s">
        <v>105</v>
      </c>
      <c r="AC131" s="10" t="s">
        <v>105</v>
      </c>
      <c r="AD131" s="10" t="s">
        <v>106</v>
      </c>
      <c r="AE131" s="10" t="s">
        <v>119</v>
      </c>
      <c r="AF131" s="20">
        <f t="shared" si="17"/>
        <v>1.3888888888888888</v>
      </c>
      <c r="AG131" s="13">
        <f t="shared" si="10"/>
        <v>3</v>
      </c>
      <c r="AH131" s="7">
        <f t="shared" si="11"/>
        <v>10</v>
      </c>
      <c r="AI131" s="7">
        <f t="shared" si="12"/>
        <v>0</v>
      </c>
      <c r="AJ131" s="7">
        <f t="shared" si="13"/>
        <v>5</v>
      </c>
      <c r="AK131" s="7">
        <f t="shared" si="14"/>
        <v>6</v>
      </c>
      <c r="AL131" s="12">
        <f t="shared" si="16"/>
        <v>24</v>
      </c>
      <c r="AM131" s="14" t="str">
        <f t="shared" si="15"/>
        <v>Barrier</v>
      </c>
      <c r="AN131" s="10" t="s">
        <v>294</v>
      </c>
      <c r="AO131" s="21">
        <v>15</v>
      </c>
      <c r="AP131" s="10" t="s">
        <v>422</v>
      </c>
    </row>
    <row r="132" spans="1:42" ht="16">
      <c r="A132" s="59">
        <v>45198</v>
      </c>
      <c r="C132" s="10">
        <v>5400024</v>
      </c>
      <c r="D132" s="10" t="s">
        <v>99</v>
      </c>
      <c r="E132" s="11">
        <v>10</v>
      </c>
      <c r="F132" s="39">
        <v>345676</v>
      </c>
      <c r="G132" s="39">
        <v>6001245</v>
      </c>
      <c r="H132" s="11" t="s">
        <v>173</v>
      </c>
      <c r="I132" s="11" t="s">
        <v>101</v>
      </c>
      <c r="K132" s="11" t="s">
        <v>102</v>
      </c>
      <c r="L132" s="10" t="s">
        <v>103</v>
      </c>
      <c r="M132" s="10" t="s">
        <v>104</v>
      </c>
      <c r="N132" s="21">
        <v>12</v>
      </c>
      <c r="O132" s="21">
        <v>35</v>
      </c>
      <c r="P132" s="10" t="s">
        <v>105</v>
      </c>
      <c r="Q132" s="87"/>
      <c r="R132" s="10" t="s">
        <v>105</v>
      </c>
      <c r="S132" s="10" t="s">
        <v>109</v>
      </c>
      <c r="T132" s="21">
        <v>100</v>
      </c>
      <c r="U132" s="21">
        <v>3</v>
      </c>
      <c r="V132" s="10">
        <v>0</v>
      </c>
      <c r="W132" s="21">
        <v>0.7</v>
      </c>
      <c r="X132" s="10" t="s">
        <v>105</v>
      </c>
      <c r="Y132" s="21">
        <v>0.5</v>
      </c>
      <c r="Z132" s="21">
        <v>17</v>
      </c>
      <c r="AA132" s="10">
        <v>0</v>
      </c>
      <c r="AB132" s="10" t="s">
        <v>109</v>
      </c>
      <c r="AC132" s="10" t="s">
        <v>105</v>
      </c>
      <c r="AD132" s="10" t="s">
        <v>106</v>
      </c>
      <c r="AE132" s="10" t="s">
        <v>119</v>
      </c>
      <c r="AF132" s="20">
        <f t="shared" si="17"/>
        <v>1.4166666666666667</v>
      </c>
      <c r="AG132" s="13">
        <f t="shared" ref="AG132:AG195" si="18">IF(O132&lt;15,0,IF(AND(O132&gt;=15,O132&lt;30),3,IF(O132&gt;=30,6,0)))</f>
        <v>6</v>
      </c>
      <c r="AH132" s="7">
        <f t="shared" ref="AH132:AH195" si="19">IF(P132 = "No", 10, IF(ISBLANK(N132), 0, IF(ISBLANK(Q132), 0, IF(OR(Q132 / N132 &lt;= 0.2, Q132 &lt; 0.3), 5, IF(OR(Q132 / N132 &gt;= 0.2, Q132 &gt;= 0.3), 0)))))</f>
        <v>10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6</v>
      </c>
      <c r="AL132" s="12">
        <f t="shared" si="16"/>
        <v>22</v>
      </c>
      <c r="AM132" s="14" t="str">
        <f t="shared" ref="AM132:AM195" si="23">IF(ISBLANK(L132), "", IF(L132 = "Open Bottom Structure", "Passable", IF(L132 = "Other", "Unknown", IF(AL132 &lt; 15, "Passable", IF(AND(AL132 &gt;= 15,AL132 &lt;= 19), "Potential", IF(AL132 &gt; 19, "Barrier", ""))))))</f>
        <v>Barrier</v>
      </c>
      <c r="AN132" s="10" t="s">
        <v>294</v>
      </c>
      <c r="AO132" s="21">
        <v>22</v>
      </c>
      <c r="AP132" s="10" t="s">
        <v>423</v>
      </c>
    </row>
    <row r="133" spans="1:42" ht="16">
      <c r="A133" s="59">
        <v>45198</v>
      </c>
      <c r="C133" s="10">
        <v>15600273</v>
      </c>
      <c r="D133" s="10" t="s">
        <v>99</v>
      </c>
      <c r="E133" s="11">
        <v>10</v>
      </c>
      <c r="F133" s="39">
        <v>398480</v>
      </c>
      <c r="G133" s="39">
        <v>5976390</v>
      </c>
      <c r="H133" s="11" t="s">
        <v>262</v>
      </c>
      <c r="I133" s="11" t="s">
        <v>263</v>
      </c>
      <c r="K133" s="11" t="s">
        <v>102</v>
      </c>
      <c r="L133" s="10" t="s">
        <v>103</v>
      </c>
      <c r="M133" s="10" t="s">
        <v>104</v>
      </c>
      <c r="N133" s="21">
        <v>1.5</v>
      </c>
      <c r="O133" s="21">
        <v>18</v>
      </c>
      <c r="P133" s="10" t="s">
        <v>105</v>
      </c>
      <c r="Q133" s="87"/>
      <c r="R133" s="10" t="s">
        <v>105</v>
      </c>
      <c r="S133" s="10" t="s">
        <v>109</v>
      </c>
      <c r="T133" s="21">
        <v>100</v>
      </c>
      <c r="U133" s="21">
        <v>0.5</v>
      </c>
      <c r="V133" s="10">
        <v>0</v>
      </c>
      <c r="W133" s="21">
        <v>0.3</v>
      </c>
      <c r="X133" s="10" t="s">
        <v>105</v>
      </c>
      <c r="Y133" s="21">
        <v>0.5</v>
      </c>
      <c r="Z133" s="21">
        <v>3</v>
      </c>
      <c r="AA133" s="10">
        <v>0</v>
      </c>
      <c r="AB133" s="10" t="s">
        <v>105</v>
      </c>
      <c r="AC133" s="10" t="s">
        <v>105</v>
      </c>
      <c r="AD133" s="10" t="s">
        <v>106</v>
      </c>
      <c r="AE133" s="10" t="s">
        <v>107</v>
      </c>
      <c r="AF133" s="20">
        <f t="shared" si="17"/>
        <v>2</v>
      </c>
      <c r="AG133" s="13">
        <f t="shared" si="18"/>
        <v>3</v>
      </c>
      <c r="AH133" s="7">
        <f t="shared" si="19"/>
        <v>10</v>
      </c>
      <c r="AI133" s="7">
        <f t="shared" si="20"/>
        <v>0</v>
      </c>
      <c r="AJ133" s="7">
        <f t="shared" si="21"/>
        <v>0</v>
      </c>
      <c r="AK133" s="7">
        <f t="shared" si="22"/>
        <v>6</v>
      </c>
      <c r="AL133" s="12">
        <f t="shared" si="16"/>
        <v>19</v>
      </c>
      <c r="AM133" s="14" t="str">
        <f t="shared" si="23"/>
        <v>Potential</v>
      </c>
      <c r="AN133" s="10" t="s">
        <v>294</v>
      </c>
      <c r="AO133" s="21">
        <v>15</v>
      </c>
      <c r="AP133" s="10" t="s">
        <v>424</v>
      </c>
    </row>
    <row r="134" spans="1:42" ht="16">
      <c r="A134" s="59">
        <v>45199</v>
      </c>
      <c r="C134" s="10">
        <v>24727338</v>
      </c>
      <c r="D134" s="10" t="s">
        <v>99</v>
      </c>
      <c r="E134" s="11">
        <v>10</v>
      </c>
      <c r="F134" s="39">
        <v>385711</v>
      </c>
      <c r="G134" s="39">
        <v>5995594</v>
      </c>
      <c r="H134" s="11" t="s">
        <v>264</v>
      </c>
      <c r="I134" s="11" t="s">
        <v>117</v>
      </c>
      <c r="K134" s="11" t="s">
        <v>102</v>
      </c>
      <c r="L134" s="10" t="s">
        <v>103</v>
      </c>
      <c r="M134" s="10" t="s">
        <v>148</v>
      </c>
      <c r="N134" s="21">
        <v>4.5</v>
      </c>
      <c r="O134" s="21">
        <v>32</v>
      </c>
      <c r="P134" s="10" t="s">
        <v>105</v>
      </c>
      <c r="Q134" s="87"/>
      <c r="R134" s="10" t="s">
        <v>105</v>
      </c>
      <c r="S134" s="10" t="s">
        <v>109</v>
      </c>
      <c r="T134" s="21">
        <v>100</v>
      </c>
      <c r="U134" s="21">
        <v>1</v>
      </c>
      <c r="V134" s="10">
        <v>0</v>
      </c>
      <c r="W134" s="21">
        <v>1.3</v>
      </c>
      <c r="X134" s="10" t="s">
        <v>105</v>
      </c>
      <c r="Y134" s="21">
        <v>0</v>
      </c>
      <c r="Z134" s="21">
        <v>6</v>
      </c>
      <c r="AA134" s="10">
        <v>0</v>
      </c>
      <c r="AB134" s="10" t="s">
        <v>109</v>
      </c>
      <c r="AC134" s="10" t="s">
        <v>105</v>
      </c>
      <c r="AD134" s="10" t="s">
        <v>106</v>
      </c>
      <c r="AE134" s="10" t="s">
        <v>119</v>
      </c>
      <c r="AF134" s="20">
        <f t="shared" si="17"/>
        <v>1.3333333333333333</v>
      </c>
      <c r="AG134" s="13">
        <f t="shared" si="18"/>
        <v>6</v>
      </c>
      <c r="AH134" s="7">
        <f t="shared" si="19"/>
        <v>10</v>
      </c>
      <c r="AI134" s="7">
        <f t="shared" si="20"/>
        <v>0</v>
      </c>
      <c r="AJ134" s="7">
        <f t="shared" si="21"/>
        <v>0</v>
      </c>
      <c r="AK134" s="7">
        <f t="shared" si="22"/>
        <v>6</v>
      </c>
      <c r="AL134" s="12">
        <f t="shared" si="16"/>
        <v>22</v>
      </c>
      <c r="AM134" s="14" t="str">
        <f t="shared" si="23"/>
        <v>Barrier</v>
      </c>
      <c r="AN134" s="10" t="s">
        <v>294</v>
      </c>
      <c r="AO134" s="21">
        <v>15</v>
      </c>
      <c r="AP134" s="10" t="s">
        <v>425</v>
      </c>
    </row>
    <row r="135" spans="1:42" ht="16">
      <c r="A135" s="59">
        <v>45178</v>
      </c>
      <c r="C135" s="10">
        <v>15600468</v>
      </c>
      <c r="D135" s="10" t="s">
        <v>132</v>
      </c>
      <c r="E135" s="11">
        <v>10</v>
      </c>
      <c r="F135" s="39">
        <v>429073</v>
      </c>
      <c r="G135" s="39">
        <v>5991955</v>
      </c>
      <c r="H135" s="11" t="s">
        <v>133</v>
      </c>
      <c r="I135" s="11" t="s">
        <v>265</v>
      </c>
      <c r="K135" s="11" t="s">
        <v>102</v>
      </c>
      <c r="L135" s="10" t="s">
        <v>103</v>
      </c>
      <c r="M135" s="10" t="s">
        <v>104</v>
      </c>
      <c r="N135" s="21">
        <v>2.2000000000000002</v>
      </c>
      <c r="O135" s="21">
        <v>14</v>
      </c>
      <c r="P135" s="10" t="s">
        <v>105</v>
      </c>
      <c r="Q135" s="87"/>
      <c r="R135" s="10" t="s">
        <v>105</v>
      </c>
      <c r="S135" s="10" t="s">
        <v>109</v>
      </c>
      <c r="T135" s="21">
        <v>100</v>
      </c>
      <c r="U135" s="21">
        <v>1.5</v>
      </c>
      <c r="V135" s="10">
        <v>0</v>
      </c>
      <c r="W135" s="21">
        <v>0.5</v>
      </c>
      <c r="X135" s="10" t="s">
        <v>105</v>
      </c>
      <c r="Y135" s="21">
        <v>0.5</v>
      </c>
      <c r="Z135" s="21">
        <v>2.7</v>
      </c>
      <c r="AA135" s="10">
        <v>0</v>
      </c>
      <c r="AB135" s="10" t="s">
        <v>105</v>
      </c>
      <c r="AC135" s="10" t="s">
        <v>105</v>
      </c>
      <c r="AD135" s="10" t="s">
        <v>106</v>
      </c>
      <c r="AE135" s="10" t="s">
        <v>107</v>
      </c>
      <c r="AF135" s="20">
        <f t="shared" si="17"/>
        <v>1.2272727272727273</v>
      </c>
      <c r="AG135" s="13">
        <f t="shared" si="18"/>
        <v>0</v>
      </c>
      <c r="AH135" s="7">
        <f t="shared" si="19"/>
        <v>10</v>
      </c>
      <c r="AI135" s="7">
        <f t="shared" si="20"/>
        <v>0</v>
      </c>
      <c r="AJ135" s="7">
        <f t="shared" si="21"/>
        <v>0</v>
      </c>
      <c r="AK135" s="7">
        <f t="shared" si="22"/>
        <v>3</v>
      </c>
      <c r="AL135" s="12">
        <f t="shared" ref="AL135:AL198" si="24">AG135 + AH135 + AI135 + AJ135 + AK135</f>
        <v>13</v>
      </c>
      <c r="AM135" s="14" t="str">
        <f t="shared" si="23"/>
        <v>Passable</v>
      </c>
      <c r="AP135" s="10" t="s">
        <v>426</v>
      </c>
    </row>
    <row r="136" spans="1:42" ht="16">
      <c r="A136" s="59">
        <v>45178</v>
      </c>
      <c r="C136" s="10">
        <v>15600111</v>
      </c>
      <c r="D136" s="10" t="s">
        <v>132</v>
      </c>
      <c r="E136" s="11">
        <v>10</v>
      </c>
      <c r="F136" s="39">
        <v>429944</v>
      </c>
      <c r="G136" s="39">
        <v>5992722</v>
      </c>
      <c r="H136" s="11" t="s">
        <v>133</v>
      </c>
      <c r="I136" s="11" t="s">
        <v>266</v>
      </c>
      <c r="K136" s="11" t="s">
        <v>111</v>
      </c>
      <c r="L136" s="10" t="s">
        <v>103</v>
      </c>
      <c r="M136" s="10" t="s">
        <v>257</v>
      </c>
      <c r="N136" s="21">
        <v>3.1</v>
      </c>
      <c r="O136" s="21">
        <v>16</v>
      </c>
      <c r="P136" s="10" t="s">
        <v>105</v>
      </c>
      <c r="Q136" s="87"/>
      <c r="R136" s="10" t="s">
        <v>105</v>
      </c>
      <c r="S136" s="10" t="s">
        <v>109</v>
      </c>
      <c r="T136" s="21">
        <v>100</v>
      </c>
      <c r="U136" s="21">
        <v>0.5</v>
      </c>
      <c r="V136" s="10">
        <v>0</v>
      </c>
      <c r="W136" s="21">
        <v>0.1</v>
      </c>
      <c r="X136" s="10" t="s">
        <v>105</v>
      </c>
      <c r="Y136" s="21">
        <v>0</v>
      </c>
      <c r="Z136" s="21">
        <v>2.7</v>
      </c>
      <c r="AA136" s="10">
        <v>0.5</v>
      </c>
      <c r="AB136" s="10" t="s">
        <v>105</v>
      </c>
      <c r="AC136" s="10" t="s">
        <v>105</v>
      </c>
      <c r="AD136" s="10" t="s">
        <v>106</v>
      </c>
      <c r="AE136" s="10" t="s">
        <v>119</v>
      </c>
      <c r="AF136" s="20">
        <f t="shared" si="17"/>
        <v>0.87096774193548387</v>
      </c>
      <c r="AG136" s="13">
        <f t="shared" si="18"/>
        <v>3</v>
      </c>
      <c r="AH136" s="7">
        <f t="shared" si="19"/>
        <v>10</v>
      </c>
      <c r="AI136" s="7">
        <f t="shared" si="20"/>
        <v>0</v>
      </c>
      <c r="AJ136" s="7">
        <f t="shared" si="21"/>
        <v>0</v>
      </c>
      <c r="AK136" s="7">
        <f t="shared" si="22"/>
        <v>0</v>
      </c>
      <c r="AL136" s="12">
        <f t="shared" si="24"/>
        <v>13</v>
      </c>
      <c r="AM136" s="14" t="str">
        <f t="shared" si="23"/>
        <v>Passable</v>
      </c>
      <c r="AP136" s="10" t="s">
        <v>427</v>
      </c>
    </row>
    <row r="137" spans="1:42" ht="16">
      <c r="A137" s="59">
        <v>45178</v>
      </c>
      <c r="C137" s="10">
        <v>15600106</v>
      </c>
      <c r="D137" s="10" t="s">
        <v>132</v>
      </c>
      <c r="E137" s="11">
        <v>10</v>
      </c>
      <c r="F137" s="39">
        <v>431487</v>
      </c>
      <c r="G137" s="39">
        <v>5990586</v>
      </c>
      <c r="H137" s="11" t="s">
        <v>138</v>
      </c>
      <c r="I137" s="11" t="s">
        <v>265</v>
      </c>
      <c r="K137" s="11" t="s">
        <v>102</v>
      </c>
      <c r="L137" s="10" t="s">
        <v>103</v>
      </c>
      <c r="M137" s="10" t="s">
        <v>104</v>
      </c>
      <c r="N137" s="21">
        <v>2.5</v>
      </c>
      <c r="O137" s="21">
        <v>18</v>
      </c>
      <c r="P137" s="10" t="s">
        <v>105</v>
      </c>
      <c r="Q137" s="87"/>
      <c r="R137" s="10" t="s">
        <v>105</v>
      </c>
      <c r="S137" s="10" t="s">
        <v>109</v>
      </c>
      <c r="T137" s="21">
        <v>100</v>
      </c>
      <c r="U137" s="21">
        <v>3</v>
      </c>
      <c r="V137" s="10">
        <v>0</v>
      </c>
      <c r="W137" s="21">
        <v>1.5</v>
      </c>
      <c r="X137" s="10" t="s">
        <v>109</v>
      </c>
      <c r="Y137" s="21">
        <v>1</v>
      </c>
      <c r="Z137" s="21">
        <v>2.5</v>
      </c>
      <c r="AA137" s="10">
        <v>1</v>
      </c>
      <c r="AB137" s="10" t="s">
        <v>109</v>
      </c>
      <c r="AC137" s="10" t="s">
        <v>105</v>
      </c>
      <c r="AD137" s="10" t="s">
        <v>106</v>
      </c>
      <c r="AE137" s="10" t="s">
        <v>114</v>
      </c>
      <c r="AF137" s="20">
        <f t="shared" ref="AF137:AF200" si="25">IF(ISBLANK(Z137), 0, IF(ISBLANK(N137) &lt; 0, 0,Z137 / N137))</f>
        <v>1</v>
      </c>
      <c r="AG137" s="13">
        <f t="shared" si="18"/>
        <v>3</v>
      </c>
      <c r="AH137" s="7">
        <f t="shared" si="19"/>
        <v>10</v>
      </c>
      <c r="AI137" s="7">
        <f t="shared" si="20"/>
        <v>0</v>
      </c>
      <c r="AJ137" s="7">
        <f t="shared" si="21"/>
        <v>5</v>
      </c>
      <c r="AK137" s="7">
        <f t="shared" si="22"/>
        <v>3</v>
      </c>
      <c r="AL137" s="12">
        <f t="shared" si="24"/>
        <v>21</v>
      </c>
      <c r="AM137" s="14" t="str">
        <f t="shared" si="23"/>
        <v>Barrier</v>
      </c>
      <c r="AN137" s="10" t="s">
        <v>294</v>
      </c>
      <c r="AO137" s="21">
        <v>15</v>
      </c>
      <c r="AP137" s="10" t="s">
        <v>428</v>
      </c>
    </row>
    <row r="138" spans="1:42" ht="32">
      <c r="A138" s="59">
        <v>45179</v>
      </c>
      <c r="C138" s="10">
        <v>15600488</v>
      </c>
      <c r="D138" s="10" t="s">
        <v>132</v>
      </c>
      <c r="E138" s="11">
        <v>10</v>
      </c>
      <c r="F138" s="39">
        <v>427033</v>
      </c>
      <c r="G138" s="39">
        <v>5994538</v>
      </c>
      <c r="H138" s="11" t="s">
        <v>149</v>
      </c>
      <c r="I138" s="11" t="s">
        <v>267</v>
      </c>
      <c r="K138" s="11" t="s">
        <v>102</v>
      </c>
      <c r="L138" s="10" t="s">
        <v>103</v>
      </c>
      <c r="M138" s="10" t="s">
        <v>104</v>
      </c>
      <c r="N138" s="21">
        <v>1.3</v>
      </c>
      <c r="O138" s="21">
        <v>20</v>
      </c>
      <c r="P138" s="10" t="s">
        <v>105</v>
      </c>
      <c r="Q138" s="87"/>
      <c r="R138" s="10" t="s">
        <v>105</v>
      </c>
      <c r="S138" s="10" t="s">
        <v>109</v>
      </c>
      <c r="T138" s="21">
        <v>100</v>
      </c>
      <c r="U138" s="21">
        <v>2.5</v>
      </c>
      <c r="V138" s="10">
        <v>0</v>
      </c>
      <c r="W138" s="21">
        <v>0.8</v>
      </c>
      <c r="X138" s="10" t="s">
        <v>105</v>
      </c>
      <c r="Y138" s="21">
        <v>1</v>
      </c>
      <c r="Z138" s="21">
        <v>1.3</v>
      </c>
      <c r="AA138" s="10">
        <v>1</v>
      </c>
      <c r="AB138" s="10" t="s">
        <v>109</v>
      </c>
      <c r="AC138" s="10" t="s">
        <v>105</v>
      </c>
      <c r="AD138" s="10" t="s">
        <v>106</v>
      </c>
      <c r="AE138" s="10" t="s">
        <v>107</v>
      </c>
      <c r="AF138" s="20">
        <f t="shared" si="25"/>
        <v>1</v>
      </c>
      <c r="AG138" s="13">
        <f t="shared" si="18"/>
        <v>3</v>
      </c>
      <c r="AH138" s="7">
        <f t="shared" si="19"/>
        <v>10</v>
      </c>
      <c r="AI138" s="7">
        <f t="shared" si="20"/>
        <v>0</v>
      </c>
      <c r="AJ138" s="7">
        <f t="shared" si="21"/>
        <v>5</v>
      </c>
      <c r="AK138" s="7">
        <f t="shared" si="22"/>
        <v>3</v>
      </c>
      <c r="AL138" s="12">
        <f t="shared" si="24"/>
        <v>21</v>
      </c>
      <c r="AM138" s="14" t="str">
        <f t="shared" si="23"/>
        <v>Barrier</v>
      </c>
      <c r="AN138" s="10" t="s">
        <v>295</v>
      </c>
      <c r="AO138" s="21">
        <v>3</v>
      </c>
      <c r="AP138" s="10" t="s">
        <v>429</v>
      </c>
    </row>
    <row r="139" spans="1:42" ht="16">
      <c r="A139" s="59">
        <v>45179</v>
      </c>
      <c r="C139" s="10">
        <v>15600120</v>
      </c>
      <c r="D139" s="10" t="s">
        <v>132</v>
      </c>
      <c r="E139" s="11">
        <v>10</v>
      </c>
      <c r="F139" s="39">
        <v>426006</v>
      </c>
      <c r="G139" s="39">
        <v>5998858</v>
      </c>
      <c r="H139" s="11" t="s">
        <v>146</v>
      </c>
      <c r="I139" s="11" t="s">
        <v>268</v>
      </c>
      <c r="K139" s="11" t="s">
        <v>111</v>
      </c>
      <c r="L139" s="10" t="s">
        <v>103</v>
      </c>
      <c r="M139" s="10" t="s">
        <v>104</v>
      </c>
      <c r="N139" s="21">
        <v>2.35</v>
      </c>
      <c r="O139" s="21">
        <v>10</v>
      </c>
      <c r="P139" s="10" t="s">
        <v>105</v>
      </c>
      <c r="Q139" s="87"/>
      <c r="R139" s="10" t="s">
        <v>105</v>
      </c>
      <c r="S139" s="10" t="s">
        <v>109</v>
      </c>
      <c r="T139" s="21">
        <v>100</v>
      </c>
      <c r="U139" s="21">
        <v>0.3</v>
      </c>
      <c r="V139" s="10">
        <v>0</v>
      </c>
      <c r="W139" s="21">
        <v>0.4</v>
      </c>
      <c r="X139" s="10" t="s">
        <v>105</v>
      </c>
      <c r="Y139" s="21">
        <v>1</v>
      </c>
      <c r="Z139" s="21">
        <v>2.5</v>
      </c>
      <c r="AA139" s="10">
        <v>4</v>
      </c>
      <c r="AB139" s="10" t="s">
        <v>109</v>
      </c>
      <c r="AC139" s="10" t="s">
        <v>105</v>
      </c>
      <c r="AD139" s="10" t="s">
        <v>106</v>
      </c>
      <c r="AE139" s="10" t="s">
        <v>107</v>
      </c>
      <c r="AF139" s="20">
        <f t="shared" si="25"/>
        <v>1.0638297872340425</v>
      </c>
      <c r="AG139" s="13">
        <f t="shared" si="18"/>
        <v>0</v>
      </c>
      <c r="AH139" s="7">
        <f t="shared" si="19"/>
        <v>10</v>
      </c>
      <c r="AI139" s="7">
        <f t="shared" si="20"/>
        <v>0</v>
      </c>
      <c r="AJ139" s="7">
        <f t="shared" si="21"/>
        <v>5</v>
      </c>
      <c r="AK139" s="7">
        <f t="shared" si="22"/>
        <v>3</v>
      </c>
      <c r="AL139" s="12">
        <f t="shared" si="24"/>
        <v>18</v>
      </c>
      <c r="AM139" s="14" t="str">
        <f t="shared" si="23"/>
        <v>Potential</v>
      </c>
      <c r="AN139" s="10" t="s">
        <v>294</v>
      </c>
      <c r="AO139" s="21">
        <v>15</v>
      </c>
      <c r="AP139" s="10" t="s">
        <v>430</v>
      </c>
    </row>
    <row r="140" spans="1:42" ht="32">
      <c r="A140" s="59">
        <v>45180</v>
      </c>
      <c r="C140" s="10">
        <v>15600158</v>
      </c>
      <c r="D140" s="10" t="s">
        <v>132</v>
      </c>
      <c r="E140" s="11">
        <v>10</v>
      </c>
      <c r="F140" s="39">
        <v>434160</v>
      </c>
      <c r="G140" s="39">
        <v>5985531</v>
      </c>
      <c r="H140" s="11" t="s">
        <v>121</v>
      </c>
      <c r="I140" s="11" t="s">
        <v>269</v>
      </c>
      <c r="K140" s="11" t="s">
        <v>135</v>
      </c>
      <c r="L140" s="10" t="s">
        <v>103</v>
      </c>
      <c r="M140" s="10" t="s">
        <v>104</v>
      </c>
      <c r="N140" s="21">
        <v>0.8</v>
      </c>
      <c r="O140" s="21">
        <v>16</v>
      </c>
      <c r="P140" s="10" t="s">
        <v>105</v>
      </c>
      <c r="Q140" s="87"/>
      <c r="R140" s="10" t="s">
        <v>105</v>
      </c>
      <c r="S140" s="10" t="s">
        <v>109</v>
      </c>
      <c r="T140" s="21">
        <v>100</v>
      </c>
      <c r="U140" s="21">
        <v>2</v>
      </c>
      <c r="V140" s="10">
        <v>0</v>
      </c>
      <c r="W140" s="21">
        <v>0</v>
      </c>
      <c r="X140" s="10" t="s">
        <v>105</v>
      </c>
      <c r="Y140" s="21">
        <v>0</v>
      </c>
      <c r="Z140" s="21">
        <v>1.5</v>
      </c>
      <c r="AA140" s="10">
        <v>1</v>
      </c>
      <c r="AB140" s="10" t="s">
        <v>105</v>
      </c>
      <c r="AC140" s="10" t="s">
        <v>105</v>
      </c>
      <c r="AD140" s="10" t="s">
        <v>106</v>
      </c>
      <c r="AE140" s="10" t="s">
        <v>107</v>
      </c>
      <c r="AF140" s="20">
        <f t="shared" si="25"/>
        <v>1.875</v>
      </c>
      <c r="AG140" s="13">
        <f t="shared" si="18"/>
        <v>3</v>
      </c>
      <c r="AH140" s="7">
        <f t="shared" si="19"/>
        <v>10</v>
      </c>
      <c r="AI140" s="7">
        <f t="shared" si="20"/>
        <v>0</v>
      </c>
      <c r="AJ140" s="7">
        <f t="shared" si="21"/>
        <v>0</v>
      </c>
      <c r="AK140" s="7">
        <f t="shared" si="22"/>
        <v>6</v>
      </c>
      <c r="AL140" s="12">
        <f t="shared" si="24"/>
        <v>19</v>
      </c>
      <c r="AM140" s="14" t="str">
        <f t="shared" si="23"/>
        <v>Potential</v>
      </c>
      <c r="AN140" s="10" t="s">
        <v>295</v>
      </c>
      <c r="AO140" s="21">
        <v>3</v>
      </c>
      <c r="AP140" s="10" t="s">
        <v>431</v>
      </c>
    </row>
    <row r="141" spans="1:42" ht="32">
      <c r="A141" s="59">
        <v>45180</v>
      </c>
      <c r="C141" s="10">
        <v>15605366</v>
      </c>
      <c r="D141" s="10" t="s">
        <v>132</v>
      </c>
      <c r="E141" s="11">
        <v>10</v>
      </c>
      <c r="F141" s="39">
        <v>434208</v>
      </c>
      <c r="G141" s="39">
        <v>5985603</v>
      </c>
      <c r="H141" s="11" t="s">
        <v>121</v>
      </c>
      <c r="I141" s="11" t="s">
        <v>176</v>
      </c>
      <c r="K141" s="11" t="s">
        <v>177</v>
      </c>
      <c r="L141" s="10" t="s">
        <v>103</v>
      </c>
      <c r="M141" s="10" t="s">
        <v>104</v>
      </c>
      <c r="N141" s="21">
        <v>0.9</v>
      </c>
      <c r="O141" s="21">
        <v>18</v>
      </c>
      <c r="P141" s="10" t="s">
        <v>105</v>
      </c>
      <c r="Q141" s="87"/>
      <c r="R141" s="10" t="s">
        <v>105</v>
      </c>
      <c r="S141" s="10" t="s">
        <v>109</v>
      </c>
      <c r="T141" s="21">
        <v>100</v>
      </c>
      <c r="U141" s="21">
        <v>2</v>
      </c>
      <c r="V141" s="10">
        <v>0</v>
      </c>
      <c r="W141" s="21">
        <v>0.5</v>
      </c>
      <c r="X141" s="10" t="s">
        <v>105</v>
      </c>
      <c r="Y141" s="21">
        <v>0</v>
      </c>
      <c r="Z141" s="21">
        <v>1.3</v>
      </c>
      <c r="AA141" s="10">
        <v>0</v>
      </c>
      <c r="AB141" s="10" t="s">
        <v>105</v>
      </c>
      <c r="AC141" s="10" t="s">
        <v>105</v>
      </c>
      <c r="AD141" s="10" t="s">
        <v>106</v>
      </c>
      <c r="AE141" s="10" t="s">
        <v>114</v>
      </c>
      <c r="AF141" s="20">
        <f t="shared" si="25"/>
        <v>1.4444444444444444</v>
      </c>
      <c r="AG141" s="13">
        <f t="shared" si="18"/>
        <v>3</v>
      </c>
      <c r="AH141" s="7">
        <f t="shared" si="19"/>
        <v>10</v>
      </c>
      <c r="AI141" s="7">
        <f t="shared" si="20"/>
        <v>0</v>
      </c>
      <c r="AJ141" s="7">
        <f t="shared" si="21"/>
        <v>0</v>
      </c>
      <c r="AK141" s="7">
        <f t="shared" si="22"/>
        <v>6</v>
      </c>
      <c r="AL141" s="12">
        <f t="shared" si="24"/>
        <v>19</v>
      </c>
      <c r="AM141" s="14" t="str">
        <f t="shared" si="23"/>
        <v>Potential</v>
      </c>
      <c r="AN141" s="10" t="s">
        <v>295</v>
      </c>
      <c r="AO141" s="21">
        <v>3</v>
      </c>
      <c r="AP141" s="10" t="s">
        <v>432</v>
      </c>
    </row>
    <row r="142" spans="1:42" ht="16">
      <c r="A142" s="59">
        <v>45181</v>
      </c>
      <c r="C142" s="10">
        <v>15600112</v>
      </c>
      <c r="D142" s="10" t="s">
        <v>132</v>
      </c>
      <c r="E142" s="11">
        <v>10</v>
      </c>
      <c r="F142" s="39">
        <v>426644</v>
      </c>
      <c r="G142" s="39">
        <v>5985671</v>
      </c>
      <c r="H142" s="11" t="s">
        <v>169</v>
      </c>
      <c r="I142" s="11" t="s">
        <v>151</v>
      </c>
      <c r="K142" s="11" t="s">
        <v>102</v>
      </c>
      <c r="L142" s="10" t="s">
        <v>103</v>
      </c>
      <c r="M142" s="10" t="s">
        <v>104</v>
      </c>
      <c r="N142" s="21">
        <v>2.2000000000000002</v>
      </c>
      <c r="O142" s="21">
        <v>30</v>
      </c>
      <c r="P142" s="10" t="s">
        <v>105</v>
      </c>
      <c r="Q142" s="87"/>
      <c r="R142" s="10" t="s">
        <v>105</v>
      </c>
      <c r="S142" s="10" t="s">
        <v>109</v>
      </c>
      <c r="T142" s="21">
        <v>100</v>
      </c>
      <c r="U142" s="21">
        <v>4</v>
      </c>
      <c r="V142" s="10">
        <v>0</v>
      </c>
      <c r="W142" s="21">
        <v>0.5</v>
      </c>
      <c r="X142" s="10" t="s">
        <v>105</v>
      </c>
      <c r="Y142" s="21">
        <v>1</v>
      </c>
      <c r="Z142" s="21">
        <v>2.2000000000000002</v>
      </c>
      <c r="AA142" s="10">
        <v>1.5</v>
      </c>
      <c r="AB142" s="10" t="s">
        <v>105</v>
      </c>
      <c r="AC142" s="10" t="s">
        <v>105</v>
      </c>
      <c r="AD142" s="10" t="s">
        <v>106</v>
      </c>
      <c r="AE142" s="10" t="s">
        <v>107</v>
      </c>
      <c r="AF142" s="20">
        <f t="shared" si="25"/>
        <v>1</v>
      </c>
      <c r="AG142" s="13">
        <f t="shared" si="18"/>
        <v>6</v>
      </c>
      <c r="AH142" s="7">
        <f t="shared" si="19"/>
        <v>10</v>
      </c>
      <c r="AI142" s="7">
        <f t="shared" si="20"/>
        <v>0</v>
      </c>
      <c r="AJ142" s="7">
        <f t="shared" si="21"/>
        <v>5</v>
      </c>
      <c r="AK142" s="7">
        <f t="shared" si="22"/>
        <v>3</v>
      </c>
      <c r="AL142" s="12">
        <f t="shared" si="24"/>
        <v>24</v>
      </c>
      <c r="AM142" s="14" t="str">
        <f t="shared" si="23"/>
        <v>Barrier</v>
      </c>
      <c r="AN142" s="10" t="s">
        <v>294</v>
      </c>
      <c r="AO142" s="21">
        <v>18</v>
      </c>
      <c r="AP142" s="10" t="s">
        <v>433</v>
      </c>
    </row>
    <row r="143" spans="1:42" ht="16">
      <c r="A143" s="59">
        <v>45197</v>
      </c>
      <c r="C143" s="10">
        <v>5400448</v>
      </c>
      <c r="D143" s="10" t="s">
        <v>132</v>
      </c>
      <c r="E143" s="11">
        <v>10</v>
      </c>
      <c r="F143" s="39">
        <v>306137</v>
      </c>
      <c r="G143" s="39">
        <v>6031749</v>
      </c>
      <c r="H143" s="11" t="s">
        <v>270</v>
      </c>
      <c r="I143" s="11" t="s">
        <v>170</v>
      </c>
      <c r="K143" s="11" t="s">
        <v>102</v>
      </c>
      <c r="L143" s="10" t="s">
        <v>103</v>
      </c>
      <c r="M143" s="10" t="s">
        <v>104</v>
      </c>
      <c r="N143" s="21">
        <v>2.1</v>
      </c>
      <c r="O143" s="21">
        <v>44</v>
      </c>
      <c r="P143" s="10" t="s">
        <v>105</v>
      </c>
      <c r="Q143" s="87"/>
      <c r="R143" s="10" t="s">
        <v>105</v>
      </c>
      <c r="S143" s="10" t="s">
        <v>109</v>
      </c>
      <c r="T143" s="21">
        <v>25</v>
      </c>
      <c r="U143" s="21">
        <v>4</v>
      </c>
      <c r="V143" s="10">
        <v>0</v>
      </c>
      <c r="W143" s="21">
        <v>0.5</v>
      </c>
      <c r="X143" s="10" t="s">
        <v>105</v>
      </c>
      <c r="Y143" s="21">
        <v>3</v>
      </c>
      <c r="Z143" s="21">
        <v>2.4</v>
      </c>
      <c r="AA143" s="10">
        <v>3</v>
      </c>
      <c r="AB143" s="10" t="s">
        <v>105</v>
      </c>
      <c r="AC143" s="10" t="s">
        <v>109</v>
      </c>
      <c r="AD143" s="10" t="s">
        <v>106</v>
      </c>
      <c r="AE143" s="10" t="s">
        <v>119</v>
      </c>
      <c r="AF143" s="20">
        <f t="shared" si="25"/>
        <v>1.1428571428571428</v>
      </c>
      <c r="AG143" s="13">
        <f t="shared" si="18"/>
        <v>6</v>
      </c>
      <c r="AH143" s="7">
        <f t="shared" si="19"/>
        <v>10</v>
      </c>
      <c r="AI143" s="7">
        <f t="shared" si="20"/>
        <v>0</v>
      </c>
      <c r="AJ143" s="7">
        <f t="shared" si="21"/>
        <v>10</v>
      </c>
      <c r="AK143" s="7">
        <f t="shared" si="22"/>
        <v>3</v>
      </c>
      <c r="AL143" s="12">
        <f t="shared" si="24"/>
        <v>29</v>
      </c>
      <c r="AM143" s="14" t="str">
        <f t="shared" si="23"/>
        <v>Barrier</v>
      </c>
      <c r="AN143" s="10" t="s">
        <v>294</v>
      </c>
      <c r="AO143" s="21">
        <v>18</v>
      </c>
      <c r="AP143" s="10" t="s">
        <v>434</v>
      </c>
    </row>
    <row r="144" spans="1:42" ht="16">
      <c r="A144" s="59">
        <v>45197</v>
      </c>
      <c r="C144" s="10">
        <v>5400181</v>
      </c>
      <c r="D144" s="10" t="s">
        <v>132</v>
      </c>
      <c r="E144" s="11">
        <v>10</v>
      </c>
      <c r="F144" s="39">
        <v>321873</v>
      </c>
      <c r="G144" s="39">
        <v>6012125</v>
      </c>
      <c r="H144" s="11" t="s">
        <v>182</v>
      </c>
      <c r="I144" s="11" t="s">
        <v>271</v>
      </c>
      <c r="K144" s="11" t="s">
        <v>185</v>
      </c>
      <c r="L144" s="10" t="s">
        <v>103</v>
      </c>
      <c r="M144" s="10" t="s">
        <v>104</v>
      </c>
      <c r="N144" s="21">
        <v>0.8</v>
      </c>
      <c r="O144" s="21">
        <v>28</v>
      </c>
      <c r="P144" s="10" t="s">
        <v>105</v>
      </c>
      <c r="Q144" s="87"/>
      <c r="R144" s="10" t="s">
        <v>105</v>
      </c>
      <c r="S144" s="10" t="s">
        <v>109</v>
      </c>
      <c r="T144" s="21">
        <v>100</v>
      </c>
      <c r="U144" s="21">
        <v>3</v>
      </c>
      <c r="V144" s="10">
        <v>0</v>
      </c>
      <c r="W144" s="21">
        <v>0.5</v>
      </c>
      <c r="X144" s="10" t="s">
        <v>105</v>
      </c>
      <c r="Y144" s="21">
        <v>2</v>
      </c>
      <c r="Z144" s="21">
        <v>0.8</v>
      </c>
      <c r="AA144" s="10">
        <v>1</v>
      </c>
      <c r="AB144" s="10" t="s">
        <v>109</v>
      </c>
      <c r="AC144" s="10" t="s">
        <v>105</v>
      </c>
      <c r="AD144" s="10" t="s">
        <v>106</v>
      </c>
      <c r="AE144" s="10" t="s">
        <v>107</v>
      </c>
      <c r="AF144" s="20">
        <f t="shared" si="25"/>
        <v>1</v>
      </c>
      <c r="AG144" s="13">
        <f t="shared" si="18"/>
        <v>3</v>
      </c>
      <c r="AH144" s="7">
        <f t="shared" si="19"/>
        <v>10</v>
      </c>
      <c r="AI144" s="7">
        <f t="shared" si="20"/>
        <v>0</v>
      </c>
      <c r="AJ144" s="7">
        <f t="shared" si="21"/>
        <v>5</v>
      </c>
      <c r="AK144" s="7">
        <f t="shared" si="22"/>
        <v>3</v>
      </c>
      <c r="AL144" s="12">
        <f t="shared" si="24"/>
        <v>21</v>
      </c>
      <c r="AM144" s="14" t="str">
        <f t="shared" si="23"/>
        <v>Barrier</v>
      </c>
      <c r="AN144" s="10" t="s">
        <v>295</v>
      </c>
      <c r="AO144" s="21">
        <v>3</v>
      </c>
      <c r="AP144" s="10" t="s">
        <v>435</v>
      </c>
    </row>
    <row r="145" spans="1:42" ht="16">
      <c r="A145" s="59">
        <v>45198</v>
      </c>
      <c r="C145" s="10">
        <v>5403082</v>
      </c>
      <c r="D145" s="10" t="s">
        <v>132</v>
      </c>
      <c r="E145" s="11">
        <v>10</v>
      </c>
      <c r="F145" s="39">
        <v>327620</v>
      </c>
      <c r="G145" s="39">
        <v>6010443</v>
      </c>
      <c r="H145" s="11" t="s">
        <v>272</v>
      </c>
      <c r="I145" s="11" t="s">
        <v>101</v>
      </c>
      <c r="K145" s="11" t="s">
        <v>102</v>
      </c>
      <c r="L145" s="10" t="s">
        <v>103</v>
      </c>
      <c r="M145" s="10" t="s">
        <v>104</v>
      </c>
      <c r="N145" s="21">
        <v>1.7</v>
      </c>
      <c r="O145" s="21">
        <v>22</v>
      </c>
      <c r="P145" s="10" t="s">
        <v>105</v>
      </c>
      <c r="Q145" s="87"/>
      <c r="R145" s="10" t="s">
        <v>105</v>
      </c>
      <c r="S145" s="10" t="s">
        <v>109</v>
      </c>
      <c r="T145" s="21">
        <v>100</v>
      </c>
      <c r="U145" s="21">
        <v>1.8</v>
      </c>
      <c r="V145" s="10">
        <v>0</v>
      </c>
      <c r="W145" s="21">
        <v>0</v>
      </c>
      <c r="X145" s="10" t="s">
        <v>105</v>
      </c>
      <c r="Y145" s="21">
        <v>2.5</v>
      </c>
      <c r="Z145" s="21">
        <v>3.1</v>
      </c>
      <c r="AA145" s="10">
        <v>2</v>
      </c>
      <c r="AB145" s="10" t="s">
        <v>105</v>
      </c>
      <c r="AC145" s="10" t="s">
        <v>105</v>
      </c>
      <c r="AD145" s="10" t="s">
        <v>106</v>
      </c>
      <c r="AE145" s="10" t="s">
        <v>119</v>
      </c>
      <c r="AF145" s="20">
        <f t="shared" si="25"/>
        <v>1.8235294117647061</v>
      </c>
      <c r="AG145" s="13">
        <f t="shared" si="18"/>
        <v>3</v>
      </c>
      <c r="AH145" s="7">
        <f t="shared" si="19"/>
        <v>10</v>
      </c>
      <c r="AI145" s="7">
        <f t="shared" si="20"/>
        <v>0</v>
      </c>
      <c r="AJ145" s="7">
        <f t="shared" si="21"/>
        <v>5</v>
      </c>
      <c r="AK145" s="7">
        <f t="shared" si="22"/>
        <v>6</v>
      </c>
      <c r="AL145" s="12">
        <f t="shared" si="24"/>
        <v>24</v>
      </c>
      <c r="AM145" s="14" t="str">
        <f t="shared" si="23"/>
        <v>Barrier</v>
      </c>
      <c r="AN145" s="10" t="s">
        <v>294</v>
      </c>
      <c r="AO145" s="21">
        <v>15</v>
      </c>
      <c r="AP145" s="10" t="s">
        <v>436</v>
      </c>
    </row>
    <row r="146" spans="1:42" ht="16">
      <c r="A146" s="59">
        <v>45198</v>
      </c>
      <c r="C146" s="10">
        <v>5400193</v>
      </c>
      <c r="D146" s="10" t="s">
        <v>132</v>
      </c>
      <c r="E146" s="11">
        <v>10</v>
      </c>
      <c r="F146" s="39">
        <v>352357</v>
      </c>
      <c r="G146" s="39">
        <v>5996976</v>
      </c>
      <c r="H146" s="11" t="s">
        <v>273</v>
      </c>
      <c r="I146" s="11" t="s">
        <v>101</v>
      </c>
      <c r="K146" s="11" t="s">
        <v>102</v>
      </c>
      <c r="L146" s="10" t="s">
        <v>103</v>
      </c>
      <c r="M146" s="10" t="s">
        <v>104</v>
      </c>
      <c r="N146" s="21">
        <v>4</v>
      </c>
      <c r="O146" s="21">
        <v>32</v>
      </c>
      <c r="P146" s="10" t="s">
        <v>105</v>
      </c>
      <c r="Q146" s="87"/>
      <c r="R146" s="10" t="s">
        <v>105</v>
      </c>
      <c r="S146" s="10" t="s">
        <v>109</v>
      </c>
      <c r="T146" s="21">
        <v>100</v>
      </c>
      <c r="U146" s="21">
        <v>2.2000000000000002</v>
      </c>
      <c r="V146" s="10">
        <v>0</v>
      </c>
      <c r="W146" s="21">
        <v>0</v>
      </c>
      <c r="X146" s="10" t="s">
        <v>105</v>
      </c>
      <c r="Y146" s="21">
        <v>1</v>
      </c>
      <c r="Z146" s="21">
        <v>8.4</v>
      </c>
      <c r="AA146" s="10">
        <v>1</v>
      </c>
      <c r="AB146" s="10" t="s">
        <v>105</v>
      </c>
      <c r="AC146" s="10" t="s">
        <v>105</v>
      </c>
      <c r="AD146" s="10" t="s">
        <v>106</v>
      </c>
      <c r="AE146" s="10" t="s">
        <v>107</v>
      </c>
      <c r="AF146" s="20">
        <f t="shared" si="25"/>
        <v>2.1</v>
      </c>
      <c r="AG146" s="13">
        <f t="shared" si="18"/>
        <v>6</v>
      </c>
      <c r="AH146" s="7">
        <f t="shared" si="19"/>
        <v>10</v>
      </c>
      <c r="AI146" s="7">
        <f t="shared" si="20"/>
        <v>0</v>
      </c>
      <c r="AJ146" s="7">
        <f t="shared" si="21"/>
        <v>5</v>
      </c>
      <c r="AK146" s="7">
        <f t="shared" si="22"/>
        <v>6</v>
      </c>
      <c r="AL146" s="12">
        <f t="shared" si="24"/>
        <v>27</v>
      </c>
      <c r="AM146" s="14" t="str">
        <f t="shared" si="23"/>
        <v>Barrier</v>
      </c>
      <c r="AN146" s="10" t="s">
        <v>294</v>
      </c>
      <c r="AO146" s="21">
        <v>15</v>
      </c>
      <c r="AP146" s="10" t="s">
        <v>437</v>
      </c>
    </row>
    <row r="147" spans="1:42" ht="32">
      <c r="A147" s="59">
        <v>45200</v>
      </c>
      <c r="C147" s="10">
        <v>9905144</v>
      </c>
      <c r="D147" s="10" t="s">
        <v>132</v>
      </c>
      <c r="E147" s="11">
        <v>10</v>
      </c>
      <c r="F147" s="39">
        <v>492375</v>
      </c>
      <c r="G147" s="39">
        <v>5956652</v>
      </c>
      <c r="H147" s="11" t="s">
        <v>274</v>
      </c>
      <c r="I147" s="11" t="s">
        <v>275</v>
      </c>
      <c r="K147" s="11" t="s">
        <v>111</v>
      </c>
      <c r="L147" s="10" t="s">
        <v>103</v>
      </c>
      <c r="M147" s="10" t="s">
        <v>104</v>
      </c>
      <c r="N147" s="21">
        <v>0.9</v>
      </c>
      <c r="O147" s="21">
        <v>16</v>
      </c>
      <c r="P147" s="10" t="s">
        <v>105</v>
      </c>
      <c r="Q147" s="87"/>
      <c r="R147" s="10" t="s">
        <v>105</v>
      </c>
      <c r="S147" s="10" t="s">
        <v>109</v>
      </c>
      <c r="T147" s="21">
        <v>100</v>
      </c>
      <c r="U147" s="21">
        <v>1.6</v>
      </c>
      <c r="V147" s="10">
        <v>0</v>
      </c>
      <c r="W147" s="21">
        <v>0.5</v>
      </c>
      <c r="X147" s="10" t="s">
        <v>105</v>
      </c>
      <c r="Y147" s="21">
        <v>1.5</v>
      </c>
      <c r="Z147" s="21">
        <v>1</v>
      </c>
      <c r="AA147" s="10">
        <v>1</v>
      </c>
      <c r="AB147" s="10" t="s">
        <v>109</v>
      </c>
      <c r="AC147" s="10" t="s">
        <v>105</v>
      </c>
      <c r="AD147" s="10" t="s">
        <v>106</v>
      </c>
      <c r="AE147" s="10" t="s">
        <v>114</v>
      </c>
      <c r="AF147" s="20">
        <f t="shared" si="25"/>
        <v>1.1111111111111112</v>
      </c>
      <c r="AG147" s="13">
        <f t="shared" si="18"/>
        <v>3</v>
      </c>
      <c r="AH147" s="7">
        <f t="shared" si="19"/>
        <v>10</v>
      </c>
      <c r="AI147" s="7">
        <f t="shared" si="20"/>
        <v>0</v>
      </c>
      <c r="AJ147" s="7">
        <f t="shared" si="21"/>
        <v>5</v>
      </c>
      <c r="AK147" s="7">
        <f t="shared" si="22"/>
        <v>3</v>
      </c>
      <c r="AL147" s="12">
        <f t="shared" si="24"/>
        <v>21</v>
      </c>
      <c r="AM147" s="14" t="str">
        <f t="shared" si="23"/>
        <v>Barrier</v>
      </c>
      <c r="AN147" s="10" t="s">
        <v>295</v>
      </c>
      <c r="AO147" s="21">
        <v>3</v>
      </c>
      <c r="AP147" s="10" t="s">
        <v>438</v>
      </c>
    </row>
    <row r="148" spans="1:42" ht="32">
      <c r="A148" s="59">
        <v>45202</v>
      </c>
      <c r="C148" s="10">
        <v>13900028</v>
      </c>
      <c r="D148" s="10" t="s">
        <v>99</v>
      </c>
      <c r="E148" s="11">
        <v>10</v>
      </c>
      <c r="F148" s="39">
        <v>612135</v>
      </c>
      <c r="G148" s="39">
        <v>5967623</v>
      </c>
      <c r="H148" s="11" t="s">
        <v>210</v>
      </c>
      <c r="I148" s="11" t="s">
        <v>276</v>
      </c>
      <c r="K148" s="11" t="s">
        <v>277</v>
      </c>
      <c r="L148" s="10" t="s">
        <v>103</v>
      </c>
      <c r="M148" s="10" t="s">
        <v>104</v>
      </c>
      <c r="N148" s="21">
        <v>1.4</v>
      </c>
      <c r="O148" s="21">
        <v>10</v>
      </c>
      <c r="P148" s="10" t="s">
        <v>105</v>
      </c>
      <c r="Q148" s="87"/>
      <c r="R148" s="10" t="s">
        <v>105</v>
      </c>
      <c r="S148" s="10" t="s">
        <v>109</v>
      </c>
      <c r="T148" s="21">
        <v>40</v>
      </c>
      <c r="U148" s="21">
        <v>0.3</v>
      </c>
      <c r="V148" s="10">
        <v>0</v>
      </c>
      <c r="W148" s="21">
        <v>1</v>
      </c>
      <c r="X148" s="10" t="s">
        <v>105</v>
      </c>
      <c r="Y148" s="21">
        <v>1.5</v>
      </c>
      <c r="Z148" s="21">
        <v>3.4</v>
      </c>
      <c r="AA148" s="10">
        <v>3</v>
      </c>
      <c r="AB148" s="10" t="s">
        <v>105</v>
      </c>
      <c r="AC148" s="10" t="s">
        <v>105</v>
      </c>
      <c r="AD148" s="10" t="s">
        <v>106</v>
      </c>
      <c r="AE148" s="10" t="s">
        <v>107</v>
      </c>
      <c r="AF148" s="20">
        <f t="shared" si="25"/>
        <v>2.4285714285714288</v>
      </c>
      <c r="AG148" s="13">
        <f t="shared" si="18"/>
        <v>0</v>
      </c>
      <c r="AH148" s="7">
        <f t="shared" si="19"/>
        <v>10</v>
      </c>
      <c r="AI148" s="7">
        <f t="shared" si="20"/>
        <v>0</v>
      </c>
      <c r="AJ148" s="7">
        <f t="shared" si="21"/>
        <v>5</v>
      </c>
      <c r="AK148" s="7">
        <f t="shared" si="22"/>
        <v>6</v>
      </c>
      <c r="AL148" s="12">
        <f t="shared" si="24"/>
        <v>21</v>
      </c>
      <c r="AM148" s="14" t="str">
        <f t="shared" si="23"/>
        <v>Barrier</v>
      </c>
      <c r="AN148" s="10" t="s">
        <v>294</v>
      </c>
      <c r="AO148" s="21">
        <v>15</v>
      </c>
      <c r="AP148" s="10" t="s">
        <v>439</v>
      </c>
    </row>
    <row r="149" spans="1:42" ht="32">
      <c r="A149" s="59">
        <v>45202</v>
      </c>
      <c r="C149" s="10">
        <v>13900308</v>
      </c>
      <c r="D149" s="10" t="s">
        <v>132</v>
      </c>
      <c r="E149" s="11">
        <v>10</v>
      </c>
      <c r="F149" s="39">
        <v>607110</v>
      </c>
      <c r="G149" s="39">
        <v>5971294</v>
      </c>
      <c r="H149" s="11" t="s">
        <v>210</v>
      </c>
      <c r="I149" s="11" t="s">
        <v>211</v>
      </c>
      <c r="K149" s="11" t="s">
        <v>212</v>
      </c>
      <c r="L149" s="10" t="s">
        <v>103</v>
      </c>
      <c r="M149" s="10" t="s">
        <v>104</v>
      </c>
      <c r="N149" s="21">
        <v>2</v>
      </c>
      <c r="O149" s="21">
        <v>8.5</v>
      </c>
      <c r="P149" s="10" t="s">
        <v>105</v>
      </c>
      <c r="Q149" s="87"/>
      <c r="R149" s="10" t="s">
        <v>105</v>
      </c>
      <c r="S149" s="10" t="s">
        <v>109</v>
      </c>
      <c r="T149" s="21">
        <v>100</v>
      </c>
      <c r="U149" s="21">
        <v>0.7</v>
      </c>
      <c r="V149" s="10">
        <v>0</v>
      </c>
      <c r="W149" s="21">
        <v>0.6</v>
      </c>
      <c r="X149" s="10" t="s">
        <v>105</v>
      </c>
      <c r="Y149" s="21">
        <v>0</v>
      </c>
      <c r="Z149" s="21">
        <v>5.9</v>
      </c>
      <c r="AA149" s="10">
        <v>3</v>
      </c>
      <c r="AB149" s="10" t="s">
        <v>105</v>
      </c>
      <c r="AC149" s="10" t="s">
        <v>109</v>
      </c>
      <c r="AD149" s="10" t="s">
        <v>106</v>
      </c>
      <c r="AE149" s="10" t="s">
        <v>119</v>
      </c>
      <c r="AF149" s="20">
        <f t="shared" si="25"/>
        <v>2.95</v>
      </c>
      <c r="AG149" s="13">
        <f t="shared" si="18"/>
        <v>0</v>
      </c>
      <c r="AH149" s="7">
        <f t="shared" si="19"/>
        <v>10</v>
      </c>
      <c r="AI149" s="7">
        <f t="shared" si="20"/>
        <v>0</v>
      </c>
      <c r="AJ149" s="7">
        <f t="shared" si="21"/>
        <v>0</v>
      </c>
      <c r="AK149" s="7">
        <f t="shared" si="22"/>
        <v>6</v>
      </c>
      <c r="AL149" s="12">
        <f t="shared" si="24"/>
        <v>16</v>
      </c>
      <c r="AM149" s="14" t="str">
        <f t="shared" si="23"/>
        <v>Potential</v>
      </c>
      <c r="AN149" s="10" t="s">
        <v>294</v>
      </c>
      <c r="AO149" s="21">
        <v>15</v>
      </c>
      <c r="AP149" s="10" t="s">
        <v>440</v>
      </c>
    </row>
    <row r="150" spans="1:42" ht="16">
      <c r="A150" s="59">
        <v>45202</v>
      </c>
      <c r="C150" s="10">
        <v>13900252</v>
      </c>
      <c r="D150" s="10" t="s">
        <v>132</v>
      </c>
      <c r="E150" s="11">
        <v>10</v>
      </c>
      <c r="F150" s="39">
        <v>590794</v>
      </c>
      <c r="G150" s="39">
        <v>5982763</v>
      </c>
      <c r="H150" s="11" t="s">
        <v>278</v>
      </c>
      <c r="I150" s="11" t="s">
        <v>219</v>
      </c>
      <c r="K150" s="11" t="s">
        <v>102</v>
      </c>
      <c r="L150" s="10" t="s">
        <v>103</v>
      </c>
      <c r="M150" s="10" t="s">
        <v>104</v>
      </c>
      <c r="N150" s="21">
        <v>3.3</v>
      </c>
      <c r="O150" s="21">
        <v>7</v>
      </c>
      <c r="P150" s="10" t="s">
        <v>105</v>
      </c>
      <c r="Q150" s="87"/>
      <c r="R150" s="10" t="s">
        <v>105</v>
      </c>
      <c r="S150" s="10" t="s">
        <v>109</v>
      </c>
      <c r="T150" s="21">
        <v>100</v>
      </c>
      <c r="U150" s="21">
        <v>1</v>
      </c>
      <c r="V150" s="10">
        <v>0</v>
      </c>
      <c r="W150" s="21">
        <v>0</v>
      </c>
      <c r="X150" s="10" t="s">
        <v>105</v>
      </c>
      <c r="Y150" s="21">
        <v>1</v>
      </c>
      <c r="Z150" s="21">
        <v>4.0999999999999996</v>
      </c>
      <c r="AA150" s="10">
        <v>2</v>
      </c>
      <c r="AB150" s="10" t="s">
        <v>105</v>
      </c>
      <c r="AC150" s="10" t="s">
        <v>105</v>
      </c>
      <c r="AD150" s="10" t="s">
        <v>106</v>
      </c>
      <c r="AE150" s="10" t="s">
        <v>119</v>
      </c>
      <c r="AF150" s="20">
        <f t="shared" si="25"/>
        <v>1.2424242424242424</v>
      </c>
      <c r="AG150" s="13">
        <f t="shared" si="18"/>
        <v>0</v>
      </c>
      <c r="AH150" s="7">
        <f t="shared" si="19"/>
        <v>10</v>
      </c>
      <c r="AI150" s="7">
        <f t="shared" si="20"/>
        <v>0</v>
      </c>
      <c r="AJ150" s="7">
        <f t="shared" si="21"/>
        <v>5</v>
      </c>
      <c r="AK150" s="7">
        <f t="shared" si="22"/>
        <v>3</v>
      </c>
      <c r="AL150" s="12">
        <f t="shared" si="24"/>
        <v>18</v>
      </c>
      <c r="AM150" s="14" t="str">
        <f t="shared" si="23"/>
        <v>Potential</v>
      </c>
      <c r="AN150" s="10" t="s">
        <v>294</v>
      </c>
      <c r="AO150" s="21">
        <v>15</v>
      </c>
      <c r="AP150" s="10" t="s">
        <v>441</v>
      </c>
    </row>
    <row r="151" spans="1:42" ht="32">
      <c r="A151" s="59">
        <v>45202</v>
      </c>
      <c r="C151" s="10">
        <v>13900050</v>
      </c>
      <c r="D151" s="10" t="s">
        <v>132</v>
      </c>
      <c r="E151" s="11">
        <v>10</v>
      </c>
      <c r="F151" s="39">
        <v>582105</v>
      </c>
      <c r="G151" s="39">
        <v>5989825</v>
      </c>
      <c r="H151" s="11" t="s">
        <v>210</v>
      </c>
      <c r="I151" s="11" t="s">
        <v>219</v>
      </c>
      <c r="K151" s="11" t="s">
        <v>102</v>
      </c>
      <c r="L151" s="10" t="s">
        <v>103</v>
      </c>
      <c r="M151" s="10" t="s">
        <v>104</v>
      </c>
      <c r="N151" s="21">
        <v>0.8</v>
      </c>
      <c r="O151" s="21">
        <v>12</v>
      </c>
      <c r="P151" s="10" t="s">
        <v>105</v>
      </c>
      <c r="Q151" s="87"/>
      <c r="R151" s="10" t="s">
        <v>105</v>
      </c>
      <c r="S151" s="10" t="s">
        <v>109</v>
      </c>
      <c r="T151" s="21">
        <v>100</v>
      </c>
      <c r="U151" s="21">
        <v>1.2</v>
      </c>
      <c r="V151" s="10">
        <v>0</v>
      </c>
      <c r="W151" s="21">
        <v>0</v>
      </c>
      <c r="X151" s="10" t="s">
        <v>105</v>
      </c>
      <c r="Y151" s="21">
        <v>2</v>
      </c>
      <c r="Z151" s="21">
        <v>1.2</v>
      </c>
      <c r="AA151" s="10">
        <v>1.5</v>
      </c>
      <c r="AB151" s="10" t="s">
        <v>105</v>
      </c>
      <c r="AC151" s="10" t="s">
        <v>105</v>
      </c>
      <c r="AD151" s="10" t="s">
        <v>106</v>
      </c>
      <c r="AE151" s="10" t="s">
        <v>114</v>
      </c>
      <c r="AF151" s="20">
        <f t="shared" si="25"/>
        <v>1.4999999999999998</v>
      </c>
      <c r="AG151" s="13">
        <f t="shared" si="18"/>
        <v>0</v>
      </c>
      <c r="AH151" s="7">
        <f t="shared" si="19"/>
        <v>10</v>
      </c>
      <c r="AI151" s="7">
        <f t="shared" si="20"/>
        <v>0</v>
      </c>
      <c r="AJ151" s="7">
        <f t="shared" si="21"/>
        <v>5</v>
      </c>
      <c r="AK151" s="7">
        <f t="shared" si="22"/>
        <v>6</v>
      </c>
      <c r="AL151" s="12">
        <f t="shared" si="24"/>
        <v>21</v>
      </c>
      <c r="AM151" s="14" t="str">
        <f t="shared" si="23"/>
        <v>Barrier</v>
      </c>
      <c r="AN151" s="10" t="s">
        <v>295</v>
      </c>
      <c r="AO151" s="21">
        <v>3</v>
      </c>
      <c r="AP151" s="10" t="s">
        <v>442</v>
      </c>
    </row>
    <row r="152" spans="1:42" ht="16">
      <c r="A152" s="59">
        <v>45202</v>
      </c>
      <c r="C152" s="10">
        <v>13900283</v>
      </c>
      <c r="D152" s="10" t="s">
        <v>99</v>
      </c>
      <c r="E152" s="11">
        <v>10</v>
      </c>
      <c r="F152" s="39">
        <v>558697</v>
      </c>
      <c r="G152" s="39">
        <v>5995816</v>
      </c>
      <c r="H152" s="11" t="s">
        <v>279</v>
      </c>
      <c r="I152" s="11" t="s">
        <v>219</v>
      </c>
      <c r="K152" s="11" t="s">
        <v>102</v>
      </c>
      <c r="L152" s="10" t="s">
        <v>103</v>
      </c>
      <c r="M152" s="10" t="s">
        <v>104</v>
      </c>
      <c r="N152" s="21">
        <v>2</v>
      </c>
      <c r="O152" s="21">
        <v>14</v>
      </c>
      <c r="P152" s="10" t="s">
        <v>105</v>
      </c>
      <c r="Q152" s="87"/>
      <c r="R152" s="10" t="s">
        <v>105</v>
      </c>
      <c r="S152" s="10" t="s">
        <v>109</v>
      </c>
      <c r="T152" s="21">
        <v>100</v>
      </c>
      <c r="U152" s="21">
        <v>2.5</v>
      </c>
      <c r="V152" s="10">
        <v>0</v>
      </c>
      <c r="W152" s="21">
        <v>0.7</v>
      </c>
      <c r="X152" s="10" t="s">
        <v>105</v>
      </c>
      <c r="Y152" s="21">
        <v>0</v>
      </c>
      <c r="Z152" s="21">
        <v>2.5</v>
      </c>
      <c r="AA152" s="10">
        <v>0</v>
      </c>
      <c r="AB152" s="10" t="s">
        <v>109</v>
      </c>
      <c r="AC152" s="10" t="s">
        <v>105</v>
      </c>
      <c r="AD152" s="10" t="s">
        <v>106</v>
      </c>
      <c r="AE152" s="10" t="s">
        <v>107</v>
      </c>
      <c r="AF152" s="20">
        <f t="shared" si="25"/>
        <v>1.25</v>
      </c>
      <c r="AG152" s="13">
        <f t="shared" si="18"/>
        <v>0</v>
      </c>
      <c r="AH152" s="7">
        <f t="shared" si="19"/>
        <v>10</v>
      </c>
      <c r="AI152" s="7">
        <f t="shared" si="20"/>
        <v>0</v>
      </c>
      <c r="AJ152" s="7">
        <f t="shared" si="21"/>
        <v>0</v>
      </c>
      <c r="AK152" s="7">
        <f t="shared" si="22"/>
        <v>3</v>
      </c>
      <c r="AL152" s="12">
        <f t="shared" si="24"/>
        <v>13</v>
      </c>
      <c r="AM152" s="14" t="str">
        <f t="shared" si="23"/>
        <v>Passable</v>
      </c>
      <c r="AP152" s="10" t="s">
        <v>443</v>
      </c>
    </row>
    <row r="153" spans="1:42" ht="32">
      <c r="A153" s="59">
        <v>45203</v>
      </c>
      <c r="C153" s="10">
        <v>13903627</v>
      </c>
      <c r="D153" s="10" t="s">
        <v>132</v>
      </c>
      <c r="E153" s="11">
        <v>10</v>
      </c>
      <c r="F153" s="39">
        <v>579525</v>
      </c>
      <c r="G153" s="39">
        <v>5977412</v>
      </c>
      <c r="H153" s="11" t="s">
        <v>221</v>
      </c>
      <c r="I153" s="11" t="s">
        <v>222</v>
      </c>
      <c r="K153" s="11" t="s">
        <v>280</v>
      </c>
      <c r="L153" s="10" t="s">
        <v>103</v>
      </c>
      <c r="M153" s="10" t="s">
        <v>104</v>
      </c>
      <c r="N153" s="21">
        <v>0.7</v>
      </c>
      <c r="O153" s="21">
        <v>16</v>
      </c>
      <c r="P153" s="10" t="s">
        <v>105</v>
      </c>
      <c r="Q153" s="87"/>
      <c r="R153" s="10" t="s">
        <v>105</v>
      </c>
      <c r="S153" s="10" t="s">
        <v>109</v>
      </c>
      <c r="T153" s="21">
        <v>100</v>
      </c>
      <c r="U153" s="21">
        <v>1.5</v>
      </c>
      <c r="V153" s="10">
        <v>0</v>
      </c>
      <c r="W153" s="21">
        <v>0</v>
      </c>
      <c r="X153" s="10" t="s">
        <v>105</v>
      </c>
      <c r="Y153" s="21">
        <v>1</v>
      </c>
      <c r="Z153" s="21">
        <v>2.1</v>
      </c>
      <c r="AA153" s="10">
        <v>0</v>
      </c>
      <c r="AB153" s="10" t="s">
        <v>105</v>
      </c>
      <c r="AC153" s="10" t="s">
        <v>105</v>
      </c>
      <c r="AD153" s="10" t="s">
        <v>106</v>
      </c>
      <c r="AE153" s="10" t="s">
        <v>114</v>
      </c>
      <c r="AF153" s="20">
        <f t="shared" si="25"/>
        <v>3.0000000000000004</v>
      </c>
      <c r="AG153" s="13">
        <f t="shared" si="18"/>
        <v>3</v>
      </c>
      <c r="AH153" s="7">
        <f t="shared" si="19"/>
        <v>10</v>
      </c>
      <c r="AI153" s="7">
        <f t="shared" si="20"/>
        <v>0</v>
      </c>
      <c r="AJ153" s="7">
        <f t="shared" si="21"/>
        <v>5</v>
      </c>
      <c r="AK153" s="7">
        <f t="shared" si="22"/>
        <v>6</v>
      </c>
      <c r="AL153" s="12">
        <f t="shared" si="24"/>
        <v>24</v>
      </c>
      <c r="AM153" s="14" t="str">
        <f t="shared" si="23"/>
        <v>Barrier</v>
      </c>
      <c r="AN153" s="10" t="s">
        <v>294</v>
      </c>
      <c r="AO153" s="21">
        <v>15</v>
      </c>
      <c r="AP153" s="10" t="s">
        <v>444</v>
      </c>
    </row>
    <row r="154" spans="1:42" ht="32">
      <c r="A154" s="59">
        <v>45203</v>
      </c>
      <c r="C154" s="10">
        <v>13903618</v>
      </c>
      <c r="D154" s="10" t="s">
        <v>99</v>
      </c>
      <c r="E154" s="11">
        <v>10</v>
      </c>
      <c r="F154" s="39">
        <v>578804</v>
      </c>
      <c r="G154" s="39">
        <v>5973956</v>
      </c>
      <c r="H154" s="11" t="s">
        <v>221</v>
      </c>
      <c r="I154" s="11" t="s">
        <v>222</v>
      </c>
      <c r="J154" s="22">
        <v>31</v>
      </c>
      <c r="K154" s="11" t="s">
        <v>280</v>
      </c>
      <c r="L154" s="10" t="s">
        <v>103</v>
      </c>
      <c r="M154" s="10" t="s">
        <v>104</v>
      </c>
      <c r="N154" s="21">
        <v>0.9</v>
      </c>
      <c r="O154" s="21">
        <v>18</v>
      </c>
      <c r="P154" s="10" t="s">
        <v>105</v>
      </c>
      <c r="Q154" s="87"/>
      <c r="R154" s="10" t="s">
        <v>105</v>
      </c>
      <c r="S154" s="10" t="s">
        <v>109</v>
      </c>
      <c r="T154" s="21">
        <v>50</v>
      </c>
      <c r="U154" s="21">
        <v>1.4</v>
      </c>
      <c r="V154" s="10">
        <v>0</v>
      </c>
      <c r="W154" s="21">
        <v>0.5</v>
      </c>
      <c r="X154" s="10" t="s">
        <v>105</v>
      </c>
      <c r="Y154" s="21">
        <v>4</v>
      </c>
      <c r="Z154" s="21">
        <v>1.8</v>
      </c>
      <c r="AA154" s="10">
        <v>1.5</v>
      </c>
      <c r="AB154" s="10" t="s">
        <v>109</v>
      </c>
      <c r="AC154" s="10" t="s">
        <v>105</v>
      </c>
      <c r="AD154" s="10" t="s">
        <v>106</v>
      </c>
      <c r="AE154" s="10" t="s">
        <v>107</v>
      </c>
      <c r="AF154" s="20">
        <f t="shared" si="25"/>
        <v>2</v>
      </c>
      <c r="AG154" s="13">
        <f t="shared" si="18"/>
        <v>3</v>
      </c>
      <c r="AH154" s="7">
        <f t="shared" si="19"/>
        <v>10</v>
      </c>
      <c r="AI154" s="7">
        <f t="shared" si="20"/>
        <v>0</v>
      </c>
      <c r="AJ154" s="7">
        <f t="shared" si="21"/>
        <v>10</v>
      </c>
      <c r="AK154" s="7">
        <f t="shared" si="22"/>
        <v>6</v>
      </c>
      <c r="AL154" s="12">
        <f t="shared" si="24"/>
        <v>29</v>
      </c>
      <c r="AM154" s="14" t="str">
        <f t="shared" si="23"/>
        <v>Barrier</v>
      </c>
      <c r="AN154" s="10" t="s">
        <v>295</v>
      </c>
      <c r="AO154" s="21">
        <v>3</v>
      </c>
      <c r="AP154" s="10" t="s">
        <v>445</v>
      </c>
    </row>
    <row r="155" spans="1:42" ht="32">
      <c r="A155" s="59">
        <v>45203</v>
      </c>
      <c r="C155" s="10">
        <v>13900193</v>
      </c>
      <c r="D155" s="10" t="s">
        <v>132</v>
      </c>
      <c r="E155" s="11">
        <v>10</v>
      </c>
      <c r="F155" s="39">
        <v>585722</v>
      </c>
      <c r="G155" s="39">
        <v>5973394</v>
      </c>
      <c r="H155" s="11" t="s">
        <v>221</v>
      </c>
      <c r="I155" s="11" t="s">
        <v>101</v>
      </c>
      <c r="K155" s="11" t="s">
        <v>102</v>
      </c>
      <c r="L155" s="10" t="s">
        <v>103</v>
      </c>
      <c r="M155" s="10" t="s">
        <v>104</v>
      </c>
      <c r="N155" s="21">
        <v>1.2</v>
      </c>
      <c r="O155" s="21">
        <v>21</v>
      </c>
      <c r="P155" s="10" t="s">
        <v>105</v>
      </c>
      <c r="Q155" s="87"/>
      <c r="R155" s="10" t="s">
        <v>105</v>
      </c>
      <c r="S155" s="10" t="s">
        <v>109</v>
      </c>
      <c r="U155" s="21">
        <v>1.2</v>
      </c>
      <c r="V155" s="10">
        <v>0</v>
      </c>
      <c r="W155" s="21">
        <v>0</v>
      </c>
      <c r="X155" s="10" t="s">
        <v>109</v>
      </c>
      <c r="Y155" s="21">
        <v>4</v>
      </c>
      <c r="Z155" s="21">
        <v>2.1</v>
      </c>
      <c r="AA155" s="10">
        <v>5</v>
      </c>
      <c r="AB155" s="10" t="s">
        <v>105</v>
      </c>
      <c r="AC155" s="10" t="s">
        <v>109</v>
      </c>
      <c r="AD155" s="10" t="s">
        <v>106</v>
      </c>
      <c r="AE155" s="10" t="s">
        <v>119</v>
      </c>
      <c r="AF155" s="20">
        <f t="shared" si="25"/>
        <v>1.7500000000000002</v>
      </c>
      <c r="AG155" s="13">
        <f t="shared" si="18"/>
        <v>3</v>
      </c>
      <c r="AH155" s="7">
        <f t="shared" si="19"/>
        <v>10</v>
      </c>
      <c r="AI155" s="7">
        <f t="shared" si="20"/>
        <v>0</v>
      </c>
      <c r="AJ155" s="7">
        <f t="shared" si="21"/>
        <v>10</v>
      </c>
      <c r="AK155" s="7">
        <f t="shared" si="22"/>
        <v>6</v>
      </c>
      <c r="AL155" s="12">
        <f t="shared" si="24"/>
        <v>29</v>
      </c>
      <c r="AM155" s="14" t="str">
        <f t="shared" si="23"/>
        <v>Barrier</v>
      </c>
      <c r="AN155" s="10" t="s">
        <v>294</v>
      </c>
      <c r="AO155" s="21">
        <v>15</v>
      </c>
      <c r="AP155" s="10" t="s">
        <v>446</v>
      </c>
    </row>
    <row r="156" spans="1:42" ht="16">
      <c r="A156" s="59">
        <v>45204</v>
      </c>
      <c r="C156" s="10">
        <v>13903148</v>
      </c>
      <c r="D156" s="10" t="s">
        <v>132</v>
      </c>
      <c r="E156" s="11">
        <v>10</v>
      </c>
      <c r="F156" s="39">
        <v>689760</v>
      </c>
      <c r="G156" s="39">
        <v>5909638</v>
      </c>
      <c r="H156" s="11" t="s">
        <v>238</v>
      </c>
      <c r="I156" s="11" t="s">
        <v>101</v>
      </c>
      <c r="K156" s="11" t="s">
        <v>102</v>
      </c>
      <c r="L156" s="10" t="s">
        <v>103</v>
      </c>
      <c r="M156" s="10" t="s">
        <v>104</v>
      </c>
      <c r="N156" s="21">
        <v>1.05</v>
      </c>
      <c r="O156" s="21">
        <v>32</v>
      </c>
      <c r="P156" s="10" t="s">
        <v>105</v>
      </c>
      <c r="Q156" s="87"/>
      <c r="R156" s="10" t="s">
        <v>105</v>
      </c>
      <c r="S156" s="10" t="s">
        <v>109</v>
      </c>
      <c r="T156" s="21">
        <v>100</v>
      </c>
      <c r="U156" s="21">
        <v>1.3</v>
      </c>
      <c r="V156" s="10">
        <v>0</v>
      </c>
      <c r="W156" s="21">
        <v>0</v>
      </c>
      <c r="X156" s="10" t="s">
        <v>105</v>
      </c>
      <c r="Y156" s="21">
        <v>0</v>
      </c>
      <c r="Z156" s="21">
        <v>2.9</v>
      </c>
      <c r="AA156" s="10">
        <v>0</v>
      </c>
      <c r="AB156" s="10" t="s">
        <v>105</v>
      </c>
      <c r="AC156" s="10" t="s">
        <v>105</v>
      </c>
      <c r="AD156" s="10" t="s">
        <v>106</v>
      </c>
      <c r="AE156" s="10" t="s">
        <v>114</v>
      </c>
      <c r="AF156" s="20">
        <f t="shared" si="25"/>
        <v>2.7619047619047619</v>
      </c>
      <c r="AG156" s="13">
        <f t="shared" si="18"/>
        <v>6</v>
      </c>
      <c r="AH156" s="7">
        <f t="shared" si="19"/>
        <v>10</v>
      </c>
      <c r="AI156" s="7">
        <f t="shared" si="20"/>
        <v>0</v>
      </c>
      <c r="AJ156" s="7">
        <f t="shared" si="21"/>
        <v>0</v>
      </c>
      <c r="AK156" s="7">
        <f t="shared" si="22"/>
        <v>6</v>
      </c>
      <c r="AL156" s="12">
        <f t="shared" si="24"/>
        <v>22</v>
      </c>
      <c r="AM156" s="14" t="str">
        <f t="shared" si="23"/>
        <v>Barrier</v>
      </c>
      <c r="AN156" s="10" t="s">
        <v>294</v>
      </c>
      <c r="AO156" s="21">
        <v>15</v>
      </c>
      <c r="AP156" s="10" t="s">
        <v>447</v>
      </c>
    </row>
    <row r="157" spans="1:42" ht="16">
      <c r="A157" s="59">
        <v>45204</v>
      </c>
      <c r="C157" s="10">
        <v>22200015</v>
      </c>
      <c r="D157" s="10" t="s">
        <v>99</v>
      </c>
      <c r="E157" s="11">
        <v>11</v>
      </c>
      <c r="F157" s="39">
        <v>345011</v>
      </c>
      <c r="G157" s="39">
        <v>5860593</v>
      </c>
      <c r="H157" s="11" t="s">
        <v>243</v>
      </c>
      <c r="I157" s="11" t="s">
        <v>246</v>
      </c>
      <c r="K157" s="11" t="s">
        <v>102</v>
      </c>
      <c r="L157" s="10" t="s">
        <v>103</v>
      </c>
      <c r="M157" s="10" t="s">
        <v>104</v>
      </c>
      <c r="N157" s="21">
        <v>0.9</v>
      </c>
      <c r="O157" s="21">
        <v>67</v>
      </c>
      <c r="P157" s="10" t="s">
        <v>105</v>
      </c>
      <c r="Q157" s="87"/>
      <c r="R157" s="10" t="s">
        <v>105</v>
      </c>
      <c r="S157" s="10" t="s">
        <v>109</v>
      </c>
      <c r="T157" s="21">
        <v>10</v>
      </c>
      <c r="U157" s="21">
        <v>7.5</v>
      </c>
      <c r="V157" s="10">
        <v>0</v>
      </c>
      <c r="W157" s="21">
        <v>1</v>
      </c>
      <c r="X157" s="10" t="s">
        <v>105</v>
      </c>
      <c r="Y157" s="21">
        <v>3</v>
      </c>
      <c r="Z157" s="21">
        <v>1.8</v>
      </c>
      <c r="AA157" s="10">
        <v>1.5</v>
      </c>
      <c r="AB157" s="10" t="s">
        <v>109</v>
      </c>
      <c r="AC157" s="10" t="s">
        <v>105</v>
      </c>
      <c r="AD157" s="10" t="s">
        <v>106</v>
      </c>
      <c r="AE157" s="10" t="s">
        <v>107</v>
      </c>
      <c r="AF157" s="20">
        <f t="shared" si="25"/>
        <v>2</v>
      </c>
      <c r="AG157" s="13">
        <f t="shared" si="18"/>
        <v>6</v>
      </c>
      <c r="AH157" s="7">
        <f t="shared" si="19"/>
        <v>10</v>
      </c>
      <c r="AI157" s="7">
        <f t="shared" si="20"/>
        <v>0</v>
      </c>
      <c r="AJ157" s="7">
        <f t="shared" si="21"/>
        <v>10</v>
      </c>
      <c r="AK157" s="7">
        <f t="shared" si="22"/>
        <v>6</v>
      </c>
      <c r="AL157" s="12">
        <f t="shared" si="24"/>
        <v>32</v>
      </c>
      <c r="AM157" s="14" t="str">
        <f t="shared" si="23"/>
        <v>Barrier</v>
      </c>
      <c r="AN157" s="10" t="s">
        <v>295</v>
      </c>
      <c r="AO157" s="21">
        <v>3</v>
      </c>
      <c r="AP157" s="10" t="s">
        <v>448</v>
      </c>
    </row>
    <row r="158" spans="1:42" ht="16">
      <c r="A158" s="59">
        <v>45197</v>
      </c>
      <c r="C158" s="10">
        <v>5400179</v>
      </c>
      <c r="D158" s="10" t="s">
        <v>99</v>
      </c>
      <c r="E158" s="11">
        <v>10</v>
      </c>
      <c r="F158" s="39">
        <v>319471</v>
      </c>
      <c r="G158" s="39">
        <v>6012988</v>
      </c>
      <c r="H158" s="11" t="s">
        <v>281</v>
      </c>
      <c r="I158" s="11" t="s">
        <v>282</v>
      </c>
      <c r="K158" s="11" t="s">
        <v>185</v>
      </c>
      <c r="L158" s="10" t="s">
        <v>103</v>
      </c>
      <c r="M158" s="10" t="s">
        <v>104</v>
      </c>
      <c r="N158" s="21">
        <v>4.5</v>
      </c>
      <c r="O158" s="21">
        <v>37.5</v>
      </c>
      <c r="P158" s="10" t="s">
        <v>109</v>
      </c>
      <c r="Q158" s="21">
        <v>0.75</v>
      </c>
      <c r="R158" s="10" t="s">
        <v>109</v>
      </c>
      <c r="S158" s="10" t="s">
        <v>105</v>
      </c>
      <c r="T158" s="87"/>
      <c r="U158" s="21">
        <v>1.5</v>
      </c>
      <c r="V158" s="10">
        <v>0</v>
      </c>
      <c r="W158" s="21">
        <v>0</v>
      </c>
      <c r="X158" s="10" t="s">
        <v>105</v>
      </c>
      <c r="Y158" s="21">
        <v>0</v>
      </c>
      <c r="Z158" s="21">
        <v>2.8</v>
      </c>
      <c r="AA158" s="10">
        <v>0</v>
      </c>
      <c r="AB158" s="10" t="s">
        <v>109</v>
      </c>
      <c r="AC158" s="10" t="s">
        <v>105</v>
      </c>
      <c r="AD158" s="10" t="s">
        <v>106</v>
      </c>
      <c r="AE158" s="10" t="s">
        <v>107</v>
      </c>
      <c r="AF158" s="20">
        <f t="shared" si="25"/>
        <v>0.62222222222222223</v>
      </c>
      <c r="AG158" s="13">
        <f t="shared" si="18"/>
        <v>6</v>
      </c>
      <c r="AH158" s="7">
        <f t="shared" si="19"/>
        <v>5</v>
      </c>
      <c r="AI158" s="7">
        <f t="shared" si="20"/>
        <v>0</v>
      </c>
      <c r="AJ158" s="7">
        <f t="shared" si="21"/>
        <v>0</v>
      </c>
      <c r="AK158" s="7">
        <f t="shared" si="22"/>
        <v>0</v>
      </c>
      <c r="AL158" s="12">
        <f t="shared" si="24"/>
        <v>11</v>
      </c>
      <c r="AM158" s="14" t="str">
        <f t="shared" si="23"/>
        <v>Passable</v>
      </c>
      <c r="AP158" s="10" t="s">
        <v>449</v>
      </c>
    </row>
    <row r="159" spans="1:42" ht="16">
      <c r="A159" s="59">
        <v>45178</v>
      </c>
      <c r="C159" s="10">
        <v>15600147</v>
      </c>
      <c r="D159" s="10" t="s">
        <v>132</v>
      </c>
      <c r="E159" s="11">
        <v>10</v>
      </c>
      <c r="F159" s="39">
        <v>438071</v>
      </c>
      <c r="G159" s="39">
        <v>5986296</v>
      </c>
      <c r="H159" s="11" t="s">
        <v>142</v>
      </c>
      <c r="I159" s="11" t="s">
        <v>283</v>
      </c>
      <c r="K159" s="11" t="s">
        <v>135</v>
      </c>
      <c r="L159" s="10" t="s">
        <v>103</v>
      </c>
      <c r="M159" s="10" t="s">
        <v>104</v>
      </c>
      <c r="N159" s="21">
        <v>2.7</v>
      </c>
      <c r="O159" s="21">
        <v>16</v>
      </c>
      <c r="P159" s="10" t="s">
        <v>109</v>
      </c>
      <c r="Q159" s="21">
        <v>0.3</v>
      </c>
      <c r="R159" s="10" t="s">
        <v>105</v>
      </c>
      <c r="S159" s="10" t="s">
        <v>105</v>
      </c>
      <c r="T159" s="87"/>
      <c r="U159" s="21">
        <v>0.5</v>
      </c>
      <c r="V159" s="10">
        <v>0</v>
      </c>
      <c r="W159" s="21">
        <v>0</v>
      </c>
      <c r="X159" s="10" t="s">
        <v>105</v>
      </c>
      <c r="Y159" s="21">
        <v>1</v>
      </c>
      <c r="Z159" s="21">
        <v>1.9</v>
      </c>
      <c r="AA159" s="10">
        <v>2</v>
      </c>
      <c r="AB159" s="10" t="s">
        <v>105</v>
      </c>
      <c r="AC159" s="10" t="s">
        <v>105</v>
      </c>
      <c r="AD159" s="10" t="s">
        <v>106</v>
      </c>
      <c r="AE159" s="10" t="s">
        <v>107</v>
      </c>
      <c r="AF159" s="20">
        <f t="shared" si="25"/>
        <v>0.70370370370370361</v>
      </c>
      <c r="AG159" s="13">
        <f t="shared" si="18"/>
        <v>3</v>
      </c>
      <c r="AH159" s="7">
        <f t="shared" si="19"/>
        <v>5</v>
      </c>
      <c r="AI159" s="7">
        <f t="shared" si="20"/>
        <v>0</v>
      </c>
      <c r="AJ159" s="7">
        <f t="shared" si="21"/>
        <v>5</v>
      </c>
      <c r="AK159" s="7">
        <f t="shared" si="22"/>
        <v>0</v>
      </c>
      <c r="AL159" s="12">
        <f t="shared" si="24"/>
        <v>13</v>
      </c>
      <c r="AM159" s="14" t="str">
        <f t="shared" si="23"/>
        <v>Passable</v>
      </c>
      <c r="AP159" s="10" t="s">
        <v>450</v>
      </c>
    </row>
    <row r="160" spans="1:42" ht="16">
      <c r="A160" s="59">
        <v>45179</v>
      </c>
      <c r="C160" s="10">
        <v>15600154</v>
      </c>
      <c r="D160" s="10" t="s">
        <v>132</v>
      </c>
      <c r="E160" s="11">
        <v>10</v>
      </c>
      <c r="F160" s="39">
        <v>416009</v>
      </c>
      <c r="G160" s="39">
        <v>5993732</v>
      </c>
      <c r="H160" s="11" t="s">
        <v>284</v>
      </c>
      <c r="I160" s="11" t="s">
        <v>147</v>
      </c>
      <c r="K160" s="11" t="s">
        <v>102</v>
      </c>
      <c r="L160" s="10" t="s">
        <v>103</v>
      </c>
      <c r="M160" s="10" t="s">
        <v>104</v>
      </c>
      <c r="N160" s="21">
        <v>1</v>
      </c>
      <c r="O160" s="21">
        <v>16</v>
      </c>
      <c r="P160" s="10" t="s">
        <v>109</v>
      </c>
      <c r="Q160" s="21">
        <v>0.1</v>
      </c>
      <c r="R160" s="10" t="s">
        <v>105</v>
      </c>
      <c r="S160" s="10" t="s">
        <v>105</v>
      </c>
      <c r="T160" s="87"/>
      <c r="U160" s="21">
        <v>1</v>
      </c>
      <c r="V160" s="10">
        <v>0</v>
      </c>
      <c r="W160" s="21">
        <v>0</v>
      </c>
      <c r="X160" s="10" t="s">
        <v>105</v>
      </c>
      <c r="Y160" s="21">
        <v>1</v>
      </c>
      <c r="Z160" s="21">
        <v>1</v>
      </c>
      <c r="AA160" s="10">
        <v>2</v>
      </c>
      <c r="AB160" s="10" t="s">
        <v>105</v>
      </c>
      <c r="AC160" s="10" t="s">
        <v>105</v>
      </c>
      <c r="AD160" s="10" t="s">
        <v>106</v>
      </c>
      <c r="AE160" s="10" t="s">
        <v>114</v>
      </c>
      <c r="AF160" s="20">
        <f t="shared" si="25"/>
        <v>1</v>
      </c>
      <c r="AG160" s="13">
        <f t="shared" si="18"/>
        <v>3</v>
      </c>
      <c r="AH160" s="7">
        <f t="shared" si="19"/>
        <v>5</v>
      </c>
      <c r="AI160" s="7">
        <f t="shared" si="20"/>
        <v>0</v>
      </c>
      <c r="AJ160" s="7">
        <f t="shared" si="21"/>
        <v>5</v>
      </c>
      <c r="AK160" s="7">
        <f t="shared" si="22"/>
        <v>3</v>
      </c>
      <c r="AL160" s="12">
        <f t="shared" si="24"/>
        <v>16</v>
      </c>
      <c r="AM160" s="14" t="str">
        <f t="shared" si="23"/>
        <v>Potential</v>
      </c>
      <c r="AN160" s="10" t="s">
        <v>295</v>
      </c>
      <c r="AO160" s="21">
        <v>3</v>
      </c>
      <c r="AP160" s="10" t="s">
        <v>451</v>
      </c>
    </row>
    <row r="161" spans="1:42" ht="16">
      <c r="A161" s="59">
        <v>45198</v>
      </c>
      <c r="C161" s="10">
        <v>5400028</v>
      </c>
      <c r="D161" s="10" t="s">
        <v>132</v>
      </c>
      <c r="E161" s="11">
        <v>10</v>
      </c>
      <c r="F161" s="39">
        <v>330232</v>
      </c>
      <c r="G161" s="39">
        <v>6009362</v>
      </c>
      <c r="H161" s="11" t="s">
        <v>285</v>
      </c>
      <c r="I161" s="11" t="s">
        <v>101</v>
      </c>
      <c r="K161" s="11" t="s">
        <v>102</v>
      </c>
      <c r="L161" s="10" t="s">
        <v>103</v>
      </c>
      <c r="M161" s="10" t="s">
        <v>104</v>
      </c>
      <c r="N161" s="21">
        <v>3.8</v>
      </c>
      <c r="O161" s="21">
        <v>44</v>
      </c>
      <c r="P161" s="10" t="s">
        <v>109</v>
      </c>
      <c r="Q161" s="21">
        <v>0.2</v>
      </c>
      <c r="R161" s="10" t="s">
        <v>105</v>
      </c>
      <c r="S161" s="10" t="s">
        <v>105</v>
      </c>
      <c r="T161" s="87"/>
      <c r="U161" s="21">
        <v>2</v>
      </c>
      <c r="V161" s="10">
        <v>0</v>
      </c>
      <c r="W161" s="21">
        <v>0</v>
      </c>
      <c r="X161" s="10" t="s">
        <v>105</v>
      </c>
      <c r="Y161" s="21">
        <v>2</v>
      </c>
      <c r="Z161" s="21">
        <v>3.6</v>
      </c>
      <c r="AA161" s="10">
        <v>1</v>
      </c>
      <c r="AB161" s="10" t="s">
        <v>105</v>
      </c>
      <c r="AC161" s="10" t="s">
        <v>105</v>
      </c>
      <c r="AD161" s="10" t="s">
        <v>106</v>
      </c>
      <c r="AE161" s="10" t="s">
        <v>119</v>
      </c>
      <c r="AF161" s="20">
        <f t="shared" si="25"/>
        <v>0.94736842105263164</v>
      </c>
      <c r="AG161" s="13">
        <f t="shared" si="18"/>
        <v>6</v>
      </c>
      <c r="AH161" s="7">
        <f t="shared" si="19"/>
        <v>5</v>
      </c>
      <c r="AI161" s="7">
        <f t="shared" si="20"/>
        <v>0</v>
      </c>
      <c r="AJ161" s="7">
        <f t="shared" si="21"/>
        <v>5</v>
      </c>
      <c r="AK161" s="7">
        <f t="shared" si="22"/>
        <v>0</v>
      </c>
      <c r="AL161" s="12">
        <f t="shared" si="24"/>
        <v>16</v>
      </c>
      <c r="AM161" s="14" t="str">
        <f t="shared" si="23"/>
        <v>Potential</v>
      </c>
      <c r="AN161" s="10" t="s">
        <v>294</v>
      </c>
      <c r="AO161" s="21">
        <v>15</v>
      </c>
      <c r="AP161" s="10" t="s">
        <v>452</v>
      </c>
    </row>
    <row r="162" spans="1:42" ht="16">
      <c r="A162" s="59">
        <v>45202</v>
      </c>
      <c r="C162" s="10">
        <v>13905385</v>
      </c>
      <c r="D162" s="10" t="s">
        <v>99</v>
      </c>
      <c r="E162" s="11">
        <v>10</v>
      </c>
      <c r="F162" s="39">
        <v>590814</v>
      </c>
      <c r="G162" s="39">
        <v>5982800</v>
      </c>
      <c r="H162" s="11" t="s">
        <v>278</v>
      </c>
      <c r="I162" s="11" t="s">
        <v>213</v>
      </c>
      <c r="K162" s="11" t="s">
        <v>177</v>
      </c>
      <c r="L162" s="10" t="s">
        <v>103</v>
      </c>
      <c r="M162" s="10" t="s">
        <v>104</v>
      </c>
      <c r="N162" s="21">
        <v>4.8</v>
      </c>
      <c r="O162" s="21">
        <v>17.5</v>
      </c>
      <c r="P162" s="10" t="s">
        <v>109</v>
      </c>
      <c r="Q162" s="21">
        <v>0.25</v>
      </c>
      <c r="R162" s="10" t="s">
        <v>109</v>
      </c>
      <c r="S162" s="10" t="s">
        <v>105</v>
      </c>
      <c r="T162" s="87"/>
      <c r="U162" s="21">
        <v>2</v>
      </c>
      <c r="V162" s="10">
        <v>0</v>
      </c>
      <c r="W162" s="21">
        <v>0.1</v>
      </c>
      <c r="X162" s="10" t="s">
        <v>105</v>
      </c>
      <c r="Y162" s="21">
        <v>0</v>
      </c>
      <c r="Z162" s="21">
        <v>3.3</v>
      </c>
      <c r="AA162" s="10">
        <v>1.5</v>
      </c>
      <c r="AB162" s="10" t="s">
        <v>109</v>
      </c>
      <c r="AC162" s="10" t="s">
        <v>105</v>
      </c>
      <c r="AD162" s="10" t="s">
        <v>106</v>
      </c>
      <c r="AE162" s="10" t="s">
        <v>119</v>
      </c>
      <c r="AF162" s="20">
        <f t="shared" si="25"/>
        <v>0.6875</v>
      </c>
      <c r="AG162" s="13">
        <f t="shared" si="18"/>
        <v>3</v>
      </c>
      <c r="AH162" s="7">
        <f t="shared" si="19"/>
        <v>5</v>
      </c>
      <c r="AI162" s="7">
        <f t="shared" si="20"/>
        <v>0</v>
      </c>
      <c r="AJ162" s="7">
        <f t="shared" si="21"/>
        <v>0</v>
      </c>
      <c r="AK162" s="7">
        <f t="shared" si="22"/>
        <v>0</v>
      </c>
      <c r="AL162" s="12">
        <f t="shared" si="24"/>
        <v>8</v>
      </c>
      <c r="AM162" s="14" t="str">
        <f t="shared" si="23"/>
        <v>Passable</v>
      </c>
      <c r="AP162" s="10" t="s">
        <v>453</v>
      </c>
    </row>
    <row r="163" spans="1:42" ht="16">
      <c r="A163" s="59">
        <v>45203</v>
      </c>
      <c r="C163" s="10">
        <v>13900265</v>
      </c>
      <c r="D163" s="10" t="s">
        <v>132</v>
      </c>
      <c r="E163" s="11">
        <v>10</v>
      </c>
      <c r="F163" s="39">
        <v>591253</v>
      </c>
      <c r="G163" s="39">
        <v>5971048</v>
      </c>
      <c r="H163" s="11" t="s">
        <v>286</v>
      </c>
      <c r="I163" s="11" t="s">
        <v>101</v>
      </c>
      <c r="K163" s="11" t="s">
        <v>102</v>
      </c>
      <c r="L163" s="10" t="s">
        <v>103</v>
      </c>
      <c r="M163" s="10" t="s">
        <v>104</v>
      </c>
      <c r="N163" s="21">
        <v>2</v>
      </c>
      <c r="O163" s="21">
        <v>22</v>
      </c>
      <c r="P163" s="10" t="s">
        <v>109</v>
      </c>
      <c r="Q163" s="21">
        <v>0.25</v>
      </c>
      <c r="R163" s="10" t="s">
        <v>105</v>
      </c>
      <c r="S163" s="10" t="s">
        <v>105</v>
      </c>
      <c r="T163" s="87"/>
      <c r="U163" s="21">
        <v>0.8</v>
      </c>
      <c r="V163" s="10">
        <v>0</v>
      </c>
      <c r="W163" s="21">
        <v>0</v>
      </c>
      <c r="X163" s="10" t="s">
        <v>105</v>
      </c>
      <c r="Y163" s="21">
        <v>1</v>
      </c>
      <c r="Z163" s="21">
        <v>6.2</v>
      </c>
      <c r="AA163" s="10">
        <v>5.5</v>
      </c>
      <c r="AB163" s="10" t="s">
        <v>105</v>
      </c>
      <c r="AC163" s="10" t="s">
        <v>105</v>
      </c>
      <c r="AD163" s="10" t="s">
        <v>106</v>
      </c>
      <c r="AE163" s="10" t="s">
        <v>119</v>
      </c>
      <c r="AF163" s="20">
        <f t="shared" si="25"/>
        <v>3.1</v>
      </c>
      <c r="AG163" s="13">
        <f t="shared" si="18"/>
        <v>3</v>
      </c>
      <c r="AH163" s="7">
        <f t="shared" si="19"/>
        <v>5</v>
      </c>
      <c r="AI163" s="7">
        <f t="shared" si="20"/>
        <v>0</v>
      </c>
      <c r="AJ163" s="7">
        <f t="shared" si="21"/>
        <v>5</v>
      </c>
      <c r="AK163" s="7">
        <f t="shared" si="22"/>
        <v>6</v>
      </c>
      <c r="AL163" s="12">
        <f t="shared" si="24"/>
        <v>19</v>
      </c>
      <c r="AM163" s="14" t="str">
        <f t="shared" si="23"/>
        <v>Potential</v>
      </c>
      <c r="AN163" s="10" t="s">
        <v>294</v>
      </c>
      <c r="AO163" s="21">
        <v>15</v>
      </c>
      <c r="AP163" s="10" t="s">
        <v>454</v>
      </c>
    </row>
    <row r="164" spans="1:42" ht="16">
      <c r="A164" s="59">
        <v>45204</v>
      </c>
      <c r="C164" s="10">
        <v>13900025</v>
      </c>
      <c r="D164" s="10" t="s">
        <v>132</v>
      </c>
      <c r="E164" s="11">
        <v>10</v>
      </c>
      <c r="F164" s="39">
        <v>688754</v>
      </c>
      <c r="G164" s="39">
        <v>5910557</v>
      </c>
      <c r="H164" s="11" t="s">
        <v>287</v>
      </c>
      <c r="I164" s="11" t="s">
        <v>288</v>
      </c>
      <c r="K164" s="11" t="s">
        <v>240</v>
      </c>
      <c r="L164" s="10" t="s">
        <v>103</v>
      </c>
      <c r="M164" s="10" t="s">
        <v>104</v>
      </c>
      <c r="N164" s="21">
        <v>3</v>
      </c>
      <c r="O164" s="21">
        <v>27</v>
      </c>
      <c r="P164" s="10" t="s">
        <v>109</v>
      </c>
      <c r="Q164" s="21">
        <v>0.15</v>
      </c>
      <c r="R164" s="10" t="s">
        <v>105</v>
      </c>
      <c r="S164" s="10" t="s">
        <v>105</v>
      </c>
      <c r="T164" s="87"/>
      <c r="U164" s="21">
        <v>2.2000000000000002</v>
      </c>
      <c r="V164" s="10">
        <v>0</v>
      </c>
      <c r="W164" s="21">
        <v>0</v>
      </c>
      <c r="X164" s="10" t="s">
        <v>105</v>
      </c>
      <c r="Y164" s="21">
        <v>3</v>
      </c>
      <c r="Z164" s="21">
        <v>1.4</v>
      </c>
      <c r="AA164" s="10">
        <v>2</v>
      </c>
      <c r="AB164" s="10" t="s">
        <v>105</v>
      </c>
      <c r="AC164" s="10" t="s">
        <v>105</v>
      </c>
      <c r="AD164" s="10" t="s">
        <v>106</v>
      </c>
      <c r="AE164" s="10" t="s">
        <v>107</v>
      </c>
      <c r="AF164" s="20">
        <f t="shared" si="25"/>
        <v>0.46666666666666662</v>
      </c>
      <c r="AG164" s="13">
        <f t="shared" si="18"/>
        <v>3</v>
      </c>
      <c r="AH164" s="7">
        <f t="shared" si="19"/>
        <v>5</v>
      </c>
      <c r="AI164" s="7">
        <f t="shared" si="20"/>
        <v>0</v>
      </c>
      <c r="AJ164" s="7">
        <f t="shared" si="21"/>
        <v>10</v>
      </c>
      <c r="AK164" s="7">
        <f t="shared" si="22"/>
        <v>0</v>
      </c>
      <c r="AL164" s="12">
        <f t="shared" si="24"/>
        <v>18</v>
      </c>
      <c r="AM164" s="14" t="str">
        <f t="shared" si="23"/>
        <v>Potential</v>
      </c>
      <c r="AN164" s="10" t="s">
        <v>295</v>
      </c>
      <c r="AO164" s="21">
        <v>3</v>
      </c>
      <c r="AP164" s="10" t="s">
        <v>455</v>
      </c>
    </row>
    <row r="165" spans="1:42" ht="16">
      <c r="A165" s="59">
        <v>45204</v>
      </c>
      <c r="C165" s="10">
        <v>22200082</v>
      </c>
      <c r="D165" s="10" t="s">
        <v>99</v>
      </c>
      <c r="E165" s="11">
        <v>11</v>
      </c>
      <c r="F165" s="39">
        <v>345873</v>
      </c>
      <c r="G165" s="39">
        <v>5855411</v>
      </c>
      <c r="H165" s="11" t="s">
        <v>234</v>
      </c>
      <c r="I165" s="11" t="s">
        <v>289</v>
      </c>
      <c r="K165" s="11" t="s">
        <v>102</v>
      </c>
      <c r="L165" s="10" t="s">
        <v>103</v>
      </c>
      <c r="M165" s="10" t="s">
        <v>104</v>
      </c>
      <c r="N165" s="21">
        <v>0.75</v>
      </c>
      <c r="O165" s="21">
        <v>12.5</v>
      </c>
      <c r="P165" s="10" t="s">
        <v>109</v>
      </c>
      <c r="Q165" s="21">
        <v>0.18</v>
      </c>
      <c r="R165" s="10" t="s">
        <v>109</v>
      </c>
      <c r="S165" s="10" t="s">
        <v>105</v>
      </c>
      <c r="T165" s="87"/>
      <c r="U165" s="21">
        <v>1</v>
      </c>
      <c r="V165" s="10">
        <v>0</v>
      </c>
      <c r="W165" s="21">
        <v>0</v>
      </c>
      <c r="X165" s="10" t="s">
        <v>105</v>
      </c>
      <c r="Y165" s="21">
        <v>0</v>
      </c>
      <c r="Z165" s="21">
        <v>4</v>
      </c>
      <c r="AA165" s="10">
        <v>0</v>
      </c>
      <c r="AB165" s="10" t="s">
        <v>109</v>
      </c>
      <c r="AC165" s="10" t="s">
        <v>105</v>
      </c>
      <c r="AD165" s="10" t="s">
        <v>106</v>
      </c>
      <c r="AE165" s="10" t="s">
        <v>107</v>
      </c>
      <c r="AF165" s="20">
        <f t="shared" si="25"/>
        <v>5.333333333333333</v>
      </c>
      <c r="AG165" s="13">
        <f t="shared" si="18"/>
        <v>0</v>
      </c>
      <c r="AH165" s="7">
        <f t="shared" si="19"/>
        <v>5</v>
      </c>
      <c r="AI165" s="7">
        <f t="shared" si="20"/>
        <v>0</v>
      </c>
      <c r="AJ165" s="7">
        <f t="shared" si="21"/>
        <v>0</v>
      </c>
      <c r="AK165" s="7">
        <f t="shared" si="22"/>
        <v>6</v>
      </c>
      <c r="AL165" s="12">
        <f t="shared" si="24"/>
        <v>11</v>
      </c>
      <c r="AM165" s="14" t="str">
        <f t="shared" si="23"/>
        <v>Passable</v>
      </c>
      <c r="AP165" s="10" t="s">
        <v>456</v>
      </c>
    </row>
    <row r="166" spans="1:42" ht="16">
      <c r="A166" s="59">
        <v>45204</v>
      </c>
      <c r="C166" s="10">
        <v>13900015</v>
      </c>
      <c r="D166" s="10" t="s">
        <v>132</v>
      </c>
      <c r="E166" s="11">
        <v>10</v>
      </c>
      <c r="F166" s="39">
        <v>688844</v>
      </c>
      <c r="G166" s="39">
        <v>5909209</v>
      </c>
      <c r="H166" s="11" t="s">
        <v>238</v>
      </c>
      <c r="I166" s="11" t="s">
        <v>290</v>
      </c>
      <c r="K166" s="11" t="s">
        <v>240</v>
      </c>
      <c r="L166" s="10" t="s">
        <v>103</v>
      </c>
      <c r="M166" s="10" t="s">
        <v>104</v>
      </c>
      <c r="N166" s="21">
        <v>3.7</v>
      </c>
      <c r="O166" s="21">
        <v>30</v>
      </c>
      <c r="P166" s="10" t="s">
        <v>109</v>
      </c>
      <c r="Q166" s="21">
        <v>0.2</v>
      </c>
      <c r="R166" s="10" t="s">
        <v>109</v>
      </c>
      <c r="S166" s="10" t="s">
        <v>105</v>
      </c>
      <c r="T166" s="87"/>
      <c r="U166" s="21">
        <v>2</v>
      </c>
      <c r="V166" s="10">
        <v>0</v>
      </c>
      <c r="W166" s="21">
        <v>0</v>
      </c>
      <c r="X166" s="10" t="s">
        <v>105</v>
      </c>
      <c r="Y166" s="21">
        <v>1</v>
      </c>
      <c r="Z166" s="21">
        <v>3.4</v>
      </c>
      <c r="AA166" s="10">
        <v>0</v>
      </c>
      <c r="AB166" s="10" t="s">
        <v>105</v>
      </c>
      <c r="AC166" s="10" t="s">
        <v>105</v>
      </c>
      <c r="AD166" s="10" t="s">
        <v>106</v>
      </c>
      <c r="AE166" s="10" t="s">
        <v>119</v>
      </c>
      <c r="AF166" s="20">
        <f t="shared" si="25"/>
        <v>0.91891891891891886</v>
      </c>
      <c r="AG166" s="13">
        <f t="shared" si="18"/>
        <v>6</v>
      </c>
      <c r="AH166" s="7">
        <f t="shared" si="19"/>
        <v>5</v>
      </c>
      <c r="AI166" s="7">
        <f t="shared" si="20"/>
        <v>0</v>
      </c>
      <c r="AJ166" s="7">
        <f t="shared" si="21"/>
        <v>5</v>
      </c>
      <c r="AK166" s="7">
        <f t="shared" si="22"/>
        <v>0</v>
      </c>
      <c r="AL166" s="12">
        <f t="shared" si="24"/>
        <v>16</v>
      </c>
      <c r="AM166" s="14" t="str">
        <f t="shared" si="23"/>
        <v>Potential</v>
      </c>
      <c r="AN166" s="10" t="s">
        <v>294</v>
      </c>
      <c r="AO166" s="21">
        <v>15</v>
      </c>
      <c r="AP166" s="10" t="s">
        <v>457</v>
      </c>
    </row>
    <row r="167" spans="1:42" ht="16">
      <c r="A167" s="59">
        <v>45204</v>
      </c>
      <c r="C167" s="10">
        <v>13900073</v>
      </c>
      <c r="D167" s="10" t="s">
        <v>132</v>
      </c>
      <c r="E167" s="11">
        <v>10</v>
      </c>
      <c r="F167" s="39">
        <v>693145</v>
      </c>
      <c r="G167" s="39">
        <v>5907919</v>
      </c>
      <c r="H167" s="11" t="s">
        <v>291</v>
      </c>
      <c r="I167" s="11" t="s">
        <v>292</v>
      </c>
      <c r="K167" s="11" t="s">
        <v>111</v>
      </c>
      <c r="L167" s="10" t="s">
        <v>103</v>
      </c>
      <c r="M167" s="10" t="s">
        <v>104</v>
      </c>
      <c r="N167" s="21">
        <v>2.5</v>
      </c>
      <c r="O167" s="21">
        <v>20</v>
      </c>
      <c r="P167" s="10" t="s">
        <v>109</v>
      </c>
      <c r="Q167" s="21">
        <v>0.3</v>
      </c>
      <c r="R167" s="10" t="s">
        <v>109</v>
      </c>
      <c r="S167" s="10" t="s">
        <v>105</v>
      </c>
      <c r="T167" s="87"/>
      <c r="U167" s="21">
        <v>1.5</v>
      </c>
      <c r="V167" s="10">
        <v>0</v>
      </c>
      <c r="W167" s="21">
        <v>0.5</v>
      </c>
      <c r="X167" s="10" t="s">
        <v>105</v>
      </c>
      <c r="Y167" s="21">
        <v>1</v>
      </c>
      <c r="Z167" s="21">
        <v>3.1</v>
      </c>
      <c r="AA167" s="10">
        <v>0</v>
      </c>
      <c r="AB167" s="10" t="s">
        <v>105</v>
      </c>
      <c r="AC167" s="10" t="s">
        <v>105</v>
      </c>
      <c r="AD167" s="10" t="s">
        <v>106</v>
      </c>
      <c r="AE167" s="10" t="s">
        <v>107</v>
      </c>
      <c r="AF167" s="20">
        <f t="shared" si="25"/>
        <v>1.24</v>
      </c>
      <c r="AG167" s="13">
        <f t="shared" si="18"/>
        <v>3</v>
      </c>
      <c r="AH167" s="7">
        <f t="shared" si="19"/>
        <v>5</v>
      </c>
      <c r="AI167" s="7">
        <f t="shared" si="20"/>
        <v>0</v>
      </c>
      <c r="AJ167" s="7">
        <f t="shared" si="21"/>
        <v>5</v>
      </c>
      <c r="AK167" s="7">
        <f t="shared" si="22"/>
        <v>3</v>
      </c>
      <c r="AL167" s="12">
        <f t="shared" si="24"/>
        <v>16</v>
      </c>
      <c r="AM167" s="14" t="str">
        <f t="shared" si="23"/>
        <v>Potential</v>
      </c>
      <c r="AN167" s="10" t="s">
        <v>294</v>
      </c>
      <c r="AO167" s="21">
        <v>15</v>
      </c>
      <c r="AP167" s="10" t="s">
        <v>458</v>
      </c>
    </row>
    <row r="168" spans="1:42" ht="16">
      <c r="A168" s="59">
        <v>45204</v>
      </c>
      <c r="C168" s="10">
        <v>13900012</v>
      </c>
      <c r="D168" s="10" t="s">
        <v>132</v>
      </c>
      <c r="E168" s="11">
        <v>10</v>
      </c>
      <c r="F168" s="39">
        <v>693878</v>
      </c>
      <c r="G168" s="39">
        <v>5908064</v>
      </c>
      <c r="H168" s="11" t="s">
        <v>291</v>
      </c>
      <c r="I168" s="11" t="s">
        <v>101</v>
      </c>
      <c r="K168" s="11" t="s">
        <v>102</v>
      </c>
      <c r="L168" s="10" t="s">
        <v>103</v>
      </c>
      <c r="M168" s="10" t="s">
        <v>104</v>
      </c>
      <c r="N168" s="21">
        <v>2.5</v>
      </c>
      <c r="O168" s="21">
        <v>32</v>
      </c>
      <c r="P168" s="10" t="s">
        <v>109</v>
      </c>
      <c r="Q168" s="21">
        <v>0.2</v>
      </c>
      <c r="R168" s="10" t="s">
        <v>109</v>
      </c>
      <c r="S168" s="10" t="s">
        <v>105</v>
      </c>
      <c r="T168" s="87"/>
      <c r="U168" s="21">
        <v>2.2000000000000002</v>
      </c>
      <c r="V168" s="10">
        <v>0</v>
      </c>
      <c r="W168" s="21">
        <v>0</v>
      </c>
      <c r="X168" s="10" t="s">
        <v>105</v>
      </c>
      <c r="Y168" s="21">
        <v>1</v>
      </c>
      <c r="Z168" s="21">
        <v>2.8</v>
      </c>
      <c r="AA168" s="10">
        <v>2</v>
      </c>
      <c r="AB168" s="10" t="s">
        <v>105</v>
      </c>
      <c r="AC168" s="10" t="s">
        <v>109</v>
      </c>
      <c r="AD168" s="10" t="s">
        <v>106</v>
      </c>
      <c r="AE168" s="10" t="s">
        <v>107</v>
      </c>
      <c r="AF168" s="20">
        <f t="shared" si="25"/>
        <v>1.1199999999999999</v>
      </c>
      <c r="AG168" s="13">
        <f t="shared" si="18"/>
        <v>6</v>
      </c>
      <c r="AH168" s="7">
        <f t="shared" si="19"/>
        <v>5</v>
      </c>
      <c r="AI168" s="7">
        <f t="shared" si="20"/>
        <v>0</v>
      </c>
      <c r="AJ168" s="7">
        <f t="shared" si="21"/>
        <v>5</v>
      </c>
      <c r="AK168" s="7">
        <f t="shared" si="22"/>
        <v>3</v>
      </c>
      <c r="AL168" s="12">
        <f t="shared" si="24"/>
        <v>19</v>
      </c>
      <c r="AM168" s="14" t="str">
        <f t="shared" si="23"/>
        <v>Potential</v>
      </c>
      <c r="AN168" s="10" t="s">
        <v>294</v>
      </c>
      <c r="AO168" s="21">
        <v>15</v>
      </c>
      <c r="AP168" s="10" t="s">
        <v>459</v>
      </c>
    </row>
    <row r="169" spans="1:42" ht="16">
      <c r="A169" s="59">
        <v>45198</v>
      </c>
      <c r="C169" s="10">
        <v>15600048</v>
      </c>
      <c r="D169" s="10" t="s">
        <v>99</v>
      </c>
      <c r="E169" s="11">
        <v>10</v>
      </c>
      <c r="F169" s="39">
        <v>397528</v>
      </c>
      <c r="G169" s="39">
        <v>5976165</v>
      </c>
      <c r="H169" s="11" t="s">
        <v>262</v>
      </c>
      <c r="I169" s="11" t="s">
        <v>191</v>
      </c>
      <c r="K169" s="11" t="s">
        <v>102</v>
      </c>
      <c r="L169" s="10" t="s">
        <v>103</v>
      </c>
      <c r="M169" s="10" t="s">
        <v>104</v>
      </c>
      <c r="N169" s="21">
        <v>1.8</v>
      </c>
      <c r="O169" s="21">
        <v>17</v>
      </c>
      <c r="P169" s="10" t="s">
        <v>109</v>
      </c>
      <c r="Q169" s="21">
        <v>0.2</v>
      </c>
      <c r="R169" s="10" t="s">
        <v>109</v>
      </c>
      <c r="S169" s="10" t="s">
        <v>109</v>
      </c>
      <c r="T169" s="21">
        <v>100</v>
      </c>
      <c r="U169" s="21">
        <v>1</v>
      </c>
      <c r="V169" s="10">
        <v>0</v>
      </c>
      <c r="W169" s="21">
        <v>0.3</v>
      </c>
      <c r="X169" s="10" t="s">
        <v>105</v>
      </c>
      <c r="Y169" s="21">
        <v>0</v>
      </c>
      <c r="Z169" s="21">
        <v>3</v>
      </c>
      <c r="AA169" s="10">
        <v>0</v>
      </c>
      <c r="AB169" s="10" t="s">
        <v>105</v>
      </c>
      <c r="AC169" s="10" t="s">
        <v>105</v>
      </c>
      <c r="AD169" s="10" t="s">
        <v>106</v>
      </c>
      <c r="AE169" s="10" t="s">
        <v>107</v>
      </c>
      <c r="AF169" s="20">
        <f t="shared" si="25"/>
        <v>1.6666666666666665</v>
      </c>
      <c r="AG169" s="13">
        <f t="shared" si="18"/>
        <v>3</v>
      </c>
      <c r="AH169" s="7">
        <f t="shared" si="19"/>
        <v>5</v>
      </c>
      <c r="AI169" s="7">
        <f t="shared" si="20"/>
        <v>0</v>
      </c>
      <c r="AJ169" s="7">
        <f t="shared" si="21"/>
        <v>0</v>
      </c>
      <c r="AK169" s="7">
        <f t="shared" si="22"/>
        <v>6</v>
      </c>
      <c r="AL169" s="12">
        <f t="shared" si="24"/>
        <v>14</v>
      </c>
      <c r="AM169" s="14" t="str">
        <f t="shared" si="23"/>
        <v>Passable</v>
      </c>
      <c r="AP169" s="10" t="s">
        <v>460</v>
      </c>
    </row>
    <row r="170" spans="1:42" ht="16">
      <c r="A170" s="59">
        <v>45199</v>
      </c>
      <c r="C170" s="10">
        <v>5400201</v>
      </c>
      <c r="D170" s="10" t="s">
        <v>99</v>
      </c>
      <c r="E170" s="11">
        <v>10</v>
      </c>
      <c r="F170" s="39">
        <v>388367</v>
      </c>
      <c r="G170" s="39">
        <v>5996767</v>
      </c>
      <c r="H170" s="11" t="s">
        <v>120</v>
      </c>
      <c r="I170" s="11" t="s">
        <v>293</v>
      </c>
      <c r="K170" s="11" t="s">
        <v>102</v>
      </c>
      <c r="L170" s="10" t="s">
        <v>103</v>
      </c>
      <c r="M170" s="10" t="s">
        <v>104</v>
      </c>
      <c r="N170" s="21">
        <v>1.2</v>
      </c>
      <c r="O170" s="21">
        <v>11</v>
      </c>
      <c r="P170" s="10" t="s">
        <v>109</v>
      </c>
      <c r="Q170" s="21">
        <v>0.5</v>
      </c>
      <c r="R170" s="10" t="s">
        <v>109</v>
      </c>
      <c r="S170" s="10" t="s">
        <v>109</v>
      </c>
      <c r="T170" s="21">
        <v>80</v>
      </c>
      <c r="U170" s="21">
        <v>1.5</v>
      </c>
      <c r="V170" s="10">
        <v>0</v>
      </c>
      <c r="W170" s="21">
        <v>0.05</v>
      </c>
      <c r="X170" s="10" t="s">
        <v>105</v>
      </c>
      <c r="Y170" s="21">
        <v>0.25</v>
      </c>
      <c r="Z170" s="21">
        <v>1.7</v>
      </c>
      <c r="AA170" s="10">
        <v>3</v>
      </c>
      <c r="AB170" s="10" t="s">
        <v>105</v>
      </c>
      <c r="AC170" s="10" t="s">
        <v>105</v>
      </c>
      <c r="AD170" s="10" t="s">
        <v>106</v>
      </c>
      <c r="AE170" s="10" t="s">
        <v>107</v>
      </c>
      <c r="AF170" s="20">
        <f t="shared" si="25"/>
        <v>1.4166666666666667</v>
      </c>
      <c r="AG170" s="13">
        <f t="shared" si="18"/>
        <v>0</v>
      </c>
      <c r="AH170" s="7">
        <f t="shared" si="19"/>
        <v>0</v>
      </c>
      <c r="AI170" s="7">
        <f t="shared" si="20"/>
        <v>0</v>
      </c>
      <c r="AJ170" s="7">
        <f t="shared" si="21"/>
        <v>0</v>
      </c>
      <c r="AK170" s="7">
        <f t="shared" si="22"/>
        <v>6</v>
      </c>
      <c r="AL170" s="12">
        <f t="shared" si="24"/>
        <v>6</v>
      </c>
      <c r="AM170" s="14" t="str">
        <f t="shared" si="23"/>
        <v>Passable</v>
      </c>
      <c r="AP170" s="10" t="s">
        <v>461</v>
      </c>
    </row>
    <row r="171" spans="1:42" ht="32">
      <c r="A171" s="59">
        <v>45202</v>
      </c>
      <c r="C171" s="10">
        <v>24715754</v>
      </c>
      <c r="D171" s="10" t="s">
        <v>99</v>
      </c>
      <c r="E171" s="11">
        <v>10</v>
      </c>
      <c r="F171" s="39">
        <v>576134</v>
      </c>
      <c r="G171" s="39">
        <v>5992813</v>
      </c>
      <c r="H171" s="11" t="s">
        <v>210</v>
      </c>
      <c r="I171" s="11" t="s">
        <v>220</v>
      </c>
      <c r="K171" s="11" t="s">
        <v>102</v>
      </c>
      <c r="L171" s="10" t="s">
        <v>103</v>
      </c>
      <c r="M171" s="10" t="s">
        <v>104</v>
      </c>
      <c r="N171" s="21">
        <v>4.4000000000000004</v>
      </c>
      <c r="O171" s="21">
        <v>35</v>
      </c>
      <c r="P171" s="10" t="s">
        <v>109</v>
      </c>
      <c r="Q171" s="21">
        <v>1.3</v>
      </c>
      <c r="R171" s="10" t="s">
        <v>109</v>
      </c>
      <c r="S171" s="10" t="s">
        <v>109</v>
      </c>
      <c r="T171" s="21">
        <v>100</v>
      </c>
      <c r="U171" s="21">
        <v>2.5</v>
      </c>
      <c r="V171" s="10">
        <v>0</v>
      </c>
      <c r="W171" s="21">
        <v>2</v>
      </c>
      <c r="X171" s="10" t="s">
        <v>105</v>
      </c>
      <c r="Y171" s="21">
        <v>0</v>
      </c>
      <c r="Z171" s="21">
        <v>12</v>
      </c>
      <c r="AA171" s="10">
        <v>0</v>
      </c>
      <c r="AB171" s="10" t="s">
        <v>109</v>
      </c>
      <c r="AC171" s="10" t="s">
        <v>105</v>
      </c>
      <c r="AD171" s="10" t="s">
        <v>106</v>
      </c>
      <c r="AE171" s="10" t="s">
        <v>119</v>
      </c>
      <c r="AF171" s="20">
        <f t="shared" si="25"/>
        <v>2.7272727272727271</v>
      </c>
      <c r="AG171" s="13">
        <f t="shared" si="18"/>
        <v>6</v>
      </c>
      <c r="AH171" s="7">
        <f t="shared" si="19"/>
        <v>0</v>
      </c>
      <c r="AI171" s="7">
        <f t="shared" si="20"/>
        <v>0</v>
      </c>
      <c r="AJ171" s="7">
        <f t="shared" si="21"/>
        <v>0</v>
      </c>
      <c r="AK171" s="7">
        <f t="shared" si="22"/>
        <v>6</v>
      </c>
      <c r="AL171" s="12">
        <f t="shared" si="24"/>
        <v>12</v>
      </c>
      <c r="AM171" s="14" t="str">
        <f t="shared" si="23"/>
        <v>Passable</v>
      </c>
      <c r="AP171" s="10" t="s">
        <v>462</v>
      </c>
    </row>
    <row r="172" spans="1:42" ht="16">
      <c r="A172" s="59">
        <v>45197</v>
      </c>
      <c r="C172" s="10">
        <v>5400159</v>
      </c>
      <c r="D172" s="10" t="s">
        <v>99</v>
      </c>
      <c r="E172" s="11">
        <v>10</v>
      </c>
      <c r="F172" s="39">
        <v>319797</v>
      </c>
      <c r="G172" s="39">
        <v>6012952</v>
      </c>
      <c r="H172" s="11" t="s">
        <v>281</v>
      </c>
      <c r="I172" s="11" t="s">
        <v>473</v>
      </c>
      <c r="K172" s="11" t="s">
        <v>185</v>
      </c>
      <c r="L172" s="10" t="s">
        <v>474</v>
      </c>
      <c r="M172" s="10" t="s">
        <v>475</v>
      </c>
      <c r="N172" s="21">
        <v>4</v>
      </c>
      <c r="O172" s="21">
        <v>11</v>
      </c>
      <c r="P172" s="86"/>
      <c r="Q172" s="87"/>
      <c r="R172" s="86"/>
      <c r="S172" s="86"/>
      <c r="T172" s="87"/>
      <c r="U172" s="87"/>
      <c r="V172" s="86"/>
      <c r="W172" s="87"/>
      <c r="X172" s="86"/>
      <c r="Y172" s="87"/>
      <c r="Z172" s="87"/>
      <c r="AA172" s="86"/>
      <c r="AD172" s="86"/>
      <c r="AE172" s="86"/>
      <c r="AF172" s="20">
        <f t="shared" si="25"/>
        <v>0</v>
      </c>
      <c r="AG172" s="13">
        <f t="shared" si="18"/>
        <v>0</v>
      </c>
      <c r="AH172" s="7">
        <f t="shared" si="19"/>
        <v>0</v>
      </c>
      <c r="AI172" s="7">
        <f t="shared" si="20"/>
        <v>0</v>
      </c>
      <c r="AJ172" s="7">
        <f t="shared" si="21"/>
        <v>0</v>
      </c>
      <c r="AK172" s="7">
        <f t="shared" si="22"/>
        <v>0</v>
      </c>
      <c r="AL172" s="12">
        <f t="shared" si="24"/>
        <v>0</v>
      </c>
      <c r="AM172" s="14" t="str">
        <f t="shared" si="23"/>
        <v>Passable</v>
      </c>
      <c r="AN172" s="86"/>
      <c r="AO172" s="87"/>
      <c r="AP172" s="10" t="s">
        <v>463</v>
      </c>
    </row>
    <row r="173" spans="1:42" ht="16">
      <c r="A173" s="59">
        <v>45198</v>
      </c>
      <c r="C173" s="10">
        <v>5400180</v>
      </c>
      <c r="D173" s="10" t="s">
        <v>99</v>
      </c>
      <c r="E173" s="11">
        <v>10</v>
      </c>
      <c r="F173" s="39">
        <v>321069</v>
      </c>
      <c r="G173" s="39">
        <v>6011579</v>
      </c>
      <c r="H173" s="11" t="s">
        <v>182</v>
      </c>
      <c r="I173" s="11" t="s">
        <v>476</v>
      </c>
      <c r="K173" s="11" t="s">
        <v>185</v>
      </c>
      <c r="L173" s="10" t="s">
        <v>474</v>
      </c>
      <c r="M173" s="10" t="s">
        <v>477</v>
      </c>
      <c r="N173" s="21">
        <v>2.65</v>
      </c>
      <c r="O173" s="21">
        <v>12.5</v>
      </c>
      <c r="P173" s="86"/>
      <c r="Q173" s="87"/>
      <c r="R173" s="86"/>
      <c r="S173" s="86"/>
      <c r="T173" s="87"/>
      <c r="U173" s="87"/>
      <c r="V173" s="86"/>
      <c r="W173" s="87"/>
      <c r="X173" s="86"/>
      <c r="Y173" s="87"/>
      <c r="Z173" s="87"/>
      <c r="AA173" s="86"/>
      <c r="AD173" s="86"/>
      <c r="AE173" s="86"/>
      <c r="AF173" s="20">
        <f t="shared" si="25"/>
        <v>0</v>
      </c>
      <c r="AG173" s="13">
        <f t="shared" si="18"/>
        <v>0</v>
      </c>
      <c r="AH173" s="7">
        <f t="shared" si="19"/>
        <v>0</v>
      </c>
      <c r="AI173" s="7">
        <f t="shared" si="20"/>
        <v>0</v>
      </c>
      <c r="AJ173" s="7">
        <f t="shared" si="21"/>
        <v>0</v>
      </c>
      <c r="AK173" s="7">
        <f t="shared" si="22"/>
        <v>0</v>
      </c>
      <c r="AL173" s="12">
        <f t="shared" si="24"/>
        <v>0</v>
      </c>
      <c r="AM173" s="14" t="str">
        <f t="shared" si="23"/>
        <v>Passable</v>
      </c>
      <c r="AN173" s="86"/>
      <c r="AO173" s="87"/>
      <c r="AP173" s="10" t="s">
        <v>464</v>
      </c>
    </row>
    <row r="174" spans="1:42" ht="32">
      <c r="A174" s="59">
        <v>45199</v>
      </c>
      <c r="C174" s="10">
        <v>15604870</v>
      </c>
      <c r="D174" s="10" t="s">
        <v>99</v>
      </c>
      <c r="E174" s="11">
        <v>10</v>
      </c>
      <c r="F174" s="39">
        <v>396140</v>
      </c>
      <c r="G174" s="39">
        <v>5997722</v>
      </c>
      <c r="H174" s="11" t="s">
        <v>121</v>
      </c>
      <c r="I174" s="11" t="s">
        <v>478</v>
      </c>
      <c r="K174" s="11" t="s">
        <v>124</v>
      </c>
      <c r="L174" s="10" t="s">
        <v>474</v>
      </c>
      <c r="M174" s="10" t="s">
        <v>475</v>
      </c>
      <c r="N174" s="21">
        <v>13</v>
      </c>
      <c r="O174" s="21">
        <v>5</v>
      </c>
      <c r="P174" s="86"/>
      <c r="Q174" s="87"/>
      <c r="R174" s="86"/>
      <c r="S174" s="86"/>
      <c r="T174" s="87"/>
      <c r="U174" s="87"/>
      <c r="V174" s="86"/>
      <c r="W174" s="87"/>
      <c r="X174" s="86"/>
      <c r="Y174" s="87"/>
      <c r="Z174" s="87"/>
      <c r="AA174" s="86"/>
      <c r="AD174" s="86"/>
      <c r="AE174" s="86"/>
      <c r="AF174" s="20">
        <f t="shared" si="25"/>
        <v>0</v>
      </c>
      <c r="AG174" s="13">
        <f t="shared" si="18"/>
        <v>0</v>
      </c>
      <c r="AH174" s="7">
        <f t="shared" si="19"/>
        <v>0</v>
      </c>
      <c r="AI174" s="7">
        <f t="shared" si="20"/>
        <v>0</v>
      </c>
      <c r="AJ174" s="7">
        <f t="shared" si="21"/>
        <v>0</v>
      </c>
      <c r="AK174" s="7">
        <f t="shared" si="22"/>
        <v>0</v>
      </c>
      <c r="AL174" s="12">
        <f t="shared" si="24"/>
        <v>0</v>
      </c>
      <c r="AM174" s="14" t="str">
        <f t="shared" si="23"/>
        <v>Passable</v>
      </c>
      <c r="AN174" s="86"/>
      <c r="AO174" s="87"/>
      <c r="AP174" s="10" t="s">
        <v>465</v>
      </c>
    </row>
    <row r="175" spans="1:42" ht="32">
      <c r="A175" s="59">
        <v>45199</v>
      </c>
      <c r="C175" s="10">
        <v>15604704</v>
      </c>
      <c r="D175" s="10" t="s">
        <v>99</v>
      </c>
      <c r="E175" s="11">
        <v>10</v>
      </c>
      <c r="F175" s="39">
        <v>395496</v>
      </c>
      <c r="G175" s="39">
        <v>6003141</v>
      </c>
      <c r="H175" s="11" t="s">
        <v>479</v>
      </c>
      <c r="I175" s="11" t="s">
        <v>480</v>
      </c>
      <c r="K175" s="11" t="s">
        <v>481</v>
      </c>
      <c r="L175" s="10" t="s">
        <v>474</v>
      </c>
      <c r="M175" s="10" t="s">
        <v>475</v>
      </c>
      <c r="N175" s="21">
        <v>20</v>
      </c>
      <c r="O175" s="21">
        <v>5</v>
      </c>
      <c r="P175" s="86"/>
      <c r="Q175" s="87"/>
      <c r="R175" s="86"/>
      <c r="S175" s="86"/>
      <c r="T175" s="87"/>
      <c r="U175" s="87"/>
      <c r="V175" s="86"/>
      <c r="W175" s="87"/>
      <c r="X175" s="86"/>
      <c r="Y175" s="87"/>
      <c r="Z175" s="87"/>
      <c r="AA175" s="86"/>
      <c r="AD175" s="86"/>
      <c r="AE175" s="86"/>
      <c r="AF175" s="20">
        <f t="shared" si="25"/>
        <v>0</v>
      </c>
      <c r="AG175" s="13">
        <f t="shared" si="18"/>
        <v>0</v>
      </c>
      <c r="AH175" s="7">
        <f t="shared" si="19"/>
        <v>0</v>
      </c>
      <c r="AI175" s="7">
        <f t="shared" si="20"/>
        <v>0</v>
      </c>
      <c r="AJ175" s="7">
        <f t="shared" si="21"/>
        <v>0</v>
      </c>
      <c r="AK175" s="7">
        <f t="shared" si="22"/>
        <v>0</v>
      </c>
      <c r="AL175" s="12">
        <f t="shared" si="24"/>
        <v>0</v>
      </c>
      <c r="AM175" s="14" t="str">
        <f t="shared" si="23"/>
        <v>Passable</v>
      </c>
      <c r="AN175" s="86"/>
      <c r="AO175" s="87"/>
      <c r="AP175" s="10" t="s">
        <v>466</v>
      </c>
    </row>
    <row r="176" spans="1:42" ht="16">
      <c r="A176" s="59">
        <v>45180</v>
      </c>
      <c r="C176" s="10">
        <v>15600065</v>
      </c>
      <c r="D176" s="10" t="s">
        <v>132</v>
      </c>
      <c r="E176" s="11">
        <v>10</v>
      </c>
      <c r="F176" s="39">
        <v>441140</v>
      </c>
      <c r="G176" s="39">
        <v>5989596</v>
      </c>
      <c r="H176" s="11" t="s">
        <v>142</v>
      </c>
      <c r="I176" s="11" t="s">
        <v>482</v>
      </c>
      <c r="K176" s="11" t="s">
        <v>111</v>
      </c>
      <c r="L176" s="10" t="s">
        <v>474</v>
      </c>
      <c r="M176" s="10" t="s">
        <v>475</v>
      </c>
      <c r="N176" s="21">
        <v>13</v>
      </c>
      <c r="O176" s="21">
        <v>4.5</v>
      </c>
      <c r="P176" s="86"/>
      <c r="Q176" s="87"/>
      <c r="R176" s="86"/>
      <c r="S176" s="86"/>
      <c r="T176" s="87"/>
      <c r="U176" s="87"/>
      <c r="V176" s="86"/>
      <c r="W176" s="87"/>
      <c r="X176" s="86"/>
      <c r="Y176" s="87"/>
      <c r="Z176" s="87"/>
      <c r="AA176" s="86"/>
      <c r="AD176" s="86"/>
      <c r="AE176" s="86"/>
      <c r="AF176" s="20">
        <f t="shared" si="25"/>
        <v>0</v>
      </c>
      <c r="AG176" s="13">
        <f t="shared" si="18"/>
        <v>0</v>
      </c>
      <c r="AH176" s="7">
        <f t="shared" si="19"/>
        <v>0</v>
      </c>
      <c r="AI176" s="7">
        <f t="shared" si="20"/>
        <v>0</v>
      </c>
      <c r="AJ176" s="7">
        <f t="shared" si="21"/>
        <v>0</v>
      </c>
      <c r="AK176" s="7">
        <f t="shared" si="22"/>
        <v>0</v>
      </c>
      <c r="AL176" s="12">
        <f t="shared" si="24"/>
        <v>0</v>
      </c>
      <c r="AM176" s="14" t="str">
        <f t="shared" si="23"/>
        <v>Passable</v>
      </c>
      <c r="AN176" s="86"/>
      <c r="AO176" s="87"/>
      <c r="AP176" s="10" t="s">
        <v>467</v>
      </c>
    </row>
    <row r="177" spans="1:42" ht="16">
      <c r="A177" s="59">
        <v>45202</v>
      </c>
      <c r="C177" s="10">
        <v>24715750</v>
      </c>
      <c r="D177" s="10" t="s">
        <v>132</v>
      </c>
      <c r="E177" s="11">
        <v>10</v>
      </c>
      <c r="F177" s="39">
        <v>613206</v>
      </c>
      <c r="G177" s="39">
        <v>5966880</v>
      </c>
      <c r="H177" s="11" t="s">
        <v>483</v>
      </c>
      <c r="I177" s="11" t="s">
        <v>484</v>
      </c>
      <c r="K177" s="11" t="s">
        <v>111</v>
      </c>
      <c r="L177" s="10" t="s">
        <v>474</v>
      </c>
      <c r="M177" s="10" t="s">
        <v>475</v>
      </c>
      <c r="N177" s="21">
        <v>12</v>
      </c>
      <c r="O177" s="21">
        <v>5</v>
      </c>
      <c r="P177" s="86"/>
      <c r="Q177" s="87"/>
      <c r="R177" s="86"/>
      <c r="S177" s="86"/>
      <c r="T177" s="87"/>
      <c r="U177" s="87"/>
      <c r="V177" s="86"/>
      <c r="W177" s="87"/>
      <c r="X177" s="86"/>
      <c r="Y177" s="87"/>
      <c r="Z177" s="87"/>
      <c r="AA177" s="86"/>
      <c r="AD177" s="86"/>
      <c r="AE177" s="86"/>
      <c r="AF177" s="20">
        <f t="shared" si="25"/>
        <v>0</v>
      </c>
      <c r="AG177" s="13">
        <f t="shared" si="18"/>
        <v>0</v>
      </c>
      <c r="AH177" s="7">
        <f t="shared" si="19"/>
        <v>0</v>
      </c>
      <c r="AI177" s="7">
        <f t="shared" si="20"/>
        <v>0</v>
      </c>
      <c r="AJ177" s="7">
        <f t="shared" si="21"/>
        <v>0</v>
      </c>
      <c r="AK177" s="7">
        <f t="shared" si="22"/>
        <v>0</v>
      </c>
      <c r="AL177" s="12">
        <f t="shared" si="24"/>
        <v>0</v>
      </c>
      <c r="AM177" s="14" t="str">
        <f t="shared" si="23"/>
        <v>Passable</v>
      </c>
      <c r="AN177" s="86"/>
      <c r="AO177" s="87"/>
      <c r="AP177" s="10" t="s">
        <v>468</v>
      </c>
    </row>
    <row r="178" spans="1:42" ht="16">
      <c r="A178" s="59">
        <v>45200</v>
      </c>
      <c r="C178" s="10">
        <v>9904385</v>
      </c>
      <c r="D178" s="10" t="s">
        <v>485</v>
      </c>
      <c r="E178" s="11">
        <v>10</v>
      </c>
      <c r="F178" s="39">
        <v>485546</v>
      </c>
      <c r="G178" s="39">
        <v>5954833</v>
      </c>
      <c r="H178" s="11" t="s">
        <v>486</v>
      </c>
      <c r="I178" s="11" t="s">
        <v>487</v>
      </c>
      <c r="K178" s="11" t="s">
        <v>488</v>
      </c>
      <c r="L178" s="10" t="s">
        <v>489</v>
      </c>
      <c r="N178" s="87"/>
      <c r="O178" s="87"/>
      <c r="P178" s="86"/>
      <c r="Q178" s="87"/>
      <c r="R178" s="86"/>
      <c r="S178" s="86"/>
      <c r="T178" s="87"/>
      <c r="U178" s="87"/>
      <c r="V178" s="86"/>
      <c r="W178" s="87"/>
      <c r="X178" s="86"/>
      <c r="Y178" s="87"/>
      <c r="Z178" s="87"/>
      <c r="AA178" s="86"/>
      <c r="AD178" s="86"/>
      <c r="AE178" s="86"/>
      <c r="AF178" s="20">
        <f t="shared" si="25"/>
        <v>0</v>
      </c>
      <c r="AG178" s="13">
        <f t="shared" si="18"/>
        <v>0</v>
      </c>
      <c r="AH178" s="7">
        <f t="shared" si="19"/>
        <v>0</v>
      </c>
      <c r="AI178" s="7">
        <f t="shared" si="20"/>
        <v>0</v>
      </c>
      <c r="AJ178" s="7">
        <f t="shared" si="21"/>
        <v>0</v>
      </c>
      <c r="AK178" s="7">
        <f t="shared" si="22"/>
        <v>0</v>
      </c>
      <c r="AL178" s="12">
        <f t="shared" si="24"/>
        <v>0</v>
      </c>
      <c r="AM178" s="14" t="str">
        <f t="shared" si="23"/>
        <v>Unknown</v>
      </c>
      <c r="AN178" s="86"/>
      <c r="AO178" s="87"/>
      <c r="AP178" s="10" t="s">
        <v>469</v>
      </c>
    </row>
    <row r="179" spans="1:42" ht="16">
      <c r="A179" s="59">
        <v>45179</v>
      </c>
      <c r="C179" s="10">
        <v>15600486</v>
      </c>
      <c r="D179" s="10" t="s">
        <v>132</v>
      </c>
      <c r="E179" s="11">
        <v>10</v>
      </c>
      <c r="F179" s="39">
        <v>420111</v>
      </c>
      <c r="G179" s="39">
        <v>5994723</v>
      </c>
      <c r="H179" s="11" t="s">
        <v>153</v>
      </c>
      <c r="I179" s="11" t="s">
        <v>482</v>
      </c>
      <c r="K179" s="11" t="s">
        <v>490</v>
      </c>
      <c r="L179" s="10" t="s">
        <v>489</v>
      </c>
      <c r="N179" s="87"/>
      <c r="O179" s="87"/>
      <c r="P179" s="86"/>
      <c r="Q179" s="87"/>
      <c r="R179" s="86"/>
      <c r="S179" s="86"/>
      <c r="T179" s="87"/>
      <c r="U179" s="87"/>
      <c r="V179" s="86"/>
      <c r="W179" s="87"/>
      <c r="X179" s="86"/>
      <c r="Y179" s="87"/>
      <c r="Z179" s="87"/>
      <c r="AA179" s="86"/>
      <c r="AD179" s="86"/>
      <c r="AE179" s="86"/>
      <c r="AF179" s="20">
        <f t="shared" si="25"/>
        <v>0</v>
      </c>
      <c r="AG179" s="13">
        <f t="shared" si="18"/>
        <v>0</v>
      </c>
      <c r="AH179" s="7">
        <f t="shared" si="19"/>
        <v>0</v>
      </c>
      <c r="AI179" s="7">
        <f t="shared" si="20"/>
        <v>0</v>
      </c>
      <c r="AJ179" s="7">
        <f t="shared" si="21"/>
        <v>0</v>
      </c>
      <c r="AK179" s="7">
        <f t="shared" si="22"/>
        <v>0</v>
      </c>
      <c r="AL179" s="12">
        <f t="shared" si="24"/>
        <v>0</v>
      </c>
      <c r="AM179" s="14" t="str">
        <f t="shared" si="23"/>
        <v>Unknown</v>
      </c>
      <c r="AN179" s="86"/>
      <c r="AO179" s="87"/>
      <c r="AP179" s="10" t="s">
        <v>470</v>
      </c>
    </row>
    <row r="180" spans="1:42" ht="32">
      <c r="A180" s="59">
        <v>45180</v>
      </c>
      <c r="C180" s="10">
        <v>15604176</v>
      </c>
      <c r="D180" s="10" t="s">
        <v>132</v>
      </c>
      <c r="E180" s="11">
        <v>10</v>
      </c>
      <c r="F180" s="39">
        <v>412266</v>
      </c>
      <c r="G180" s="39">
        <v>6001835</v>
      </c>
      <c r="H180" s="11" t="s">
        <v>121</v>
      </c>
      <c r="I180" s="11" t="s">
        <v>482</v>
      </c>
      <c r="K180" s="11" t="s">
        <v>491</v>
      </c>
      <c r="L180" s="10" t="s">
        <v>489</v>
      </c>
      <c r="N180" s="87"/>
      <c r="O180" s="87"/>
      <c r="P180" s="86"/>
      <c r="Q180" s="87"/>
      <c r="R180" s="86"/>
      <c r="S180" s="86"/>
      <c r="T180" s="87"/>
      <c r="U180" s="87"/>
      <c r="V180" s="86"/>
      <c r="W180" s="87"/>
      <c r="X180" s="86"/>
      <c r="Y180" s="87"/>
      <c r="Z180" s="87"/>
      <c r="AA180" s="86"/>
      <c r="AD180" s="86"/>
      <c r="AE180" s="86"/>
      <c r="AF180" s="20">
        <f t="shared" si="25"/>
        <v>0</v>
      </c>
      <c r="AG180" s="13">
        <f t="shared" si="18"/>
        <v>0</v>
      </c>
      <c r="AH180" s="7">
        <f t="shared" si="19"/>
        <v>0</v>
      </c>
      <c r="AI180" s="7">
        <f t="shared" si="20"/>
        <v>0</v>
      </c>
      <c r="AJ180" s="7">
        <f t="shared" si="21"/>
        <v>0</v>
      </c>
      <c r="AK180" s="7">
        <f t="shared" si="22"/>
        <v>0</v>
      </c>
      <c r="AL180" s="12">
        <f t="shared" si="24"/>
        <v>0</v>
      </c>
      <c r="AM180" s="14" t="str">
        <f t="shared" si="23"/>
        <v>Unknown</v>
      </c>
      <c r="AN180" s="86"/>
      <c r="AO180" s="87"/>
      <c r="AP180" s="10" t="s">
        <v>471</v>
      </c>
    </row>
    <row r="181" spans="1:42" ht="16">
      <c r="A181" s="59">
        <v>45198</v>
      </c>
      <c r="C181" s="10">
        <v>5401513</v>
      </c>
      <c r="D181" s="10" t="s">
        <v>132</v>
      </c>
      <c r="E181" s="11">
        <v>10</v>
      </c>
      <c r="F181" s="39">
        <v>330328</v>
      </c>
      <c r="G181" s="39">
        <v>6009420</v>
      </c>
      <c r="H181" s="11" t="s">
        <v>285</v>
      </c>
      <c r="I181" s="11" t="s">
        <v>184</v>
      </c>
      <c r="K181" s="11" t="s">
        <v>490</v>
      </c>
      <c r="L181" s="10" t="s">
        <v>489</v>
      </c>
      <c r="N181" s="87"/>
      <c r="O181" s="87"/>
      <c r="P181" s="86"/>
      <c r="Q181" s="87"/>
      <c r="R181" s="86"/>
      <c r="S181" s="86"/>
      <c r="T181" s="87"/>
      <c r="U181" s="87"/>
      <c r="V181" s="86"/>
      <c r="W181" s="87"/>
      <c r="X181" s="86"/>
      <c r="Y181" s="87"/>
      <c r="Z181" s="87"/>
      <c r="AA181" s="86"/>
      <c r="AD181" s="86"/>
      <c r="AE181" s="86"/>
      <c r="AF181" s="20">
        <f t="shared" si="25"/>
        <v>0</v>
      </c>
      <c r="AG181" s="13">
        <f t="shared" si="18"/>
        <v>0</v>
      </c>
      <c r="AH181" s="7">
        <f t="shared" si="19"/>
        <v>0</v>
      </c>
      <c r="AI181" s="7">
        <f t="shared" si="20"/>
        <v>0</v>
      </c>
      <c r="AJ181" s="7">
        <f t="shared" si="21"/>
        <v>0</v>
      </c>
      <c r="AK181" s="7">
        <f t="shared" si="22"/>
        <v>0</v>
      </c>
      <c r="AL181" s="12">
        <f t="shared" si="24"/>
        <v>0</v>
      </c>
      <c r="AM181" s="14" t="str">
        <f t="shared" si="23"/>
        <v>Unknown</v>
      </c>
      <c r="AN181" s="86"/>
      <c r="AO181" s="87"/>
      <c r="AP181" s="10" t="s">
        <v>472</v>
      </c>
    </row>
    <row r="182" spans="1:42">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42">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42">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42">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42">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42">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42">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42">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42">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42">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42">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56lfi2pY7abQyRTVHnGdiJ56EKGno4bbj3ao+z3w7Y6ym8ZKZgKF54rqM5QNQs14BDaCwq+p7Bl/w3wE/q/NA==" saltValue="+uDV85i/HMUQEzFuyKBDL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88">
    <dataValidation type="list" allowBlank="1" showInputMessage="1" showErrorMessage="1" sqref="AM5284:AM65536" xr:uid="{00000000-0002-0000-0200-000000000000}">
      <formula1>"Passable, Potential, Barrier, Unkown"</formula1>
    </dataValidation>
    <dataValidation type="list" allowBlank="1" showInputMessage="1" showErrorMessage="1" sqref="M18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17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71" xr:uid="{5E026662-21E7-5240-9986-A444977E9D58}">
      <formula1>"Round Culvert,Oval Culvert,Concrete Box"</formula1>
    </dataValidation>
    <dataValidation type="decimal" allowBlank="1" showInputMessage="1" showErrorMessage="1" errorTitle="Invalid Diamter or Span" error="The Diameter or Span entered is invalid. Diameter or Span must be &gt; 0 and &lt; 300" sqref="N5:N171" xr:uid="{E3D6860C-6F20-CE4A-9FF1-FD742F5A3333}">
      <formula1>0.01</formula1>
      <formula2>300</formula2>
    </dataValidation>
    <dataValidation type="decimal" allowBlank="1" showInputMessage="1" showErrorMessage="1" errorTitle="Invalid value entered" error="The Average Depth Embededdment you entered is invalid. The Average Depth Embededdment must be &lt;= 7.09 and &gt;= 0.01" sqref="Q5" xr:uid="{7BAA800F-543D-2B44-BAA7-DE7657ED8C70}">
      <formula1>0.01</formula1>
      <formula2>7.09</formula2>
    </dataValidation>
    <dataValidation type="decimal" allowBlank="1" showInputMessage="1" showErrorMessage="1" errorTitle="Invalid value entered" error="The Average Depth Embededdment you entered is invalid. The Average Depth Embededdment must be &lt;= 3.59 and &gt;= 0.01" sqref="Q6 Q131 Q42" xr:uid="{3B7B7CB4-9C43-5641-9AF1-8B6970053B64}">
      <formula1>0.01</formula1>
      <formula2>3.59</formula2>
    </dataValidation>
    <dataValidation type="decimal" allowBlank="1" showInputMessage="1" showErrorMessage="1" errorTitle="Invalid value entered" error="The Average Depth Embededdment you entered is invalid. The Average Depth Embededdment must be &lt;= 1.79 and &gt;= 0.01" sqref="Q7 Q169 Q82:Q83 Q66 Q25" xr:uid="{B694EC3B-55FA-D840-B753-25A341D3CA44}">
      <formula1>0.01</formula1>
      <formula2>1.79</formula2>
    </dataValidation>
    <dataValidation type="decimal" allowBlank="1" showInputMessage="1" showErrorMessage="1" errorTitle="Invalid value entered" error="The Average Depth Embededdment you entered is invalid. The Average Depth Embededdment must be &lt;= 0.59 and &gt;= 0.01" sqref="Q8 Q121 Q106:Q108 Q90 Q88 Q80 Q76:Q77 Q35 Q12" xr:uid="{7E3C8753-8559-0F44-98C4-4401A5BCDCD9}">
      <formula1>0.01</formula1>
      <formula2>0.59</formula2>
    </dataValidation>
    <dataValidation type="decimal" allowBlank="1" showInputMessage="1" showErrorMessage="1" errorTitle="Invalid value entered" error="The Average Depth Embededdment you entered is invalid. The Average Depth Embededdment must be &lt;= 1.54 and &gt;= 0.01" sqref="Q9" xr:uid="{3FB5C0E1-B882-6D4D-9E1A-65131044B81F}">
      <formula1>0.01</formula1>
      <formula2>1.54</formula2>
    </dataValidation>
    <dataValidation type="decimal" allowBlank="1" showInputMessage="1" showErrorMessage="1" errorTitle="Invalid value entered" error="The Average Depth Embededdment you entered is invalid. The Average Depth Embededdment must be &lt;= 0.89 and &gt;= 0.01" sqref="Q10 Q157 Q154 Q147 Q141 Q117 Q92:Q93 Q85:Q86 Q75 Q64 Q48 Q44 Q37:Q38 Q18" xr:uid="{1AA9041F-7C41-E741-8174-8A4608A55AC5}">
      <formula1>0.01</formula1>
      <formula2>0.89</formula2>
    </dataValidation>
    <dataValidation type="decimal" allowBlank="1" showInputMessage="1" showErrorMessage="1" errorTitle="Invalid value entered" error="The Average Depth Embededdment you entered is invalid. The Average Depth Embededdment must be &lt;= 1.49 and &gt;= 0.01" sqref="Q11 Q133 Q120 Q116 Q67 Q65 Q60 Q34 Q19" xr:uid="{D5C09FCE-3CE5-9C4F-B8BC-E9659CC94DFD}">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13 Q160" xr:uid="{43686F95-2E2F-6F48-8199-3B5C9269EBA6}">
      <formula1>0.01</formula1>
      <formula2>0.99</formula2>
    </dataValidation>
    <dataValidation type="decimal" allowBlank="1" showInputMessage="1" showErrorMessage="1" errorTitle="Invalid value entered" error="The Average Depth Embededdment you entered is invalid. The Average Depth Embededdment must be &lt;= 1.09 and &gt;= 0.01" sqref="Q14 Q127 Q101 Q97" xr:uid="{C4083A9A-0DA4-224B-A6E1-CDD211008D48}">
      <formula1>0.01</formula1>
      <formula2>1.09</formula2>
    </dataValidation>
    <dataValidation type="decimal" allowBlank="1" showInputMessage="1" showErrorMessage="1" errorTitle="Invalid value entered" error="The Average Depth Embededdment you entered is invalid. The Average Depth Embededdment must be &lt;= 0.94 and &gt;= 0.01" sqref="Q15 Q96 Q30" xr:uid="{33BF7286-61BD-8447-B090-520E59C9F61F}">
      <formula1>0.01</formula1>
      <formula2>0.94</formula2>
    </dataValidation>
    <dataValidation type="decimal" allowBlank="1" showInputMessage="1" showErrorMessage="1" errorTitle="Invalid value entered" error="The Average Depth Embededdment you entered is invalid. The Average Depth Embededdment must be &lt;= 1.44 and &gt;= 0.01" sqref="Q16 Q40" xr:uid="{FBF16314-376D-1843-91D3-F85EE183804A}">
      <formula1>0.01</formula1>
      <formula2>1.44</formula2>
    </dataValidation>
    <dataValidation type="decimal" allowBlank="1" showInputMessage="1" showErrorMessage="1" errorTitle="Invalid value entered" error="The Average Depth Embededdment you entered is invalid. The Average Depth Embededdment must be &lt;= 1.19 and &gt;= 0.01" sqref="Q17 Q170 Q155 Q105 Q102:Q103 Q99:Q100 Q62 Q59 Q54 Q43" xr:uid="{ED048536-273D-9440-AED2-0B8CE5D6BB22}">
      <formula1>0.01</formula1>
      <formula2>1.19</formula2>
    </dataValidation>
    <dataValidation type="decimal" allowBlank="1" showInputMessage="1" showErrorMessage="1" errorTitle="Invalid value entered" error="The Average Depth Embededdment you entered is invalid. The Average Depth Embededdment must be &lt;= 4.49 and &gt;= 0.01" sqref="Q20 Q158 Q134 Q115" xr:uid="{B658682B-F649-A645-BBE6-9CBCFCCE7BED}">
      <formula1>0.01</formula1>
      <formula2>4.49</formula2>
    </dataValidation>
    <dataValidation type="decimal" allowBlank="1" showInputMessage="1" showErrorMessage="1" errorTitle="Invalid value entered" error="The Average Depth Embededdment you entered is invalid. The Average Depth Embededdment must be &lt;= 4.99 and &gt;= 0.01" sqref="Q21 Q112 Q104" xr:uid="{77042FEE-FAC2-A44A-AE34-7C826C03A4AB}">
      <formula1>0.01</formula1>
      <formula2>4.99</formula2>
    </dataValidation>
    <dataValidation type="decimal" allowBlank="1" showInputMessage="1" showErrorMessage="1" errorTitle="Invalid value entered" error="The Average Depth Embededdment you entered is invalid. The Average Depth Embededdment must be &lt;= 2.19 and &gt;= 0.01" sqref="Q22 Q142 Q135 Q71 Q52" xr:uid="{62C9493D-252E-CD46-B02D-D4ADAB38F375}">
      <formula1>0.01</formula1>
      <formula2>2.19</formula2>
    </dataValidation>
    <dataValidation type="decimal" allowBlank="1" showInputMessage="1" showErrorMessage="1" errorTitle="Invalid value entered" error="The Average Depth Embededdment you entered is invalid. The Average Depth Embededdment must be &lt;= 3.19 and &gt;= 0.01" sqref="Q23" xr:uid="{5B857BEE-804F-514A-9557-E1A384AAC383}">
      <formula1>0.01</formula1>
      <formula2>3.19</formula2>
    </dataValidation>
    <dataValidation type="decimal" allowBlank="1" showInputMessage="1" showErrorMessage="1" errorTitle="Invalid value entered" error="The Average Depth Embededdment you entered is invalid. The Average Depth Embededdment must be &lt;= 2.49 and &gt;= 0.01" sqref="Q24 Q167:Q168 Q137 Q124 Q78 Q69 Q58 Q49" xr:uid="{D4BC786E-58F7-3543-8C81-42DCE95FD3D8}">
      <formula1>0.01</formula1>
      <formula2>2.49</formula2>
    </dataValidation>
    <dataValidation type="decimal" allowBlank="1" showInputMessage="1" showErrorMessage="1" errorTitle="Invalid value entered" error="The Average Depth Embededdment you entered is invalid. The Average Depth Embededdment must be &lt;= 0.49 and &gt;= 0.01" sqref="Q26" xr:uid="{6BC6080A-263C-FC43-81F1-D4E64054DD64}">
      <formula1>0.01</formula1>
      <formula2>0.49</formula2>
    </dataValidation>
    <dataValidation type="decimal" allowBlank="1" showInputMessage="1" showErrorMessage="1" errorTitle="Invalid value entered" error="The Average Depth Embededdment you entered is invalid. The Average Depth Embededdment must be &lt;= 1.69 and &gt;= 0.01" sqref="Q27 Q145 Q130 Q123 Q119 Q72 Q32" xr:uid="{9192B990-8157-334F-AE5D-C4A10F90ADDB}">
      <formula1>0.01</formula1>
      <formula2>1.69</formula2>
    </dataValidation>
    <dataValidation type="decimal" allowBlank="1" showInputMessage="1" showErrorMessage="1" errorTitle="Invalid value entered" error="The Average Depth Embededdment you entered is invalid. The Average Depth Embededdment must be &lt;= 2.99 and &gt;= 0.01" sqref="Q28 Q164 Q46 Q39" xr:uid="{14DCE68C-3AA5-4D4A-B436-9C47D9798DBA}">
      <formula1>0.01</formula1>
      <formula2>2.99</formula2>
    </dataValidation>
    <dataValidation type="decimal" allowBlank="1" showInputMessage="1" showErrorMessage="1" errorTitle="Invalid value entered" error="The Average Depth Embededdment you entered is invalid. The Average Depth Embededdment must be &lt;= 3.89 and &gt;= 0.01" sqref="Q29" xr:uid="{E589D71F-D04E-F141-A224-74F62A453866}">
      <formula1>0.01</formula1>
      <formula2>3.89</formula2>
    </dataValidation>
    <dataValidation type="decimal" allowBlank="1" showInputMessage="1" showErrorMessage="1" errorTitle="Invalid value entered" error="The Average Depth Embededdment you entered is invalid. The Average Depth Embededdment must be &lt;= 1.59 and &gt;= 0.01" sqref="Q31 Q33" xr:uid="{2BBE9F3F-090D-6044-82A4-86A0F0334F0E}">
      <formula1>0.01</formula1>
      <formula2>1.59</formula2>
    </dataValidation>
    <dataValidation type="decimal" allowBlank="1" showInputMessage="1" showErrorMessage="1" errorTitle="Invalid value entered" error="The Average Depth Embededdment you entered is invalid. The Average Depth Embededdment must be &lt;= 0.79 and &gt;= 0.01" sqref="Q36 Q151 Q144 Q140 Q94 Q91 Q87" xr:uid="{16F0DA20-B11C-8D47-984A-091880B3F7DB}">
      <formula1>0.01</formula1>
      <formula2>0.79</formula2>
    </dataValidation>
    <dataValidation type="decimal" allowBlank="1" showInputMessage="1" showErrorMessage="1" errorTitle="Invalid value entered" error="The Average Depth Embededdment you entered is invalid. The Average Depth Embededdment must be &lt;= 1.39 and &gt;= 0.01" sqref="Q41 Q148 Q125 Q61" xr:uid="{E74B1B5A-75E8-244A-A7D8-3DEFEB453A09}">
      <formula1>0.01</formula1>
      <formula2>1.39</formula2>
    </dataValidation>
    <dataValidation type="decimal" allowBlank="1" showInputMessage="1" showErrorMessage="1" errorTitle="Invalid value entered" error="The Average Depth Embededdment you entered is invalid. The Average Depth Embededdment must be &lt;= 2.59 and &gt;= 0.01" sqref="Q45 Q126 Q57 Q53 Q50" xr:uid="{071C7077-3319-CC4D-B387-C7F04EC294CF}">
      <formula1>0.01</formula1>
      <formula2>2.59</formula2>
    </dataValidation>
    <dataValidation type="decimal" allowBlank="1" showInputMessage="1" showErrorMessage="1" errorTitle="Invalid value entered" error="The Average Depth Embededdment you entered is invalid. The Average Depth Embededdment must be &lt;= 1.99 and &gt;= 0.01" sqref="Q47 Q163 Q152 Q149 Q84 Q70" xr:uid="{5FE0FD28-F7DA-3A4A-8FFE-E65095E83AE5}">
      <formula1>0.01</formula1>
      <formula2>1.99</formula2>
    </dataValidation>
    <dataValidation type="decimal" allowBlank="1" showInputMessage="1" showErrorMessage="1" errorTitle="Invalid value entered" error="The Average Depth Embededdment you entered is invalid. The Average Depth Embededdment must be &lt;= 2.29 and &gt;= 0.01" sqref="Q51" xr:uid="{122293B5-BA7E-4A41-AFB4-14FB6A8452BF}">
      <formula1>0.01</formula1>
      <formula2>2.29</formula2>
    </dataValidation>
    <dataValidation type="decimal" allowBlank="1" showInputMessage="1" showErrorMessage="1" errorTitle="Invalid value entered" error="The Average Depth Embededdment you entered is invalid. The Average Depth Embededdment must be &lt;= 3.99 and &gt;= 0.01" sqref="Q55 Q172 Q146 Q63" xr:uid="{3B735EA1-06AC-D341-BD40-9A097AFA4CBF}">
      <formula1>0.01</formula1>
      <formula2>3.99</formula2>
    </dataValidation>
    <dataValidation type="decimal" allowBlank="1" showInputMessage="1" showErrorMessage="1" errorTitle="Invalid value entered" error="The Average Depth Embededdment you entered is invalid. The Average Depth Embededdment must be &lt;= 3.49 and &gt;= 0.01" sqref="Q56" xr:uid="{7532D3AD-0C87-F644-9680-06B7B3B00299}">
      <formula1>0.01</formula1>
      <formula2>3.49</formula2>
    </dataValidation>
    <dataValidation type="decimal" allowBlank="1" showInputMessage="1" showErrorMessage="1" errorTitle="Invalid value entered" error="The Average Depth Embededdment you entered is invalid. The Average Depth Embededdment must be &lt;= 2.39 and &gt;= 0.01" sqref="Q68 Q109:Q110" xr:uid="{DA250A6D-81D0-B942-A610-6ECA3338D170}">
      <formula1>0.01</formula1>
      <formula2>2.39</formula2>
    </dataValidation>
    <dataValidation type="decimal" allowBlank="1" showInputMessage="1" showErrorMessage="1" errorTitle="Invalid value entered" error="The Average Depth Embededdment you entered is invalid. The Average Depth Embededdment must be &lt;= 2.79 and &gt;= 0.01" sqref="Q73 Q118" xr:uid="{08C19D8F-B104-4E43-A1A1-3612A729DA64}">
      <formula1>0.01</formula1>
      <formula2>2.79</formula2>
    </dataValidation>
    <dataValidation type="decimal" allowBlank="1" showInputMessage="1" showErrorMessage="1" errorTitle="Invalid value entered" error="The Average Depth Embededdment you entered is invalid. The Average Depth Embededdment must be &lt;= 6.49 and &gt;= 0.01" sqref="Q74" xr:uid="{5E304D46-7CDB-8444-969B-0401A5640F68}">
      <formula1>0.01</formula1>
      <formula2>6.49</formula2>
    </dataValidation>
    <dataValidation type="decimal" allowBlank="1" showInputMessage="1" showErrorMessage="1" errorTitle="Invalid value entered" error="The Average Depth Embededdment you entered is invalid. The Average Depth Embededdment must be &lt;= 3.09 and &gt;= 0.01" sqref="Q79 Q136" xr:uid="{976B14D9-94FB-3447-8791-960C829B77A5}">
      <formula1>0.01</formula1>
      <formula2>3.09</formula2>
    </dataValidation>
    <dataValidation type="decimal" allowBlank="1" showInputMessage="1" showErrorMessage="1" errorTitle="Invalid value entered" error="The Average Depth Embededdment you entered is invalid. The Average Depth Embededdment must be &lt;= 2.69 and &gt;= 0.01" sqref="Q81 Q159 Q114" xr:uid="{7DA02A02-C30E-5848-976D-4403AA34A745}">
      <formula1>0.01</formula1>
      <formula2>2.69</formula2>
    </dataValidation>
    <dataValidation type="decimal" allowBlank="1" showInputMessage="1" showErrorMessage="1" errorTitle="Invalid value entered" error="The Average Depth Embededdment you entered is invalid. The Average Depth Embededdment must be &lt;= 1.29 and &gt;= 0.01" sqref="Q89 Q138 Q111" xr:uid="{4B6D3E7F-D16E-874B-99B7-888742A649A9}">
      <formula1>0.01</formula1>
      <formula2>1.29</formula2>
    </dataValidation>
    <dataValidation type="decimal" allowBlank="1" showInputMessage="1" showErrorMessage="1" errorTitle="Invalid value entered" error="The Average Depth Embededdment you entered is invalid. The Average Depth Embededdment must be &lt;= 1.04 and &gt;= 0.01" sqref="Q95 Q156 Q122" xr:uid="{F448FA7E-9090-284A-858F-4F3A8ADCB865}">
      <formula1>0.01</formula1>
      <formula2>1.04</formula2>
    </dataValidation>
    <dataValidation type="decimal" allowBlank="1" showInputMessage="1" showErrorMessage="1" errorTitle="Invalid value entered" error="The Average Depth Embededdment you entered is invalid. The Average Depth Embededdment must be &lt;= 4.69 and &gt;= 0.01" sqref="Q98" xr:uid="{89782BEE-E97F-624A-8F43-0150E7C2CE2B}">
      <formula1>0.01</formula1>
      <formula2>4.69</formula2>
    </dataValidation>
    <dataValidation type="decimal" allowBlank="1" showInputMessage="1" showErrorMessage="1" errorTitle="Invalid value entered" error="The Average Depth Embededdment you entered is invalid. The Average Depth Embededdment must be &lt;= 4.09 and &gt;= 0.01" sqref="Q113" xr:uid="{B3D3EB93-2928-1947-B20D-A986D805710B}">
      <formula1>0.01</formula1>
      <formula2>4.09</formula2>
    </dataValidation>
    <dataValidation type="decimal" allowBlank="1" showInputMessage="1" showErrorMessage="1" errorTitle="Invalid value entered" error="The Average Depth Embededdment you entered is invalid. The Average Depth Embededdment must be &lt;= 3.64 and &gt;= 0.01" sqref="Q128" xr:uid="{B3E18CCF-0D7D-5745-97D2-DD96724581C0}">
      <formula1>0.01</formula1>
      <formula2>3.64</formula2>
    </dataValidation>
    <dataValidation type="decimal" allowBlank="1" showInputMessage="1" showErrorMessage="1" errorTitle="Invalid value entered" error="The Average Depth Embededdment you entered is invalid. The Average Depth Embededdment must be &lt;= 2.24 and &gt;= 0.01" sqref="Q129" xr:uid="{D4DB2F6F-1E88-0B48-ABF8-B38C64269C2C}">
      <formula1>0.01</formula1>
      <formula2>2.24</formula2>
    </dataValidation>
    <dataValidation type="decimal" allowBlank="1" showInputMessage="1" showErrorMessage="1" errorTitle="Invalid value entered" error="The Average Depth Embededdment you entered is invalid. The Average Depth Embededdment must be &lt;= 11.99 and &gt;= 0.01" sqref="Q132 Q177" xr:uid="{BC7FD2FA-B33B-2341-AA32-C47E22FF66EA}">
      <formula1>0.01</formula1>
      <formula2>11.99</formula2>
    </dataValidation>
    <dataValidation type="decimal" allowBlank="1" showInputMessage="1" showErrorMessage="1" errorTitle="Invalid value entered" error="The Average Depth Embededdment you entered is invalid. The Average Depth Embededdment must be &lt;= 2.34 and &gt;= 0.01" sqref="Q139" xr:uid="{8B15A0B4-CCC1-964C-8CE8-02E7A233361F}">
      <formula1>0.01</formula1>
      <formula2>2.34</formula2>
    </dataValidation>
    <dataValidation type="decimal" allowBlank="1" showInputMessage="1" showErrorMessage="1" errorTitle="Invalid value entered" error="The Average Depth Embededdment you entered is invalid. The Average Depth Embededdment must be &lt;= 2.09 and &gt;= 0.01" sqref="Q143" xr:uid="{D79F51A6-4958-6C46-9E85-C0DDB62FB1F7}">
      <formula1>0.01</formula1>
      <formula2>2.09</formula2>
    </dataValidation>
    <dataValidation type="decimal" allowBlank="1" showInputMessage="1" showErrorMessage="1" errorTitle="Invalid value entered" error="The Average Depth Embededdment you entered is invalid. The Average Depth Embededdment must be &lt;= 3.29 and &gt;= 0.01" sqref="Q150" xr:uid="{DAAFA35C-7331-A44A-9218-2342D0825671}">
      <formula1>0.01</formula1>
      <formula2>3.29</formula2>
    </dataValidation>
    <dataValidation type="decimal" allowBlank="1" showInputMessage="1" showErrorMessage="1" errorTitle="Invalid value entered" error="The Average Depth Embededdment you entered is invalid. The Average Depth Embededdment must be &lt;= 0.69 and &gt;= 0.01" sqref="Q153" xr:uid="{CF3903E4-1C55-914B-AD61-74903EB5AD92}">
      <formula1>0.01</formula1>
      <formula2>0.69</formula2>
    </dataValidation>
    <dataValidation type="decimal" allowBlank="1" showInputMessage="1" showErrorMessage="1" errorTitle="Invalid value entered" error="The Average Depth Embededdment you entered is invalid. The Average Depth Embededdment must be &lt;= 3.79 and &gt;= 0.01" sqref="Q161" xr:uid="{3974D722-11D9-EA47-9D89-C0114034ECF3}">
      <formula1>0.01</formula1>
      <formula2>3.79</formula2>
    </dataValidation>
    <dataValidation type="decimal" allowBlank="1" showInputMessage="1" showErrorMessage="1" errorTitle="Invalid value entered" error="The Average Depth Embededdment you entered is invalid. The Average Depth Embededdment must be &lt;= 4.79 and &gt;= 0.01" sqref="Q162" xr:uid="{A72069AA-C643-174A-A77B-05DCE04A73CB}">
      <formula1>0.01</formula1>
      <formula2>4.79</formula2>
    </dataValidation>
    <dataValidation type="decimal" allowBlank="1" showInputMessage="1" showErrorMessage="1" errorTitle="Invalid value entered" error="The Average Depth Embededdment you entered is invalid. The Average Depth Embededdment must be &lt;= 0.74 and &gt;= 0.01" sqref="Q165" xr:uid="{B41B75F6-983A-EF43-AFAF-948CEAA9807C}">
      <formula1>0.01</formula1>
      <formula2>0.74</formula2>
    </dataValidation>
    <dataValidation type="decimal" allowBlank="1" showInputMessage="1" showErrorMessage="1" errorTitle="Invalid value entered" error="The Average Depth Embededdment you entered is invalid. The Average Depth Embededdment must be &lt;= 3.69 and &gt;= 0.01" sqref="Q166" xr:uid="{54D0BA3D-040E-A14A-8C0A-E93414CF2885}">
      <formula1>0.01</formula1>
      <formula2>3.69</formula2>
    </dataValidation>
    <dataValidation type="decimal" allowBlank="1" showInputMessage="1" showErrorMessage="1" errorTitle="Invalid value entered" error="The Average Depth Embededdment you entered is invalid. The Average Depth Embededdment must be &lt;= 4.39 and &gt;= 0.01" sqref="Q171" xr:uid="{43B63E95-6EF3-5948-82B9-C5F6198C513F}">
      <formula1>0.01</formula1>
      <formula2>4.39</formula2>
    </dataValidation>
    <dataValidation type="list" allowBlank="1" showInputMessage="1" showErrorMessage="1" errorTitle="Invalid value entered" error="The crossing subtype is not compatible with a crossing type of Open Bottom Structure" sqref="M172:M177" xr:uid="{1EA9FD3C-C0C6-AB45-B3EB-A7EA18571871}">
      <formula1>"Bridge, Pipe Arch, Wood Box Culvert"</formula1>
    </dataValidation>
    <dataValidation type="decimal" allowBlank="1" showInputMessage="1" showErrorMessage="1" errorTitle="Invalid Diamter or Span" error="The Diameter or Span entered is invalid. Diameter or Span must be &gt; 0 and &lt; 100" sqref="N172:N177" xr:uid="{0BB08184-774F-1C48-895A-58AE1E0AAC3D}">
      <formula1>0.01</formula1>
      <formula2>100</formula2>
    </dataValidation>
    <dataValidation type="decimal" allowBlank="1" showInputMessage="1" showErrorMessage="1" errorTitle="Invalid value entered" error="The Average Depth Embededdment you entered is invalid. The Average Depth Embededdment must be &lt;= 2.64 and &gt;= 0.01" sqref="Q173" xr:uid="{040A268F-99FB-234E-9939-1A947B3ECF26}">
      <formula1>0.01</formula1>
      <formula2>2.64</formula2>
    </dataValidation>
    <dataValidation type="decimal" allowBlank="1" showInputMessage="1" showErrorMessage="1" errorTitle="Invalid value entered" error="The Average Depth Embededdment you entered is invalid. The Average Depth Embededdment must be &lt;= 12.99 and &gt;= 0.01" sqref="Q174 Q176" xr:uid="{F75EE538-E560-BE4A-A000-C4B5A2EE7615}">
      <formula1>0.01</formula1>
      <formula2>12.99</formula2>
    </dataValidation>
    <dataValidation type="decimal" allowBlank="1" showInputMessage="1" showErrorMessage="1" errorTitle="Invalid value entered" error="The Average Depth Embededdment you entered is invalid. The Average Depth Embededdment must be &lt;= 19.99 and &gt;= 0.01" sqref="Q175" xr:uid="{CE75C2A6-2812-454A-94EF-8AEDE21E05A6}">
      <formula1>0.01</formula1>
      <formula2>19.99</formula2>
    </dataValidation>
    <dataValidation type="list" allowBlank="1" showInputMessage="1" showErrorMessage="1" errorTitle="Invalid value entered" error="The crossing subtype is not compatible with a crossing type of Other" sqref="M178:M181" xr:uid="{7C792A8C-AFA6-6A45-AD87-309A6BA33325}">
      <formula1>"Ford"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2024-09-22T04:56:50Z</dcterms:modified>
</cp:coreProperties>
</file>