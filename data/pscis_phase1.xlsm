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fraser_2023_reporting/data/"/>
    </mc:Choice>
  </mc:AlternateContent>
  <xr:revisionPtr revIDLastSave="0" documentId="13_ncr:1_{CCF3DFC3-B32C-A746-BF63-6B396B908827}" xr6:coauthVersionLast="47" xr6:coauthVersionMax="47" xr10:uidLastSave="{00000000-0000-0000-0000-000000000000}"/>
  <bookViews>
    <workbookView xWindow="800" yWindow="50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88" i="2"/>
  <c r="AM71" i="2"/>
  <c r="AM60" i="2"/>
  <c r="AM58" i="2"/>
  <c r="AM35" i="2"/>
  <c r="AM30" i="2"/>
  <c r="AM29" i="2"/>
  <c r="AM2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L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L25" i="2" s="1"/>
  <c r="AM25" i="2" s="1"/>
  <c r="AG25" i="2"/>
  <c r="AH25" i="2"/>
  <c r="AI25" i="2"/>
  <c r="AJ25" i="2"/>
  <c r="AF26" i="2"/>
  <c r="AK26" i="2" s="1"/>
  <c r="AG26" i="2"/>
  <c r="AH26" i="2"/>
  <c r="AI26" i="2"/>
  <c r="AL26" i="2" s="1"/>
  <c r="AM26" i="2" s="1"/>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L34" i="2" s="1"/>
  <c r="AM34" i="2" s="1"/>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L46" i="2" s="1"/>
  <c r="AM46" i="2" s="1"/>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L168" i="2" s="1"/>
  <c r="AH168" i="2"/>
  <c r="AI168" i="2"/>
  <c r="AJ168" i="2"/>
  <c r="AF169" i="2"/>
  <c r="AK169" i="2"/>
  <c r="AG169" i="2"/>
  <c r="AH169" i="2"/>
  <c r="AL169" i="2" s="1"/>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L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L947" i="2" s="1"/>
  <c r="AH947" i="2"/>
  <c r="AI947" i="2"/>
  <c r="AJ947" i="2"/>
  <c r="AF948" i="2"/>
  <c r="AK948" i="2"/>
  <c r="AG948" i="2"/>
  <c r="AH948" i="2"/>
  <c r="AI948" i="2"/>
  <c r="AJ948" i="2"/>
  <c r="AF949" i="2"/>
  <c r="AK949" i="2"/>
  <c r="AG949" i="2"/>
  <c r="AH949" i="2"/>
  <c r="AI949" i="2"/>
  <c r="AJ949" i="2"/>
  <c r="AF950" i="2"/>
  <c r="AK950" i="2"/>
  <c r="AG950" i="2"/>
  <c r="AH950" i="2"/>
  <c r="AI950" i="2"/>
  <c r="AL950" i="2" s="1"/>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L998" i="2" s="1"/>
  <c r="AH998" i="2"/>
  <c r="AI998" i="2"/>
  <c r="AJ998" i="2"/>
  <c r="AF999" i="2"/>
  <c r="AK999" i="2"/>
  <c r="AG999" i="2"/>
  <c r="AH999" i="2"/>
  <c r="AI999" i="2"/>
  <c r="AJ999" i="2"/>
  <c r="AF1000" i="2"/>
  <c r="AK1000" i="2"/>
  <c r="AG1000" i="2"/>
  <c r="AH1000" i="2"/>
  <c r="AI1000" i="2"/>
  <c r="AJ1000" i="2"/>
  <c r="AF1001" i="2"/>
  <c r="AK1001" i="2"/>
  <c r="AG1001" i="2"/>
  <c r="AL1001" i="2" s="1"/>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L1103" i="2" s="1"/>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L1135" i="2" s="1"/>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L1183" i="2" s="1"/>
  <c r="AG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L1544" i="2"/>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G1776" i="2"/>
  <c r="AH1776" i="2"/>
  <c r="AI1776" i="2"/>
  <c r="AJ1776" i="2"/>
  <c r="AL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G1971" i="2"/>
  <c r="AH1971" i="2"/>
  <c r="AL1971" i="2" s="1"/>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L2151" i="2" s="1"/>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G2199" i="2"/>
  <c r="AH2199" i="2"/>
  <c r="AL2199" i="2" s="1"/>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L2264" i="2" s="1"/>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L2277" i="2" s="1"/>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c r="AG2357" i="2"/>
  <c r="AH2357" i="2"/>
  <c r="AI2357" i="2"/>
  <c r="AL2357" i="2" s="1"/>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s="1"/>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L2383" i="2"/>
  <c r="AJ2383" i="2"/>
  <c r="AF2384" i="2"/>
  <c r="AK2384" i="2"/>
  <c r="AG2384" i="2"/>
  <c r="AH2384" i="2"/>
  <c r="AI2384" i="2"/>
  <c r="AJ2384" i="2"/>
  <c r="AL2384" i="2" s="1"/>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L2462" i="2" s="1"/>
  <c r="AI2462" i="2"/>
  <c r="AJ2462" i="2"/>
  <c r="AF2463" i="2"/>
  <c r="AK2463" i="2"/>
  <c r="AG2463" i="2"/>
  <c r="AH2463" i="2"/>
  <c r="AI2463" i="2"/>
  <c r="AL2463" i="2" s="1"/>
  <c r="AJ2463" i="2"/>
  <c r="AF2464" i="2"/>
  <c r="AK2464" i="2"/>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c r="AG2544" i="2"/>
  <c r="AH2544" i="2"/>
  <c r="AI2544" i="2"/>
  <c r="AJ2544" i="2"/>
  <c r="AL2544" i="2" s="1"/>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c r="AG2606" i="2"/>
  <c r="AH2606" i="2"/>
  <c r="AL2606" i="2" s="1"/>
  <c r="AI2606" i="2"/>
  <c r="AJ2606" i="2"/>
  <c r="AF2607" i="2"/>
  <c r="AK2607" i="2" s="1"/>
  <c r="AG2607" i="2"/>
  <c r="AH2607" i="2"/>
  <c r="AI2607" i="2"/>
  <c r="AJ2607" i="2"/>
  <c r="AF2608" i="2"/>
  <c r="AK2608" i="2"/>
  <c r="AG2608" i="2"/>
  <c r="AH2608" i="2"/>
  <c r="AI2608" i="2"/>
  <c r="AJ2608" i="2"/>
  <c r="AL2608" i="2" s="1"/>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c r="AG2623" i="2"/>
  <c r="AH2623" i="2"/>
  <c r="AI2623" i="2"/>
  <c r="AJ2623" i="2"/>
  <c r="AF2624" i="2"/>
  <c r="AK2624" i="2" s="1"/>
  <c r="AG2624" i="2"/>
  <c r="AL2624" i="2" s="1"/>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L2673" i="2" s="1"/>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L2679" i="2" s="1"/>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L2689" i="2" s="1"/>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L2923" i="2" s="1"/>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L3005" i="2" s="1"/>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L3212" i="2" s="1"/>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I3253" i="2"/>
  <c r="AJ3253" i="2"/>
  <c r="AF3254" i="2"/>
  <c r="AK3254" i="2"/>
  <c r="AG3254" i="2"/>
  <c r="AH3254" i="2"/>
  <c r="AI3254" i="2"/>
  <c r="AL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c r="AG3284" i="2"/>
  <c r="AH3284" i="2"/>
  <c r="AI3284" i="2"/>
  <c r="AJ3284" i="2"/>
  <c r="AL3284" i="2" s="1"/>
  <c r="AF3285" i="2"/>
  <c r="AK3285" i="2"/>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s="1"/>
  <c r="AG3301" i="2"/>
  <c r="AH3301" i="2"/>
  <c r="AI3301" i="2"/>
  <c r="AJ3301" i="2"/>
  <c r="AF3302" i="2"/>
  <c r="AK3302" i="2"/>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L3306" i="2" s="1"/>
  <c r="AI3306" i="2"/>
  <c r="AJ3306" i="2"/>
  <c r="AF3307" i="2"/>
  <c r="AK3307" i="2"/>
  <c r="AG3307" i="2"/>
  <c r="AL3307" i="2" s="1"/>
  <c r="AH3307" i="2"/>
  <c r="AI3307" i="2"/>
  <c r="AJ3307" i="2"/>
  <c r="AF3308" i="2"/>
  <c r="AK3308" i="2"/>
  <c r="AG3308" i="2"/>
  <c r="AH3308" i="2"/>
  <c r="AI3308" i="2"/>
  <c r="AJ3308" i="2"/>
  <c r="AF3309" i="2"/>
  <c r="AK3309" i="2"/>
  <c r="AG3309" i="2"/>
  <c r="AL3309" i="2" s="1"/>
  <c r="AH3309" i="2"/>
  <c r="AI3309" i="2"/>
  <c r="AJ3309" i="2"/>
  <c r="AF3310" i="2"/>
  <c r="AK3310" i="2"/>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L3320" i="2" s="1"/>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L3327" i="2" s="1"/>
  <c r="AI3327" i="2"/>
  <c r="AJ3327" i="2"/>
  <c r="AF3328" i="2"/>
  <c r="AK3328" i="2"/>
  <c r="AG3328" i="2"/>
  <c r="AL3328" i="2" s="1"/>
  <c r="AH3328" i="2"/>
  <c r="AI3328" i="2"/>
  <c r="AJ3328" i="2"/>
  <c r="AF3329" i="2"/>
  <c r="AK3329" i="2"/>
  <c r="AG3329" i="2"/>
  <c r="AH3329" i="2"/>
  <c r="AI3329" i="2"/>
  <c r="AJ3329" i="2"/>
  <c r="AF3330" i="2"/>
  <c r="AK3330" i="2"/>
  <c r="AG3330" i="2"/>
  <c r="AL3330" i="2" s="1"/>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s="1"/>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L3414" i="2" s="1"/>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L3439" i="2" s="1"/>
  <c r="AJ3439" i="2"/>
  <c r="AF3440" i="2"/>
  <c r="AK3440" i="2"/>
  <c r="AG3440" i="2"/>
  <c r="AH3440" i="2"/>
  <c r="AI3440" i="2"/>
  <c r="AJ3440" i="2"/>
  <c r="AL3440" i="2"/>
  <c r="AF3441" i="2"/>
  <c r="AK3441" i="2"/>
  <c r="AG3441" i="2"/>
  <c r="AH3441" i="2"/>
  <c r="AI3441" i="2"/>
  <c r="AJ3441" i="2"/>
  <c r="AF3442" i="2"/>
  <c r="AK3442" i="2"/>
  <c r="AG3442" i="2"/>
  <c r="AL3442" i="2" s="1"/>
  <c r="AH3442" i="2"/>
  <c r="AI3442" i="2"/>
  <c r="AJ3442" i="2"/>
  <c r="AF3443" i="2"/>
  <c r="AK3443" i="2"/>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L3467" i="2" s="1"/>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c r="AG3481" i="2"/>
  <c r="AL3481" i="2" s="1"/>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c r="AG3493" i="2"/>
  <c r="AH3493" i="2"/>
  <c r="AI3493" i="2"/>
  <c r="AL3493" i="2" s="1"/>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s="1"/>
  <c r="AG3498" i="2"/>
  <c r="AH3498" i="2"/>
  <c r="AI3498" i="2"/>
  <c r="AJ3498" i="2"/>
  <c r="AF3499" i="2"/>
  <c r="AG3499" i="2"/>
  <c r="AL3499" i="2" s="1"/>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L3535" i="2" s="1"/>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L3552" i="2" s="1"/>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L3610" i="2" s="1"/>
  <c r="AI3610" i="2"/>
  <c r="AJ3610" i="2"/>
  <c r="AF3611" i="2"/>
  <c r="AK3611" i="2"/>
  <c r="AG3611" i="2"/>
  <c r="AL3611" i="2" s="1"/>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L3721" i="2" s="1"/>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L3726" i="2" s="1"/>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c r="AG3756" i="2"/>
  <c r="AH3756" i="2"/>
  <c r="AI3756" i="2"/>
  <c r="AJ3756" i="2"/>
  <c r="AF3757" i="2"/>
  <c r="AK3757" i="2" s="1"/>
  <c r="AG3757" i="2"/>
  <c r="AH3757" i="2"/>
  <c r="AI3757" i="2"/>
  <c r="AJ3757" i="2"/>
  <c r="AF3758" i="2"/>
  <c r="AK3758" i="2"/>
  <c r="AG3758" i="2"/>
  <c r="AH3758" i="2"/>
  <c r="AI3758" i="2"/>
  <c r="AL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c r="AG3773" i="2"/>
  <c r="AH3773" i="2"/>
  <c r="AI3773" i="2"/>
  <c r="AJ3773" i="2"/>
  <c r="AF3774" i="2"/>
  <c r="AK3774" i="2" s="1"/>
  <c r="AG3774" i="2"/>
  <c r="AH3774" i="2"/>
  <c r="AL3774" i="2" s="1"/>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H3900" i="2"/>
  <c r="AL3900" i="2" s="1"/>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c r="AG3927" i="2"/>
  <c r="AL3927" i="2"/>
  <c r="AH3927" i="2"/>
  <c r="AI3927" i="2"/>
  <c r="AJ3927" i="2"/>
  <c r="AF3928" i="2"/>
  <c r="AK3928" i="2" s="1"/>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H3947" i="2"/>
  <c r="AL3947" i="2" s="1"/>
  <c r="AI3947" i="2"/>
  <c r="AJ3947" i="2"/>
  <c r="AF3948" i="2"/>
  <c r="AK3948" i="2"/>
  <c r="AG3948" i="2"/>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c r="AG3952" i="2"/>
  <c r="AH3952" i="2"/>
  <c r="AI3952" i="2"/>
  <c r="AJ3952" i="2"/>
  <c r="AF3953" i="2"/>
  <c r="AK3953" i="2"/>
  <c r="AG3953" i="2"/>
  <c r="AH3953" i="2"/>
  <c r="AI3953" i="2"/>
  <c r="AJ3953" i="2"/>
  <c r="AF3954" i="2"/>
  <c r="AK3954" i="2"/>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L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L4186" i="2" s="1"/>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H4195" i="2"/>
  <c r="AL4195" i="2" s="1"/>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L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c r="AG4258" i="2"/>
  <c r="AH4258" i="2"/>
  <c r="AI4258" i="2"/>
  <c r="AJ4258" i="2"/>
  <c r="AF4259" i="2"/>
  <c r="AK4259" i="2"/>
  <c r="AG4259" i="2"/>
  <c r="AH4259" i="2"/>
  <c r="AI4259" i="2"/>
  <c r="AJ4259" i="2"/>
  <c r="AF4260" i="2"/>
  <c r="AK4260" i="2" s="1"/>
  <c r="AG4260" i="2"/>
  <c r="AL4260" i="2" s="1"/>
  <c r="AH4260" i="2"/>
  <c r="AI4260" i="2"/>
  <c r="AJ4260" i="2"/>
  <c r="AF4261" i="2"/>
  <c r="AK4261" i="2" s="1"/>
  <c r="AL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G4267" i="2"/>
  <c r="AH4267" i="2"/>
  <c r="AI4267" i="2"/>
  <c r="AJ4267" i="2"/>
  <c r="AF4268" i="2"/>
  <c r="AK4268" i="2"/>
  <c r="AG4268" i="2"/>
  <c r="AH4268" i="2"/>
  <c r="AI4268" i="2"/>
  <c r="AJ4268" i="2"/>
  <c r="AF4269" i="2"/>
  <c r="AK4269" i="2" s="1"/>
  <c r="AG4269" i="2"/>
  <c r="AL4269" i="2"/>
  <c r="AH4269" i="2"/>
  <c r="AI4269" i="2"/>
  <c r="AJ4269" i="2"/>
  <c r="AF4270" i="2"/>
  <c r="AK4270" i="2" s="1"/>
  <c r="AG4270" i="2"/>
  <c r="AH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L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G4294" i="2"/>
  <c r="AL4294" i="2" s="1"/>
  <c r="AH4294" i="2"/>
  <c r="AI4294" i="2"/>
  <c r="AJ4294" i="2"/>
  <c r="AF4295" i="2"/>
  <c r="AK4295" i="2" s="1"/>
  <c r="AL4295" i="2" s="1"/>
  <c r="AG4295" i="2"/>
  <c r="AH4295" i="2"/>
  <c r="AI4295" i="2"/>
  <c r="AJ4295" i="2"/>
  <c r="AF4296" i="2"/>
  <c r="AK4296" i="2"/>
  <c r="AG4296" i="2"/>
  <c r="AH4296" i="2"/>
  <c r="AI4296" i="2"/>
  <c r="AL4296" i="2" s="1"/>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L4304" i="2" s="1"/>
  <c r="AG4304" i="2"/>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c r="AG4319" i="2"/>
  <c r="AH4319" i="2"/>
  <c r="AI4319" i="2"/>
  <c r="AJ4319" i="2"/>
  <c r="AF4320" i="2"/>
  <c r="AK4320" i="2" s="1"/>
  <c r="AG4320" i="2"/>
  <c r="AL4320" i="2"/>
  <c r="AH4320" i="2"/>
  <c r="AI4320" i="2"/>
  <c r="AJ4320" i="2"/>
  <c r="AF4321" i="2"/>
  <c r="AK4321" i="2" s="1"/>
  <c r="AG4321" i="2"/>
  <c r="AH4321" i="2"/>
  <c r="AI4321" i="2"/>
  <c r="AJ4321" i="2"/>
  <c r="AF4322" i="2"/>
  <c r="AK4322" i="2"/>
  <c r="AG4322" i="2"/>
  <c r="AL4322" i="2" s="1"/>
  <c r="AH4322" i="2"/>
  <c r="AI4322" i="2"/>
  <c r="AJ4322" i="2"/>
  <c r="AF4323" i="2"/>
  <c r="AK4323" i="2" s="1"/>
  <c r="AG4323" i="2"/>
  <c r="AH4323" i="2"/>
  <c r="AL4323" i="2" s="1"/>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c r="AG4372" i="2"/>
  <c r="AH4372" i="2"/>
  <c r="AI4372" i="2"/>
  <c r="AJ4372" i="2"/>
  <c r="AL4372" i="2" s="1"/>
  <c r="AF4373" i="2"/>
  <c r="AK4373" i="2"/>
  <c r="AG4373" i="2"/>
  <c r="AL4373" i="2" s="1"/>
  <c r="AH4373" i="2"/>
  <c r="AI4373" i="2"/>
  <c r="AJ4373" i="2"/>
  <c r="AF4374" i="2"/>
  <c r="AK4374" i="2" s="1"/>
  <c r="AG4374" i="2"/>
  <c r="AH4374" i="2"/>
  <c r="AI4374" i="2"/>
  <c r="AJ4374" i="2"/>
  <c r="AF4375" i="2"/>
  <c r="AK4375" i="2"/>
  <c r="AG4375" i="2"/>
  <c r="AH4375" i="2"/>
  <c r="AI4375" i="2"/>
  <c r="AJ4375" i="2"/>
  <c r="AF4376" i="2"/>
  <c r="AK4376" i="2" s="1"/>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L4397" i="2" s="1"/>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L4402" i="2" s="1"/>
  <c r="AG4402" i="2"/>
  <c r="AH4402" i="2"/>
  <c r="AI4402" i="2"/>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L4407" i="2" s="1"/>
  <c r="AH4407" i="2"/>
  <c r="AI4407" i="2"/>
  <c r="AJ4407" i="2"/>
  <c r="AF4408" i="2"/>
  <c r="AK4408" i="2" s="1"/>
  <c r="AG4408" i="2"/>
  <c r="AH4408" i="2"/>
  <c r="AL4408" i="2" s="1"/>
  <c r="AI4408" i="2"/>
  <c r="AJ4408" i="2"/>
  <c r="AF4409" i="2"/>
  <c r="AK4409" i="2"/>
  <c r="AG4409" i="2"/>
  <c r="AH4409" i="2"/>
  <c r="AI4409" i="2"/>
  <c r="AJ4409" i="2"/>
  <c r="AF4410" i="2"/>
  <c r="AK4410" i="2" s="1"/>
  <c r="AG4410" i="2"/>
  <c r="AH4410" i="2"/>
  <c r="AI4410" i="2"/>
  <c r="AJ4410" i="2"/>
  <c r="AF4411" i="2"/>
  <c r="AK4411" i="2" s="1"/>
  <c r="AG4411" i="2"/>
  <c r="AL4411" i="2" s="1"/>
  <c r="AH4411" i="2"/>
  <c r="AI4411" i="2"/>
  <c r="AJ4411" i="2"/>
  <c r="AF4412" i="2"/>
  <c r="AK4412" i="2" s="1"/>
  <c r="AL4412" i="2" s="1"/>
  <c r="AG4412" i="2"/>
  <c r="AH4412" i="2"/>
  <c r="AI4412" i="2"/>
  <c r="AJ4412" i="2"/>
  <c r="AF4413" i="2"/>
  <c r="AK4413" i="2" s="1"/>
  <c r="AG4413" i="2"/>
  <c r="AH4413" i="2"/>
  <c r="AI4413" i="2"/>
  <c r="AJ4413" i="2"/>
  <c r="AF4414" i="2"/>
  <c r="AK4414" i="2"/>
  <c r="AG4414" i="2"/>
  <c r="AH4414" i="2"/>
  <c r="AI4414" i="2"/>
  <c r="AJ4414" i="2"/>
  <c r="AF4415" i="2"/>
  <c r="AK4415" i="2" s="1"/>
  <c r="AG4415" i="2"/>
  <c r="AH4415" i="2"/>
  <c r="AI4415" i="2"/>
  <c r="AL4415" i="2" s="1"/>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F4421" i="2"/>
  <c r="AK4421" i="2" s="1"/>
  <c r="AG4421" i="2"/>
  <c r="AH4421" i="2"/>
  <c r="AI4421" i="2"/>
  <c r="AJ4421" i="2"/>
  <c r="AL4421" i="2" s="1"/>
  <c r="AF4422" i="2"/>
  <c r="AK4422" i="2"/>
  <c r="AG4422" i="2"/>
  <c r="AL4422" i="2"/>
  <c r="AH4422" i="2"/>
  <c r="AI4422" i="2"/>
  <c r="AJ4422" i="2"/>
  <c r="AF4423" i="2"/>
  <c r="AK4423" i="2" s="1"/>
  <c r="AG4423" i="2"/>
  <c r="AH4423" i="2"/>
  <c r="AI4423" i="2"/>
  <c r="AJ4423" i="2"/>
  <c r="AF4424" i="2"/>
  <c r="AK4424" i="2" s="1"/>
  <c r="AL4424" i="2" s="1"/>
  <c r="AG4424" i="2"/>
  <c r="AH4424" i="2"/>
  <c r="AI4424" i="2"/>
  <c r="AJ4424" i="2"/>
  <c r="AF4425" i="2"/>
  <c r="AK4425" i="2" s="1"/>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L4434" i="2" s="1"/>
  <c r="AF4435" i="2"/>
  <c r="AK4435" i="2"/>
  <c r="AG4435" i="2"/>
  <c r="AH4435" i="2"/>
  <c r="AL4435" i="2" s="1"/>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s="1"/>
  <c r="AG4444" i="2"/>
  <c r="AL4444" i="2" s="1"/>
  <c r="AH4444" i="2"/>
  <c r="AI4444" i="2"/>
  <c r="AJ4444" i="2"/>
  <c r="AF4445" i="2"/>
  <c r="AK4445" i="2"/>
  <c r="AG4445" i="2"/>
  <c r="AH4445" i="2"/>
  <c r="AI4445" i="2"/>
  <c r="AJ4445" i="2"/>
  <c r="AF4446" i="2"/>
  <c r="AK4446" i="2" s="1"/>
  <c r="AL4446" i="2" s="1"/>
  <c r="AG4446" i="2"/>
  <c r="AH4446" i="2"/>
  <c r="AI4446" i="2"/>
  <c r="AJ4446" i="2"/>
  <c r="AF4447" i="2"/>
  <c r="AK4447" i="2"/>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s="1"/>
  <c r="AG4454" i="2"/>
  <c r="AL4454" i="2" s="1"/>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L4457" i="2"/>
  <c r="AF4458" i="2"/>
  <c r="AK4458" i="2" s="1"/>
  <c r="AG4458" i="2"/>
  <c r="AH4458" i="2"/>
  <c r="AI4458" i="2"/>
  <c r="AJ4458" i="2"/>
  <c r="AF4459" i="2"/>
  <c r="AK4459" i="2" s="1"/>
  <c r="AG4459" i="2"/>
  <c r="AH4459" i="2"/>
  <c r="AI4459" i="2"/>
  <c r="AL4459" i="2" s="1"/>
  <c r="AJ4459" i="2"/>
  <c r="AF4460" i="2"/>
  <c r="AK4460" i="2" s="1"/>
  <c r="AG4460" i="2"/>
  <c r="AH4460" i="2"/>
  <c r="AL4460" i="2" s="1"/>
  <c r="AI4460" i="2"/>
  <c r="AJ4460" i="2"/>
  <c r="AF4461" i="2"/>
  <c r="AK4461" i="2" s="1"/>
  <c r="AG4461" i="2"/>
  <c r="AH4461" i="2"/>
  <c r="AI4461" i="2"/>
  <c r="AJ4461" i="2"/>
  <c r="AF4462" i="2"/>
  <c r="AK4462" i="2"/>
  <c r="AG4462" i="2"/>
  <c r="AH4462" i="2"/>
  <c r="AI4462" i="2"/>
  <c r="AJ4462" i="2"/>
  <c r="AL4462" i="2"/>
  <c r="AF4463" i="2"/>
  <c r="AK4463" i="2" s="1"/>
  <c r="AG4463" i="2"/>
  <c r="AH4463" i="2"/>
  <c r="AL4463" i="2" s="1"/>
  <c r="AI4463" i="2"/>
  <c r="AJ4463" i="2"/>
  <c r="AF4464" i="2"/>
  <c r="AK4464" i="2"/>
  <c r="AG4464" i="2"/>
  <c r="AH4464" i="2"/>
  <c r="AI4464" i="2"/>
  <c r="AL4464" i="2" s="1"/>
  <c r="AJ4464" i="2"/>
  <c r="AF4465" i="2"/>
  <c r="AK4465" i="2" s="1"/>
  <c r="AG4465" i="2"/>
  <c r="AH4465" i="2"/>
  <c r="AI4465" i="2"/>
  <c r="AJ4465" i="2"/>
  <c r="AL4465" i="2"/>
  <c r="AF4466" i="2"/>
  <c r="AK4466" i="2"/>
  <c r="AG4466" i="2"/>
  <c r="AH4466" i="2"/>
  <c r="AI4466" i="2"/>
  <c r="AJ4466" i="2"/>
  <c r="AF4467" i="2"/>
  <c r="AK4467" i="2"/>
  <c r="AG4467" i="2"/>
  <c r="AH4467" i="2"/>
  <c r="AI4467" i="2"/>
  <c r="AJ4467" i="2"/>
  <c r="AF4468" i="2"/>
  <c r="AK4468" i="2" s="1"/>
  <c r="AG4468" i="2"/>
  <c r="AH4468" i="2"/>
  <c r="AI4468" i="2"/>
  <c r="AJ4468" i="2"/>
  <c r="AF4469" i="2"/>
  <c r="AK4469" i="2"/>
  <c r="AG4469" i="2"/>
  <c r="AH4469" i="2"/>
  <c r="AL4469" i="2" s="1"/>
  <c r="AI4469" i="2"/>
  <c r="AJ4469" i="2"/>
  <c r="AF4470" i="2"/>
  <c r="AK4470" i="2"/>
  <c r="AG4470" i="2"/>
  <c r="AH4470" i="2"/>
  <c r="AI4470" i="2"/>
  <c r="AJ4470" i="2"/>
  <c r="AL4470" i="2" s="1"/>
  <c r="AF4471" i="2"/>
  <c r="AK4471" i="2"/>
  <c r="AG4471" i="2"/>
  <c r="AL4471" i="2"/>
  <c r="AH4471" i="2"/>
  <c r="AI4471" i="2"/>
  <c r="AJ4471" i="2"/>
  <c r="AF4472" i="2"/>
  <c r="AK4472" i="2" s="1"/>
  <c r="AG4472" i="2"/>
  <c r="AH4472" i="2"/>
  <c r="AI4472" i="2"/>
  <c r="AJ4472" i="2"/>
  <c r="AF4473" i="2"/>
  <c r="AK4473" i="2" s="1"/>
  <c r="AG4473" i="2"/>
  <c r="AL4473" i="2" s="1"/>
  <c r="AH4473" i="2"/>
  <c r="AI4473" i="2"/>
  <c r="AJ4473" i="2"/>
  <c r="AF4474" i="2"/>
  <c r="AK4474" i="2" s="1"/>
  <c r="AG4474" i="2"/>
  <c r="AH4474" i="2"/>
  <c r="AI4474" i="2"/>
  <c r="AJ4474" i="2"/>
  <c r="AF4475" i="2"/>
  <c r="AK4475" i="2"/>
  <c r="AG4475" i="2"/>
  <c r="AH4475" i="2"/>
  <c r="AI4475" i="2"/>
  <c r="AJ4475" i="2"/>
  <c r="AF4476" i="2"/>
  <c r="AK4476" i="2" s="1"/>
  <c r="AG4476" i="2"/>
  <c r="AH4476" i="2"/>
  <c r="AI4476" i="2"/>
  <c r="AJ4476" i="2"/>
  <c r="AF4477" i="2"/>
  <c r="AK4477" i="2"/>
  <c r="AG4477" i="2"/>
  <c r="AH4477" i="2"/>
  <c r="AI4477" i="2"/>
  <c r="AL4477" i="2"/>
  <c r="AJ4477" i="2"/>
  <c r="AF4478" i="2"/>
  <c r="AK4478" i="2" s="1"/>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L4484" i="2" s="1"/>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L4488" i="2" s="1"/>
  <c r="AF4489" i="2"/>
  <c r="AK4489" i="2" s="1"/>
  <c r="AG4489" i="2"/>
  <c r="AH4489" i="2"/>
  <c r="AI4489" i="2"/>
  <c r="AJ4489" i="2"/>
  <c r="AF4490" i="2"/>
  <c r="AK4490" i="2" s="1"/>
  <c r="AG4490" i="2"/>
  <c r="AH4490" i="2"/>
  <c r="AI4490" i="2"/>
  <c r="AJ4490" i="2"/>
  <c r="AF4491" i="2"/>
  <c r="AK4491" i="2"/>
  <c r="AG4491" i="2"/>
  <c r="AL4491" i="2" s="1"/>
  <c r="AH4491" i="2"/>
  <c r="AI4491" i="2"/>
  <c r="AJ4491" i="2"/>
  <c r="AF4492" i="2"/>
  <c r="AK4492" i="2" s="1"/>
  <c r="AG4492" i="2"/>
  <c r="AL4492" i="2" s="1"/>
  <c r="AH4492" i="2"/>
  <c r="AI4492" i="2"/>
  <c r="AJ4492" i="2"/>
  <c r="AF4493" i="2"/>
  <c r="AK4493" i="2" s="1"/>
  <c r="AL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s="1"/>
  <c r="AG4497" i="2"/>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H4502" i="2"/>
  <c r="AI4502" i="2"/>
  <c r="AJ4502" i="2"/>
  <c r="AL4502" i="2" s="1"/>
  <c r="AF4503" i="2"/>
  <c r="AK4503" i="2"/>
  <c r="AG4503" i="2"/>
  <c r="AH4503" i="2"/>
  <c r="AI4503" i="2"/>
  <c r="AJ4503" i="2"/>
  <c r="AF4504" i="2"/>
  <c r="AK4504" i="2"/>
  <c r="AG4504" i="2"/>
  <c r="AH4504" i="2"/>
  <c r="AI4504" i="2"/>
  <c r="AJ4504" i="2"/>
  <c r="AF4505" i="2"/>
  <c r="AK4505" i="2"/>
  <c r="AG4505" i="2"/>
  <c r="AH4505" i="2"/>
  <c r="AI4505" i="2"/>
  <c r="AJ4505" i="2"/>
  <c r="AF4506" i="2"/>
  <c r="AK4506" i="2"/>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s="1"/>
  <c r="AG4510" i="2"/>
  <c r="AL4510" i="2" s="1"/>
  <c r="AH4510" i="2"/>
  <c r="AI4510" i="2"/>
  <c r="AJ4510" i="2"/>
  <c r="AF4511" i="2"/>
  <c r="AK4511" i="2"/>
  <c r="AG4511" i="2"/>
  <c r="AH4511" i="2"/>
  <c r="AL4511" i="2" s="1"/>
  <c r="AI4511" i="2"/>
  <c r="AJ4511" i="2"/>
  <c r="AF4512" i="2"/>
  <c r="AK4512" i="2" s="1"/>
  <c r="AL4512" i="2" s="1"/>
  <c r="AG4512" i="2"/>
  <c r="AH4512" i="2"/>
  <c r="AI4512" i="2"/>
  <c r="AJ4512" i="2"/>
  <c r="AF4513" i="2"/>
  <c r="AK4513" i="2" s="1"/>
  <c r="AG4513" i="2"/>
  <c r="AL4513" i="2" s="1"/>
  <c r="AH4513" i="2"/>
  <c r="AI4513" i="2"/>
  <c r="AJ4513" i="2"/>
  <c r="AF4514" i="2"/>
  <c r="AK4514" i="2" s="1"/>
  <c r="AL4514" i="2" s="1"/>
  <c r="AG4514" i="2"/>
  <c r="AH4514" i="2"/>
  <c r="AI4514" i="2"/>
  <c r="AJ4514" i="2"/>
  <c r="AF4515" i="2"/>
  <c r="AK4515" i="2"/>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s="1"/>
  <c r="AL4522" i="2" s="1"/>
  <c r="AG4522" i="2"/>
  <c r="AH4522" i="2"/>
  <c r="AI4522" i="2"/>
  <c r="AJ4522" i="2"/>
  <c r="AF4523" i="2"/>
  <c r="AK4523" i="2" s="1"/>
  <c r="AG4523" i="2"/>
  <c r="AH4523" i="2"/>
  <c r="AL4523" i="2" s="1"/>
  <c r="AI4523" i="2"/>
  <c r="AJ4523" i="2"/>
  <c r="AF4524" i="2"/>
  <c r="AK4524" i="2" s="1"/>
  <c r="AG4524" i="2"/>
  <c r="AH4524" i="2"/>
  <c r="AI4524" i="2"/>
  <c r="AJ4524" i="2"/>
  <c r="AF4525" i="2"/>
  <c r="AK4525" i="2"/>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L4528" i="2" s="1"/>
  <c r="AF4529" i="2"/>
  <c r="AK4529" i="2"/>
  <c r="AG4529" i="2"/>
  <c r="AH4529" i="2"/>
  <c r="AL4529" i="2" s="1"/>
  <c r="AI4529" i="2"/>
  <c r="AJ4529" i="2"/>
  <c r="AF4530" i="2"/>
  <c r="AK4530" i="2"/>
  <c r="AG4530" i="2"/>
  <c r="AH4530" i="2"/>
  <c r="AI4530" i="2"/>
  <c r="AJ4530" i="2"/>
  <c r="AF4531" i="2"/>
  <c r="AK4531" i="2" s="1"/>
  <c r="AG4531" i="2"/>
  <c r="AH4531" i="2"/>
  <c r="AL4531" i="2" s="1"/>
  <c r="AI4531" i="2"/>
  <c r="AJ4531" i="2"/>
  <c r="AF4532" i="2"/>
  <c r="AK4532" i="2" s="1"/>
  <c r="AL4532" i="2" s="1"/>
  <c r="AG4532" i="2"/>
  <c r="AH4532" i="2"/>
  <c r="AI4532" i="2"/>
  <c r="AJ4532" i="2"/>
  <c r="AF4533" i="2"/>
  <c r="AK4533" i="2"/>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L4536" i="2"/>
  <c r="AJ4536" i="2"/>
  <c r="AF4537" i="2"/>
  <c r="AK4537" i="2"/>
  <c r="AG4537" i="2"/>
  <c r="AH4537" i="2"/>
  <c r="AI4537" i="2"/>
  <c r="AJ4537" i="2"/>
  <c r="AF4538" i="2"/>
  <c r="AK4538" i="2" s="1"/>
  <c r="AG4538" i="2"/>
  <c r="AH4538" i="2"/>
  <c r="AL4538" i="2" s="1"/>
  <c r="AI4538" i="2"/>
  <c r="AJ4538" i="2"/>
  <c r="AF4539" i="2"/>
  <c r="AK4539" i="2"/>
  <c r="AG4539" i="2"/>
  <c r="AH4539" i="2"/>
  <c r="AI4539" i="2"/>
  <c r="AJ4539" i="2"/>
  <c r="AF4540" i="2"/>
  <c r="AK4540" i="2"/>
  <c r="AG4540" i="2"/>
  <c r="AH4540" i="2"/>
  <c r="AI4540" i="2"/>
  <c r="AJ4540" i="2"/>
  <c r="AF4541" i="2"/>
  <c r="AK4541" i="2" s="1"/>
  <c r="AG4541" i="2"/>
  <c r="AH4541" i="2"/>
  <c r="AI4541" i="2"/>
  <c r="AJ4541" i="2"/>
  <c r="AF4542" i="2"/>
  <c r="AK4542" i="2"/>
  <c r="AG4542" i="2"/>
  <c r="AH4542" i="2"/>
  <c r="AI4542" i="2"/>
  <c r="AJ4542" i="2"/>
  <c r="AF4543" i="2"/>
  <c r="AK4543" i="2"/>
  <c r="AG4543" i="2"/>
  <c r="AL4543" i="2" s="1"/>
  <c r="AH4543" i="2"/>
  <c r="AI4543" i="2"/>
  <c r="AJ4543" i="2"/>
  <c r="AF4544" i="2"/>
  <c r="AK4544" i="2" s="1"/>
  <c r="AG4544" i="2"/>
  <c r="AH4544" i="2"/>
  <c r="AI4544" i="2"/>
  <c r="AJ4544" i="2"/>
  <c r="AF4545" i="2"/>
  <c r="AK4545" i="2" s="1"/>
  <c r="AG4545" i="2"/>
  <c r="AH4545" i="2"/>
  <c r="AI4545" i="2"/>
  <c r="AJ4545" i="2"/>
  <c r="AF4546" i="2"/>
  <c r="AK4546" i="2" s="1"/>
  <c r="AG4546" i="2"/>
  <c r="AL4546" i="2" s="1"/>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s="1"/>
  <c r="AL4554" i="2" s="1"/>
  <c r="AG4554" i="2"/>
  <c r="AH4554" i="2"/>
  <c r="AI4554" i="2"/>
  <c r="AJ4554" i="2"/>
  <c r="AF4555" i="2"/>
  <c r="AK4555" i="2" s="1"/>
  <c r="AG4555" i="2"/>
  <c r="AH4555" i="2"/>
  <c r="AI4555" i="2"/>
  <c r="AJ4555" i="2"/>
  <c r="AF4556" i="2"/>
  <c r="AK4556" i="2"/>
  <c r="AG4556" i="2"/>
  <c r="AH4556" i="2"/>
  <c r="AI4556" i="2"/>
  <c r="AJ4556" i="2"/>
  <c r="AF4557" i="2"/>
  <c r="AK4557" i="2" s="1"/>
  <c r="AG4557" i="2"/>
  <c r="AH4557" i="2"/>
  <c r="AI4557" i="2"/>
  <c r="AJ4557" i="2"/>
  <c r="AF4558" i="2"/>
  <c r="AK4558" i="2"/>
  <c r="AG4558" i="2"/>
  <c r="AH4558" i="2"/>
  <c r="AL4558" i="2" s="1"/>
  <c r="AI4558" i="2"/>
  <c r="AJ4558" i="2"/>
  <c r="AF4559" i="2"/>
  <c r="AK4559" i="2"/>
  <c r="AG4559" i="2"/>
  <c r="AH4559" i="2"/>
  <c r="AI4559" i="2"/>
  <c r="AJ4559" i="2"/>
  <c r="AF4560" i="2"/>
  <c r="AK4560" i="2" s="1"/>
  <c r="AG4560" i="2"/>
  <c r="AL4560" i="2" s="1"/>
  <c r="AH4560" i="2"/>
  <c r="AI4560" i="2"/>
  <c r="AJ4560" i="2"/>
  <c r="AF4561" i="2"/>
  <c r="AK4561" i="2" s="1"/>
  <c r="AG4561" i="2"/>
  <c r="AH4561" i="2"/>
  <c r="AL4561" i="2" s="1"/>
  <c r="AI4561" i="2"/>
  <c r="AJ4561" i="2"/>
  <c r="AF4562" i="2"/>
  <c r="AK4562" i="2"/>
  <c r="AG4562" i="2"/>
  <c r="AH4562" i="2"/>
  <c r="AI4562" i="2"/>
  <c r="AJ4562" i="2"/>
  <c r="AF4563" i="2"/>
  <c r="AK4563" i="2"/>
  <c r="AG4563" i="2"/>
  <c r="AH4563" i="2"/>
  <c r="AI4563" i="2"/>
  <c r="AJ4563" i="2"/>
  <c r="AF4564" i="2"/>
  <c r="AK4564" i="2"/>
  <c r="AG4564" i="2"/>
  <c r="AH4564" i="2"/>
  <c r="AI4564" i="2"/>
  <c r="AJ4564" i="2"/>
  <c r="AF4565" i="2"/>
  <c r="AK4565" i="2" s="1"/>
  <c r="AG4565" i="2"/>
  <c r="AH4565" i="2"/>
  <c r="AI4565" i="2"/>
  <c r="AJ4565" i="2"/>
  <c r="AF4566" i="2"/>
  <c r="AK4566" i="2" s="1"/>
  <c r="AG4566" i="2"/>
  <c r="AH4566" i="2"/>
  <c r="AI4566" i="2"/>
  <c r="AJ4566" i="2"/>
  <c r="AF4567" i="2"/>
  <c r="AK4567" i="2"/>
  <c r="AG4567" i="2"/>
  <c r="AH4567" i="2"/>
  <c r="AI4567" i="2"/>
  <c r="AJ4567" i="2"/>
  <c r="AF4568" i="2"/>
  <c r="AK4568" i="2"/>
  <c r="AG4568" i="2"/>
  <c r="AL4568" i="2" s="1"/>
  <c r="AH4568" i="2"/>
  <c r="AI4568" i="2"/>
  <c r="AJ4568" i="2"/>
  <c r="AF4569" i="2"/>
  <c r="AK4569" i="2" s="1"/>
  <c r="AG4569" i="2"/>
  <c r="AL4569" i="2"/>
  <c r="AH4569" i="2"/>
  <c r="AI4569" i="2"/>
  <c r="AJ4569" i="2"/>
  <c r="AF4570" i="2"/>
  <c r="AK4570" i="2" s="1"/>
  <c r="AG4570" i="2"/>
  <c r="AH4570" i="2"/>
  <c r="AL4570" i="2" s="1"/>
  <c r="AI4570" i="2"/>
  <c r="AJ4570" i="2"/>
  <c r="AF4571" i="2"/>
  <c r="AK4571" i="2"/>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s="1"/>
  <c r="AG4585" i="2"/>
  <c r="AH4585" i="2"/>
  <c r="AL4585" i="2" s="1"/>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L4590" i="2" s="1"/>
  <c r="AG4590" i="2"/>
  <c r="AH4590" i="2"/>
  <c r="AI4590" i="2"/>
  <c r="AJ4590" i="2"/>
  <c r="AF4591" i="2"/>
  <c r="AK4591" i="2" s="1"/>
  <c r="AG4591" i="2"/>
  <c r="AH4591" i="2"/>
  <c r="AI4591" i="2"/>
  <c r="AJ4591" i="2"/>
  <c r="AF4592" i="2"/>
  <c r="AK4592" i="2"/>
  <c r="AG4592" i="2"/>
  <c r="AH4592" i="2"/>
  <c r="AI4592" i="2"/>
  <c r="AJ4592" i="2"/>
  <c r="AF4593" i="2"/>
  <c r="AK4593" i="2" s="1"/>
  <c r="AG4593" i="2"/>
  <c r="AL4593" i="2" s="1"/>
  <c r="AH4593" i="2"/>
  <c r="AI4593" i="2"/>
  <c r="AJ4593" i="2"/>
  <c r="AF4594" i="2"/>
  <c r="AK4594" i="2" s="1"/>
  <c r="AG4594" i="2"/>
  <c r="AH4594" i="2"/>
  <c r="AI4594" i="2"/>
  <c r="AJ4594" i="2"/>
  <c r="AF4595" i="2"/>
  <c r="AK4595" i="2" s="1"/>
  <c r="AG4595" i="2"/>
  <c r="AH4595" i="2"/>
  <c r="AI4595" i="2"/>
  <c r="AJ4595" i="2"/>
  <c r="AF4596" i="2"/>
  <c r="AK4596" i="2"/>
  <c r="AG4596" i="2"/>
  <c r="AH4596" i="2"/>
  <c r="AI4596" i="2"/>
  <c r="AJ4596" i="2"/>
  <c r="AF4597" i="2"/>
  <c r="AK4597" i="2" s="1"/>
  <c r="AG4597" i="2"/>
  <c r="AL4597" i="2" s="1"/>
  <c r="AH4597" i="2"/>
  <c r="AI4597" i="2"/>
  <c r="AJ4597" i="2"/>
  <c r="AF4598" i="2"/>
  <c r="AK4598" i="2" s="1"/>
  <c r="AG4598" i="2"/>
  <c r="AH4598" i="2"/>
  <c r="AI4598" i="2"/>
  <c r="AJ4598" i="2"/>
  <c r="AF4599" i="2"/>
  <c r="AK4599" i="2"/>
  <c r="AG4599" i="2"/>
  <c r="AH4599" i="2"/>
  <c r="AL4599" i="2" s="1"/>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c r="AG4603" i="2"/>
  <c r="AH4603" i="2"/>
  <c r="AL4603" i="2" s="1"/>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s="1"/>
  <c r="AG4614" i="2"/>
  <c r="AH4614" i="2"/>
  <c r="AI4614" i="2"/>
  <c r="AJ4614" i="2"/>
  <c r="AF4615" i="2"/>
  <c r="AK4615" i="2" s="1"/>
  <c r="AG4615" i="2"/>
  <c r="AH4615" i="2"/>
  <c r="AI4615" i="2"/>
  <c r="AL4615" i="2" s="1"/>
  <c r="AJ4615" i="2"/>
  <c r="AF4616" i="2"/>
  <c r="AK4616" i="2" s="1"/>
  <c r="AG4616" i="2"/>
  <c r="AL4616" i="2" s="1"/>
  <c r="AH4616" i="2"/>
  <c r="AI4616" i="2"/>
  <c r="AJ4616" i="2"/>
  <c r="AF4617" i="2"/>
  <c r="AK4617" i="2"/>
  <c r="AG4617" i="2"/>
  <c r="AH4617" i="2"/>
  <c r="AI4617" i="2"/>
  <c r="AJ4617" i="2"/>
  <c r="AF4618" i="2"/>
  <c r="AK4618" i="2"/>
  <c r="AG4618" i="2"/>
  <c r="AH4618" i="2"/>
  <c r="AL4618" i="2" s="1"/>
  <c r="AI4618" i="2"/>
  <c r="AJ4618" i="2"/>
  <c r="AF4619" i="2"/>
  <c r="AK4619" i="2" s="1"/>
  <c r="AG4619" i="2"/>
  <c r="AL4619" i="2" s="1"/>
  <c r="AH4619" i="2"/>
  <c r="AI4619" i="2"/>
  <c r="AJ4619" i="2"/>
  <c r="AF4620" i="2"/>
  <c r="AK4620" i="2" s="1"/>
  <c r="AL4620" i="2" s="1"/>
  <c r="AG4620" i="2"/>
  <c r="AH4620" i="2"/>
  <c r="AI4620" i="2"/>
  <c r="AJ4620" i="2"/>
  <c r="AF4621" i="2"/>
  <c r="AK4621" i="2"/>
  <c r="AG4621" i="2"/>
  <c r="AH4621" i="2"/>
  <c r="AI4621" i="2"/>
  <c r="AJ4621" i="2"/>
  <c r="AF4622" i="2"/>
  <c r="AK4622" i="2" s="1"/>
  <c r="AG4622" i="2"/>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s="1"/>
  <c r="AG4628" i="2"/>
  <c r="AH4628" i="2"/>
  <c r="AI4628" i="2"/>
  <c r="AJ4628" i="2"/>
  <c r="AL4628" i="2" s="1"/>
  <c r="AF4629" i="2"/>
  <c r="AK4629" i="2"/>
  <c r="AG4629" i="2"/>
  <c r="AH4629" i="2"/>
  <c r="AI4629" i="2"/>
  <c r="AJ4629" i="2"/>
  <c r="AF4630" i="2"/>
  <c r="AK4630" i="2"/>
  <c r="AG4630" i="2"/>
  <c r="AH4630" i="2"/>
  <c r="AI4630" i="2"/>
  <c r="AL4630" i="2" s="1"/>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s="1"/>
  <c r="AG4635" i="2"/>
  <c r="AH4635" i="2"/>
  <c r="AI4635" i="2"/>
  <c r="AL4635" i="2" s="1"/>
  <c r="AJ4635" i="2"/>
  <c r="AF4636" i="2"/>
  <c r="AK4636" i="2" s="1"/>
  <c r="AG4636" i="2"/>
  <c r="AH4636" i="2"/>
  <c r="AI4636" i="2"/>
  <c r="AJ4636" i="2"/>
  <c r="AF4637" i="2"/>
  <c r="AK4637" i="2" s="1"/>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F4641" i="2"/>
  <c r="AK4641" i="2"/>
  <c r="AG4641" i="2"/>
  <c r="AL4641" i="2" s="1"/>
  <c r="AH4641" i="2"/>
  <c r="AI4641" i="2"/>
  <c r="AJ4641" i="2"/>
  <c r="AF4642" i="2"/>
  <c r="AK4642" i="2" s="1"/>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I4646" i="2"/>
  <c r="AJ4646" i="2"/>
  <c r="AF4647" i="2"/>
  <c r="AK4647" i="2" s="1"/>
  <c r="AL4647" i="2" s="1"/>
  <c r="AG4647" i="2"/>
  <c r="AH4647" i="2"/>
  <c r="AI4647" i="2"/>
  <c r="AJ4647" i="2"/>
  <c r="AF4648" i="2"/>
  <c r="AK4648" i="2" s="1"/>
  <c r="AG4648" i="2"/>
  <c r="AH4648" i="2"/>
  <c r="AI4648" i="2"/>
  <c r="AL4648" i="2" s="1"/>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L4653" i="2"/>
  <c r="AH4653" i="2"/>
  <c r="AI4653" i="2"/>
  <c r="AJ4653" i="2"/>
  <c r="AF4654" i="2"/>
  <c r="AK4654" i="2" s="1"/>
  <c r="AG4654" i="2"/>
  <c r="AH4654" i="2"/>
  <c r="AI4654" i="2"/>
  <c r="AJ4654" i="2"/>
  <c r="AF4655" i="2"/>
  <c r="AK4655" i="2" s="1"/>
  <c r="AG4655" i="2"/>
  <c r="AH4655" i="2"/>
  <c r="AI4655" i="2"/>
  <c r="AJ4655" i="2"/>
  <c r="AL4655" i="2" s="1"/>
  <c r="AF4656" i="2"/>
  <c r="AK4656" i="2"/>
  <c r="AG4656" i="2"/>
  <c r="AH4656" i="2"/>
  <c r="AI4656" i="2"/>
  <c r="AJ4656" i="2"/>
  <c r="AF4657" i="2"/>
  <c r="AK4657" i="2"/>
  <c r="AG4657" i="2"/>
  <c r="AH4657" i="2"/>
  <c r="AI4657" i="2"/>
  <c r="AL4657" i="2"/>
  <c r="AJ4657" i="2"/>
  <c r="AF4658" i="2"/>
  <c r="AK4658" i="2" s="1"/>
  <c r="AL4658" i="2" s="1"/>
  <c r="AG4658" i="2"/>
  <c r="AH4658" i="2"/>
  <c r="AI4658" i="2"/>
  <c r="AJ4658" i="2"/>
  <c r="AF4659" i="2"/>
  <c r="AK4659" i="2" s="1"/>
  <c r="AG4659" i="2"/>
  <c r="AH4659" i="2"/>
  <c r="AI4659" i="2"/>
  <c r="AL4659" i="2" s="1"/>
  <c r="AJ4659" i="2"/>
  <c r="AF4660" i="2"/>
  <c r="AK4660" i="2" s="1"/>
  <c r="AG4660" i="2"/>
  <c r="AH4660" i="2"/>
  <c r="AI4660" i="2"/>
  <c r="AJ4660" i="2"/>
  <c r="AL4660" i="2" s="1"/>
  <c r="AF4661" i="2"/>
  <c r="AK4661" i="2"/>
  <c r="AG4661" i="2"/>
  <c r="AL4661" i="2" s="1"/>
  <c r="AH4661" i="2"/>
  <c r="AI4661" i="2"/>
  <c r="AJ4661" i="2"/>
  <c r="AF4662" i="2"/>
  <c r="AK4662" i="2" s="1"/>
  <c r="AG4662" i="2"/>
  <c r="AH4662" i="2"/>
  <c r="AL4662" i="2" s="1"/>
  <c r="AI4662" i="2"/>
  <c r="AJ4662" i="2"/>
  <c r="AF4663" i="2"/>
  <c r="AK4663" i="2"/>
  <c r="AG4663" i="2"/>
  <c r="AH4663" i="2"/>
  <c r="AI4663" i="2"/>
  <c r="AJ4663" i="2"/>
  <c r="AL4663" i="2" s="1"/>
  <c r="AF4664" i="2"/>
  <c r="AK4664" i="2"/>
  <c r="AG4664" i="2"/>
  <c r="AH4664" i="2"/>
  <c r="AL4664" i="2" s="1"/>
  <c r="AI4664" i="2"/>
  <c r="AJ4664" i="2"/>
  <c r="AF4665" i="2"/>
  <c r="AK4665" i="2"/>
  <c r="AG4665" i="2"/>
  <c r="AH4665" i="2"/>
  <c r="AI4665" i="2"/>
  <c r="AJ4665" i="2"/>
  <c r="AL4665" i="2" s="1"/>
  <c r="AF4666" i="2"/>
  <c r="AK4666" i="2"/>
  <c r="AG4666" i="2"/>
  <c r="AL4666" i="2"/>
  <c r="AH4666" i="2"/>
  <c r="AI4666" i="2"/>
  <c r="AJ4666" i="2"/>
  <c r="AF4667" i="2"/>
  <c r="AK4667" i="2" s="1"/>
  <c r="AG4667" i="2"/>
  <c r="AH4667" i="2"/>
  <c r="AI4667" i="2"/>
  <c r="AJ4667" i="2"/>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L4671" i="2" s="1"/>
  <c r="AH4671" i="2"/>
  <c r="AI4671" i="2"/>
  <c r="AJ4671" i="2"/>
  <c r="AF4672" i="2"/>
  <c r="AK4672" i="2" s="1"/>
  <c r="AG4672" i="2"/>
  <c r="AH4672" i="2"/>
  <c r="AI4672" i="2"/>
  <c r="AL4672" i="2" s="1"/>
  <c r="AJ4672" i="2"/>
  <c r="AF4673" i="2"/>
  <c r="AK4673" i="2"/>
  <c r="AG4673" i="2"/>
  <c r="AH4673" i="2"/>
  <c r="AI4673" i="2"/>
  <c r="AL4673" i="2"/>
  <c r="AJ4673" i="2"/>
  <c r="AF4674" i="2"/>
  <c r="AK4674" i="2" s="1"/>
  <c r="AG4674" i="2"/>
  <c r="AH4674" i="2"/>
  <c r="AI4674" i="2"/>
  <c r="AJ4674" i="2"/>
  <c r="AF4675" i="2"/>
  <c r="AK4675" i="2"/>
  <c r="AG4675" i="2"/>
  <c r="AH4675" i="2"/>
  <c r="AI4675" i="2"/>
  <c r="AJ4675" i="2"/>
  <c r="AF4676" i="2"/>
  <c r="AK4676" i="2"/>
  <c r="AG4676" i="2"/>
  <c r="AL4676" i="2"/>
  <c r="AH4676" i="2"/>
  <c r="AI4676" i="2"/>
  <c r="AJ4676" i="2"/>
  <c r="AF4677" i="2"/>
  <c r="AK4677" i="2" s="1"/>
  <c r="AG4677" i="2"/>
  <c r="AL4677" i="2" s="1"/>
  <c r="AH4677" i="2"/>
  <c r="AI4677" i="2"/>
  <c r="AJ4677" i="2"/>
  <c r="AF4678" i="2"/>
  <c r="AK4678" i="2" s="1"/>
  <c r="AG4678" i="2"/>
  <c r="AH4678" i="2"/>
  <c r="AI4678" i="2"/>
  <c r="AJ4678" i="2"/>
  <c r="AF4679" i="2"/>
  <c r="AK4679" i="2" s="1"/>
  <c r="AG4679" i="2"/>
  <c r="AH4679" i="2"/>
  <c r="AI4679" i="2"/>
  <c r="AL4679" i="2" s="1"/>
  <c r="AJ4679" i="2"/>
  <c r="AF4680" i="2"/>
  <c r="AK4680" i="2" s="1"/>
  <c r="AG4680" i="2"/>
  <c r="AH4680" i="2"/>
  <c r="AI4680" i="2"/>
  <c r="AJ4680" i="2"/>
  <c r="AF4681" i="2"/>
  <c r="AK4681" i="2"/>
  <c r="AG4681" i="2"/>
  <c r="AH4681" i="2"/>
  <c r="AI4681" i="2"/>
  <c r="AJ4681" i="2"/>
  <c r="AF4682" i="2"/>
  <c r="AK4682" i="2" s="1"/>
  <c r="AG4682" i="2"/>
  <c r="AH4682" i="2"/>
  <c r="AI4682" i="2"/>
  <c r="AJ4682" i="2"/>
  <c r="AF4683" i="2"/>
  <c r="AK4683" i="2"/>
  <c r="AG4683" i="2"/>
  <c r="AH4683" i="2"/>
  <c r="AI4683" i="2"/>
  <c r="AL4683" i="2" s="1"/>
  <c r="AJ4683" i="2"/>
  <c r="AF4684" i="2"/>
  <c r="AK4684" i="2" s="1"/>
  <c r="AG4684" i="2"/>
  <c r="AH4684" i="2"/>
  <c r="AI4684" i="2"/>
  <c r="AL4684" i="2" s="1"/>
  <c r="AJ4684" i="2"/>
  <c r="AF4685" i="2"/>
  <c r="AK4685" i="2"/>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L4692" i="2" s="1"/>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L4696" i="2" s="1"/>
  <c r="AI4696" i="2"/>
  <c r="AJ4696" i="2"/>
  <c r="AF4697" i="2"/>
  <c r="AK4697" i="2"/>
  <c r="AG4697" i="2"/>
  <c r="AH4697" i="2"/>
  <c r="AI4697" i="2"/>
  <c r="AJ4697" i="2"/>
  <c r="AL4697" i="2" s="1"/>
  <c r="AF4698" i="2"/>
  <c r="AK4698" i="2"/>
  <c r="AG4698" i="2"/>
  <c r="AH4698" i="2"/>
  <c r="AL4698" i="2" s="1"/>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L4708" i="2" s="1"/>
  <c r="AH4708" i="2"/>
  <c r="AI4708" i="2"/>
  <c r="AJ4708" i="2"/>
  <c r="AF4709" i="2"/>
  <c r="AK4709" i="2" s="1"/>
  <c r="AG4709" i="2"/>
  <c r="AH4709" i="2"/>
  <c r="AL4709" i="2" s="1"/>
  <c r="AI4709" i="2"/>
  <c r="AJ4709" i="2"/>
  <c r="AF4710" i="2"/>
  <c r="AK4710" i="2"/>
  <c r="AG4710" i="2"/>
  <c r="AH4710" i="2"/>
  <c r="AI4710" i="2"/>
  <c r="AJ4710" i="2"/>
  <c r="AF4711" i="2"/>
  <c r="AG4711" i="2"/>
  <c r="AH4711" i="2"/>
  <c r="AI4711" i="2"/>
  <c r="AJ4711" i="2"/>
  <c r="AK4711" i="2"/>
  <c r="AF4712" i="2"/>
  <c r="AK4712" i="2"/>
  <c r="AG4712" i="2"/>
  <c r="AH4712" i="2"/>
  <c r="AI4712" i="2"/>
  <c r="AJ4712" i="2"/>
  <c r="AF4713" i="2"/>
  <c r="AK4713" i="2"/>
  <c r="AG4713" i="2"/>
  <c r="AH4713" i="2"/>
  <c r="AI4713" i="2"/>
  <c r="AJ4713" i="2"/>
  <c r="AF4714" i="2"/>
  <c r="AK4714" i="2"/>
  <c r="AL4714" i="2" s="1"/>
  <c r="AG4714" i="2"/>
  <c r="AH4714" i="2"/>
  <c r="AI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L4718" i="2" s="1"/>
  <c r="AH4718" i="2"/>
  <c r="AI4718" i="2"/>
  <c r="AJ4718" i="2"/>
  <c r="AF4719" i="2"/>
  <c r="AK4719" i="2"/>
  <c r="AG4719" i="2"/>
  <c r="AH4719" i="2"/>
  <c r="AI4719" i="2"/>
  <c r="AJ4719" i="2"/>
  <c r="AL4719" i="2" s="1"/>
  <c r="AF4720" i="2"/>
  <c r="AK4720" i="2"/>
  <c r="AG4720" i="2"/>
  <c r="AH4720" i="2"/>
  <c r="AL4720" i="2" s="1"/>
  <c r="AI4720" i="2"/>
  <c r="AJ4720" i="2"/>
  <c r="AF4721" i="2"/>
  <c r="AK4721" i="2"/>
  <c r="AG4721" i="2"/>
  <c r="AH4721" i="2"/>
  <c r="AL4721" i="2" s="1"/>
  <c r="AI4721" i="2"/>
  <c r="AJ4721" i="2"/>
  <c r="AF4722" i="2"/>
  <c r="AK4722" i="2" s="1"/>
  <c r="AG4722" i="2"/>
  <c r="AH4722" i="2"/>
  <c r="AI4722" i="2"/>
  <c r="AJ4722" i="2"/>
  <c r="AF4723" i="2"/>
  <c r="AK4723" i="2"/>
  <c r="AG4723" i="2"/>
  <c r="AH4723" i="2"/>
  <c r="AL4723" i="2" s="1"/>
  <c r="AI4723" i="2"/>
  <c r="AJ4723" i="2"/>
  <c r="AF4724" i="2"/>
  <c r="AK4724" i="2"/>
  <c r="AG4724" i="2"/>
  <c r="AH4724" i="2"/>
  <c r="AI4724" i="2"/>
  <c r="AJ4724" i="2"/>
  <c r="AL4724" i="2" s="1"/>
  <c r="AF4725" i="2"/>
  <c r="AK4725" i="2"/>
  <c r="AG4725" i="2"/>
  <c r="AL4725" i="2"/>
  <c r="AH4725" i="2"/>
  <c r="AI4725" i="2"/>
  <c r="AJ4725" i="2"/>
  <c r="AF4726" i="2"/>
  <c r="AK4726" i="2" s="1"/>
  <c r="AG4726" i="2"/>
  <c r="AH4726" i="2"/>
  <c r="AL4726" i="2" s="1"/>
  <c r="AI4726" i="2"/>
  <c r="AJ4726" i="2"/>
  <c r="AF4727" i="2"/>
  <c r="AK4727" i="2" s="1"/>
  <c r="AL4727" i="2" s="1"/>
  <c r="AG4727" i="2"/>
  <c r="AH4727" i="2"/>
  <c r="AI4727" i="2"/>
  <c r="AJ4727" i="2"/>
  <c r="AF4728" i="2"/>
  <c r="AK4728" i="2"/>
  <c r="AG4728" i="2"/>
  <c r="AH4728" i="2"/>
  <c r="AI4728" i="2"/>
  <c r="AL4728" i="2" s="1"/>
  <c r="AJ4728" i="2"/>
  <c r="AF4729" i="2"/>
  <c r="AK4729" i="2"/>
  <c r="AG4729" i="2"/>
  <c r="AH4729" i="2"/>
  <c r="AI4729" i="2"/>
  <c r="AJ4729" i="2"/>
  <c r="AL4729" i="2" s="1"/>
  <c r="AF4730" i="2"/>
  <c r="AK4730" i="2" s="1"/>
  <c r="AG4730" i="2"/>
  <c r="AL4730" i="2" s="1"/>
  <c r="AH4730" i="2"/>
  <c r="AI4730" i="2"/>
  <c r="AJ4730" i="2"/>
  <c r="AF4731" i="2"/>
  <c r="AK4731" i="2" s="1"/>
  <c r="AG4731" i="2"/>
  <c r="AH4731" i="2"/>
  <c r="AI4731" i="2"/>
  <c r="AJ4731" i="2"/>
  <c r="AF4732" i="2"/>
  <c r="AK4732" i="2"/>
  <c r="AG4732" i="2"/>
  <c r="AH4732" i="2"/>
  <c r="AI4732" i="2"/>
  <c r="AJ4732" i="2"/>
  <c r="AF4733" i="2"/>
  <c r="AK4733" i="2" s="1"/>
  <c r="AG4733" i="2"/>
  <c r="AH4733" i="2"/>
  <c r="AI4733" i="2"/>
  <c r="AL4733" i="2" s="1"/>
  <c r="AJ4733" i="2"/>
  <c r="AF4734" i="2"/>
  <c r="AK4734" i="2" s="1"/>
  <c r="AG4734" i="2"/>
  <c r="AL4734" i="2" s="1"/>
  <c r="AH4734" i="2"/>
  <c r="AI4734" i="2"/>
  <c r="AJ4734" i="2"/>
  <c r="AF4735" i="2"/>
  <c r="AK4735" i="2" s="1"/>
  <c r="AL4735" i="2" s="1"/>
  <c r="AG4735" i="2"/>
  <c r="AH4735" i="2"/>
  <c r="AI4735" i="2"/>
  <c r="AJ4735" i="2"/>
  <c r="AF4736" i="2"/>
  <c r="AK4736" i="2" s="1"/>
  <c r="AL4736" i="2" s="1"/>
  <c r="AG4736" i="2"/>
  <c r="AH4736" i="2"/>
  <c r="AI4736" i="2"/>
  <c r="AJ4736" i="2"/>
  <c r="AF4737" i="2"/>
  <c r="AK4737" i="2"/>
  <c r="AG4737" i="2"/>
  <c r="AL4737" i="2" s="1"/>
  <c r="AH4737" i="2"/>
  <c r="AI4737" i="2"/>
  <c r="AJ4737" i="2"/>
  <c r="AF4738" i="2"/>
  <c r="AK4738" i="2" s="1"/>
  <c r="AG4738" i="2"/>
  <c r="AH4738" i="2"/>
  <c r="AI4738" i="2"/>
  <c r="AJ4738" i="2"/>
  <c r="AF4739" i="2"/>
  <c r="AK4739" i="2" s="1"/>
  <c r="AG4739" i="2"/>
  <c r="AH4739" i="2"/>
  <c r="AI4739" i="2"/>
  <c r="AJ4739" i="2"/>
  <c r="AF4740" i="2"/>
  <c r="AK4740" i="2"/>
  <c r="AG4740" i="2"/>
  <c r="AL4740" i="2" s="1"/>
  <c r="AH4740" i="2"/>
  <c r="AI4740" i="2"/>
  <c r="AJ4740" i="2"/>
  <c r="AF4741" i="2"/>
  <c r="AK4741" i="2" s="1"/>
  <c r="AG4741" i="2"/>
  <c r="AL4741" i="2" s="1"/>
  <c r="AH4741" i="2"/>
  <c r="AI4741" i="2"/>
  <c r="AJ4741" i="2"/>
  <c r="AF4742" i="2"/>
  <c r="AK4742" i="2"/>
  <c r="AG4742" i="2"/>
  <c r="AH4742" i="2"/>
  <c r="AI4742" i="2"/>
  <c r="AL4742" i="2" s="1"/>
  <c r="AJ4742" i="2"/>
  <c r="AF4743" i="2"/>
  <c r="AK4743" i="2" s="1"/>
  <c r="AL4743" i="2" s="1"/>
  <c r="AG4743" i="2"/>
  <c r="AH4743" i="2"/>
  <c r="AI4743" i="2"/>
  <c r="AJ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L4747" i="2" s="1"/>
  <c r="AI4747" i="2"/>
  <c r="AJ4747" i="2"/>
  <c r="AF4748" i="2"/>
  <c r="AK4748" i="2"/>
  <c r="AG4748" i="2"/>
  <c r="AL4748" i="2" s="1"/>
  <c r="AH4748" i="2"/>
  <c r="AI4748" i="2"/>
  <c r="AJ4748" i="2"/>
  <c r="AF4749" i="2"/>
  <c r="AK4749" i="2" s="1"/>
  <c r="AG4749" i="2"/>
  <c r="AH4749" i="2"/>
  <c r="AL4749" i="2" s="1"/>
  <c r="AI4749" i="2"/>
  <c r="AJ4749" i="2"/>
  <c r="AF4750" i="2"/>
  <c r="AK4750" i="2"/>
  <c r="AG4750" i="2"/>
  <c r="AH4750" i="2"/>
  <c r="AI4750" i="2"/>
  <c r="AJ4750" i="2"/>
  <c r="AL4750" i="2" s="1"/>
  <c r="AF4751" i="2"/>
  <c r="AK4751" i="2" s="1"/>
  <c r="AG4751" i="2"/>
  <c r="AH4751" i="2"/>
  <c r="AI4751" i="2"/>
  <c r="AJ4751" i="2"/>
  <c r="AF4752" i="2"/>
  <c r="AK4752" i="2"/>
  <c r="AG4752" i="2"/>
  <c r="AL4752" i="2" s="1"/>
  <c r="AH4752" i="2"/>
  <c r="AI4752" i="2"/>
  <c r="AJ4752" i="2"/>
  <c r="AF4753" i="2"/>
  <c r="AK4753" i="2" s="1"/>
  <c r="AG4753" i="2"/>
  <c r="AH4753" i="2"/>
  <c r="AL4753" i="2" s="1"/>
  <c r="AI4753" i="2"/>
  <c r="AJ4753" i="2"/>
  <c r="AF4754" i="2"/>
  <c r="AK4754" i="2"/>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L4759" i="2" s="1"/>
  <c r="AJ4759" i="2"/>
  <c r="AF4760" i="2"/>
  <c r="AK4760" i="2"/>
  <c r="AG4760" i="2"/>
  <c r="AL4760" i="2" s="1"/>
  <c r="AH4760" i="2"/>
  <c r="AI4760" i="2"/>
  <c r="AJ4760" i="2"/>
  <c r="AF4761" i="2"/>
  <c r="AK4761" i="2"/>
  <c r="AG4761" i="2"/>
  <c r="AL4761" i="2"/>
  <c r="AH4761" i="2"/>
  <c r="AI4761" i="2"/>
  <c r="AJ4761" i="2"/>
  <c r="AF4762" i="2"/>
  <c r="AK4762" i="2" s="1"/>
  <c r="AG4762" i="2"/>
  <c r="AL4762" i="2" s="1"/>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L4773" i="2" s="1"/>
  <c r="AI4773" i="2"/>
  <c r="AJ4773" i="2"/>
  <c r="AF4774" i="2"/>
  <c r="AK4774" i="2" s="1"/>
  <c r="AG4774" i="2"/>
  <c r="AL4774" i="2" s="1"/>
  <c r="AH4774" i="2"/>
  <c r="AI4774" i="2"/>
  <c r="AJ4774" i="2"/>
  <c r="AF4775" i="2"/>
  <c r="AK4775" i="2" s="1"/>
  <c r="AG4775" i="2"/>
  <c r="AH4775" i="2"/>
  <c r="AI4775" i="2"/>
  <c r="AJ4775" i="2"/>
  <c r="AF4776" i="2"/>
  <c r="AK4776" i="2" s="1"/>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L4783" i="2"/>
  <c r="AH4783" i="2"/>
  <c r="AI4783" i="2"/>
  <c r="AJ4783" i="2"/>
  <c r="AF4784" i="2"/>
  <c r="AK4784" i="2" s="1"/>
  <c r="AG4784" i="2"/>
  <c r="AH4784" i="2"/>
  <c r="AI4784" i="2"/>
  <c r="AJ4784" i="2"/>
  <c r="AF4785" i="2"/>
  <c r="AK4785" i="2"/>
  <c r="AG4785" i="2"/>
  <c r="AH4785" i="2"/>
  <c r="AI4785" i="2"/>
  <c r="AJ4785" i="2"/>
  <c r="AL4785" i="2" s="1"/>
  <c r="AF4786" i="2"/>
  <c r="AK4786" i="2" s="1"/>
  <c r="AG4786" i="2"/>
  <c r="AH4786" i="2"/>
  <c r="AI4786" i="2"/>
  <c r="AL4786" i="2" s="1"/>
  <c r="AJ4786" i="2"/>
  <c r="AF4787" i="2"/>
  <c r="AK4787" i="2" s="1"/>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H4792" i="2"/>
  <c r="AL4792" i="2" s="1"/>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s="1"/>
  <c r="AG4800" i="2"/>
  <c r="AH4800" i="2"/>
  <c r="AI4800" i="2"/>
  <c r="AJ4800" i="2"/>
  <c r="AF4801" i="2"/>
  <c r="AK4801" i="2"/>
  <c r="AG4801" i="2"/>
  <c r="AL4801" i="2" s="1"/>
  <c r="AH4801" i="2"/>
  <c r="AI4801" i="2"/>
  <c r="AJ4801" i="2"/>
  <c r="AF4802" i="2"/>
  <c r="AK4802" i="2"/>
  <c r="AG4802" i="2"/>
  <c r="AH4802" i="2"/>
  <c r="AL4802" i="2" s="1"/>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L4806" i="2" s="1"/>
  <c r="AG4806" i="2"/>
  <c r="AH4806" i="2"/>
  <c r="AI4806" i="2"/>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s="1"/>
  <c r="AG4815" i="2"/>
  <c r="AH4815" i="2"/>
  <c r="AI4815" i="2"/>
  <c r="AJ4815" i="2"/>
  <c r="AF4816" i="2"/>
  <c r="AK4816" i="2"/>
  <c r="AG4816" i="2"/>
  <c r="AH4816" i="2"/>
  <c r="AI4816" i="2"/>
  <c r="AJ4816" i="2"/>
  <c r="AF4817" i="2"/>
  <c r="AK4817" i="2"/>
  <c r="AG4817" i="2"/>
  <c r="AH4817" i="2"/>
  <c r="AL4817" i="2" s="1"/>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G4821" i="2"/>
  <c r="AH4821" i="2"/>
  <c r="AL4821" i="2" s="1"/>
  <c r="AI4821" i="2"/>
  <c r="AJ4821" i="2"/>
  <c r="AF4822" i="2"/>
  <c r="AK4822" i="2"/>
  <c r="AG4822" i="2"/>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L4829" i="2" s="1"/>
  <c r="AF4830" i="2"/>
  <c r="AK4830" i="2"/>
  <c r="AG4830" i="2"/>
  <c r="AL4830" i="2"/>
  <c r="AH4830" i="2"/>
  <c r="AI4830" i="2"/>
  <c r="AJ4830" i="2"/>
  <c r="AF4831" i="2"/>
  <c r="AK4831" i="2" s="1"/>
  <c r="AG4831" i="2"/>
  <c r="AH4831" i="2"/>
  <c r="AI4831" i="2"/>
  <c r="AJ4831" i="2"/>
  <c r="AF4832" i="2"/>
  <c r="AK4832" i="2"/>
  <c r="AG4832" i="2"/>
  <c r="AL4832" i="2" s="1"/>
  <c r="AH4832" i="2"/>
  <c r="AI4832" i="2"/>
  <c r="AJ4832" i="2"/>
  <c r="AF4833" i="2"/>
  <c r="AK4833" i="2" s="1"/>
  <c r="AG4833" i="2"/>
  <c r="AL4833" i="2" s="1"/>
  <c r="AH4833" i="2"/>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L4839" i="2" s="1"/>
  <c r="AG4839" i="2"/>
  <c r="AH4839" i="2"/>
  <c r="AI4839" i="2"/>
  <c r="AJ4839" i="2"/>
  <c r="AF4840" i="2"/>
  <c r="AK4840" i="2"/>
  <c r="AG4840" i="2"/>
  <c r="AH4840" i="2"/>
  <c r="AI4840" i="2"/>
  <c r="AJ4840" i="2"/>
  <c r="AL4840" i="2" s="1"/>
  <c r="AF4841" i="2"/>
  <c r="AK4841" i="2" s="1"/>
  <c r="AG4841" i="2"/>
  <c r="AH4841" i="2"/>
  <c r="AL4841" i="2"/>
  <c r="AI4841" i="2"/>
  <c r="AJ4841" i="2"/>
  <c r="AF4842" i="2"/>
  <c r="AK4842" i="2"/>
  <c r="AL4842" i="2" s="1"/>
  <c r="AG4842" i="2"/>
  <c r="AH4842" i="2"/>
  <c r="AI4842" i="2"/>
  <c r="AJ4842" i="2"/>
  <c r="AF4843" i="2"/>
  <c r="AK4843" i="2" s="1"/>
  <c r="AG4843" i="2"/>
  <c r="AH4843" i="2"/>
  <c r="AI4843" i="2"/>
  <c r="AJ4843" i="2"/>
  <c r="AF4844" i="2"/>
  <c r="AK4844" i="2" s="1"/>
  <c r="AL4844" i="2" s="1"/>
  <c r="AG4844" i="2"/>
  <c r="AH4844" i="2"/>
  <c r="AI4844" i="2"/>
  <c r="AJ4844" i="2"/>
  <c r="AF4845" i="2"/>
  <c r="AK4845" i="2" s="1"/>
  <c r="AG4845" i="2"/>
  <c r="AH4845" i="2"/>
  <c r="AL4845" i="2" s="1"/>
  <c r="AI4845" i="2"/>
  <c r="AJ4845" i="2"/>
  <c r="AF4846" i="2"/>
  <c r="AK4846" i="2"/>
  <c r="AG4846" i="2"/>
  <c r="AH4846" i="2"/>
  <c r="AI4846" i="2"/>
  <c r="AJ4846" i="2"/>
  <c r="AL4846" i="2" s="1"/>
  <c r="AF4847" i="2"/>
  <c r="AK4847" i="2"/>
  <c r="AG4847" i="2"/>
  <c r="AH4847" i="2"/>
  <c r="AI4847" i="2"/>
  <c r="AJ4847" i="2"/>
  <c r="AF4848" i="2"/>
  <c r="AK4848" i="2" s="1"/>
  <c r="AG4848" i="2"/>
  <c r="AH4848" i="2"/>
  <c r="AL4848" i="2" s="1"/>
  <c r="AI4848" i="2"/>
  <c r="AJ4848" i="2"/>
  <c r="AF4849" i="2"/>
  <c r="AK4849" i="2"/>
  <c r="AG4849" i="2"/>
  <c r="AH4849" i="2"/>
  <c r="AL4849" i="2" s="1"/>
  <c r="AI4849" i="2"/>
  <c r="AJ4849" i="2"/>
  <c r="AF4850" i="2"/>
  <c r="AK4850" i="2"/>
  <c r="AG4850" i="2"/>
  <c r="AL4850" i="2" s="1"/>
  <c r="AH4850" i="2"/>
  <c r="AI4850" i="2"/>
  <c r="AJ4850" i="2"/>
  <c r="AF4851" i="2"/>
  <c r="AK4851" i="2" s="1"/>
  <c r="AG4851" i="2"/>
  <c r="AH4851" i="2"/>
  <c r="AI4851" i="2"/>
  <c r="AJ4851" i="2"/>
  <c r="AF4852" i="2"/>
  <c r="AK4852" i="2"/>
  <c r="AG4852" i="2"/>
  <c r="AH4852" i="2"/>
  <c r="AI4852" i="2"/>
  <c r="AL4852" i="2" s="1"/>
  <c r="AJ4852" i="2"/>
  <c r="AF4853" i="2"/>
  <c r="AK4853" i="2"/>
  <c r="AG4853" i="2"/>
  <c r="AL4853" i="2" s="1"/>
  <c r="AH4853" i="2"/>
  <c r="AI4853" i="2"/>
  <c r="AJ4853" i="2"/>
  <c r="AF4854" i="2"/>
  <c r="AK4854" i="2" s="1"/>
  <c r="AG4854" i="2"/>
  <c r="AH4854" i="2"/>
  <c r="AL4854" i="2" s="1"/>
  <c r="AI4854" i="2"/>
  <c r="AJ4854" i="2"/>
  <c r="AF4855" i="2"/>
  <c r="AK4855" i="2"/>
  <c r="AG4855" i="2"/>
  <c r="AH4855" i="2"/>
  <c r="AI4855" i="2"/>
  <c r="AJ4855" i="2"/>
  <c r="AF4856" i="2"/>
  <c r="AK4856" i="2"/>
  <c r="AG4856" i="2"/>
  <c r="AH4856" i="2"/>
  <c r="AL4856" i="2" s="1"/>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L4871" i="2" s="1"/>
  <c r="AF4872" i="2"/>
  <c r="AK4872" i="2"/>
  <c r="AG4872" i="2"/>
  <c r="AH4872" i="2"/>
  <c r="AL4872" i="2" s="1"/>
  <c r="AI4872" i="2"/>
  <c r="AJ4872" i="2"/>
  <c r="AF4873" i="2"/>
  <c r="AK4873" i="2"/>
  <c r="AG4873" i="2"/>
  <c r="AH4873" i="2"/>
  <c r="AL4873" i="2" s="1"/>
  <c r="AI4873" i="2"/>
  <c r="AJ4873" i="2"/>
  <c r="AF4874" i="2"/>
  <c r="AK4874" i="2"/>
  <c r="AG4874" i="2"/>
  <c r="AL4874" i="2" s="1"/>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L4879" i="2" s="1"/>
  <c r="AH4879" i="2"/>
  <c r="AI4879" i="2"/>
  <c r="AJ4879" i="2"/>
  <c r="AF4880" i="2"/>
  <c r="AK4880" i="2" s="1"/>
  <c r="AG4880" i="2"/>
  <c r="AH4880" i="2"/>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G4884" i="2"/>
  <c r="AH4884" i="2"/>
  <c r="AI4884" i="2"/>
  <c r="AJ4884" i="2"/>
  <c r="AF4885" i="2"/>
  <c r="AK4885" i="2"/>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G4890" i="2"/>
  <c r="AH4890" i="2"/>
  <c r="AI4890" i="2"/>
  <c r="AL4890" i="2" s="1"/>
  <c r="AJ4890" i="2"/>
  <c r="AF4891" i="2"/>
  <c r="AK4891" i="2"/>
  <c r="AG4891" i="2"/>
  <c r="AH4891" i="2"/>
  <c r="AI4891" i="2"/>
  <c r="AJ4891" i="2"/>
  <c r="AL4891" i="2" s="1"/>
  <c r="AF4892" i="2"/>
  <c r="AK4892" i="2"/>
  <c r="AG4892" i="2"/>
  <c r="AH4892" i="2"/>
  <c r="AL4892" i="2" s="1"/>
  <c r="AI4892" i="2"/>
  <c r="AJ4892" i="2"/>
  <c r="AF4893" i="2"/>
  <c r="AK4893" i="2"/>
  <c r="AG4893" i="2"/>
  <c r="AH4893" i="2"/>
  <c r="AL4893" i="2" s="1"/>
  <c r="AI4893" i="2"/>
  <c r="AJ4893" i="2"/>
  <c r="AF4894" i="2"/>
  <c r="AK4894" i="2"/>
  <c r="AG4894" i="2"/>
  <c r="AL4894" i="2" s="1"/>
  <c r="AH4894" i="2"/>
  <c r="AI4894" i="2"/>
  <c r="AJ4894" i="2"/>
  <c r="AF4895" i="2"/>
  <c r="AK4895" i="2" s="1"/>
  <c r="AL4895" i="2" s="1"/>
  <c r="AG4895" i="2"/>
  <c r="AH4895" i="2"/>
  <c r="AI4895" i="2"/>
  <c r="AJ4895" i="2"/>
  <c r="AF4896" i="2"/>
  <c r="AK4896" i="2"/>
  <c r="AG4896" i="2"/>
  <c r="AL4896" i="2" s="1"/>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L4900" i="2" s="1"/>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L4904" i="2" s="1"/>
  <c r="AF4905" i="2"/>
  <c r="AK4905" i="2"/>
  <c r="AG4905" i="2"/>
  <c r="AH4905" i="2"/>
  <c r="AL4905" i="2" s="1"/>
  <c r="AI4905" i="2"/>
  <c r="AJ4905" i="2"/>
  <c r="AF4906" i="2"/>
  <c r="AK4906" i="2"/>
  <c r="AG4906" i="2"/>
  <c r="AH4906" i="2"/>
  <c r="AI4906" i="2"/>
  <c r="AJ4906" i="2"/>
  <c r="AL4906" i="2" s="1"/>
  <c r="AF4907" i="2"/>
  <c r="AK4907" i="2"/>
  <c r="AG4907" i="2"/>
  <c r="AL4907" i="2" s="1"/>
  <c r="AH4907" i="2"/>
  <c r="AI4907" i="2"/>
  <c r="AJ4907" i="2"/>
  <c r="AF4908" i="2"/>
  <c r="AK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L4911" i="2" s="1"/>
  <c r="AF4912" i="2"/>
  <c r="AK4912" i="2"/>
  <c r="AG4912" i="2"/>
  <c r="AH4912" i="2"/>
  <c r="AL4912" i="2" s="1"/>
  <c r="AI4912" i="2"/>
  <c r="AJ4912" i="2"/>
  <c r="AF4913" i="2"/>
  <c r="AK4913" i="2"/>
  <c r="AG4913" i="2"/>
  <c r="AH4913" i="2"/>
  <c r="AI4913" i="2"/>
  <c r="AJ4913" i="2"/>
  <c r="AF4914" i="2"/>
  <c r="AK4914" i="2"/>
  <c r="AG4914" i="2"/>
  <c r="AH4914" i="2"/>
  <c r="AL4914" i="2" s="1"/>
  <c r="AI4914" i="2"/>
  <c r="AJ4914" i="2"/>
  <c r="AF4915" i="2"/>
  <c r="AK4915" i="2"/>
  <c r="AG4915" i="2"/>
  <c r="AH4915" i="2"/>
  <c r="AL4915" i="2" s="1"/>
  <c r="AI4915" i="2"/>
  <c r="AJ4915" i="2"/>
  <c r="AF4916" i="2"/>
  <c r="AK4916" i="2" s="1"/>
  <c r="AG4916" i="2"/>
  <c r="AL4916" i="2" s="1"/>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L4921" i="2" s="1"/>
  <c r="AG4921" i="2"/>
  <c r="AH4921" i="2"/>
  <c r="AI4921" i="2"/>
  <c r="AJ4921" i="2"/>
  <c r="AF4922" i="2"/>
  <c r="AK4922" i="2" s="1"/>
  <c r="AG4922" i="2"/>
  <c r="AH4922" i="2"/>
  <c r="AI4922" i="2"/>
  <c r="AJ4922" i="2"/>
  <c r="AF4923" i="2"/>
  <c r="AK4923" i="2"/>
  <c r="AG4923" i="2"/>
  <c r="AH4923" i="2"/>
  <c r="AI4923" i="2"/>
  <c r="AJ4923" i="2"/>
  <c r="AL4923" i="2" s="1"/>
  <c r="AF4924" i="2"/>
  <c r="AK4924" i="2"/>
  <c r="AG4924" i="2"/>
  <c r="AL4924" i="2" s="1"/>
  <c r="AH4924" i="2"/>
  <c r="AI4924" i="2"/>
  <c r="AJ4924" i="2"/>
  <c r="AF4925" i="2"/>
  <c r="AK4925" i="2" s="1"/>
  <c r="AG4925" i="2"/>
  <c r="AH4925" i="2"/>
  <c r="AI4925" i="2"/>
  <c r="AL4925" i="2" s="1"/>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L4929" i="2" s="1"/>
  <c r="AG4929" i="2"/>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s="1"/>
  <c r="AG4934" i="2"/>
  <c r="AH4934" i="2"/>
  <c r="AI4934" i="2"/>
  <c r="AJ4934" i="2"/>
  <c r="AF4935" i="2"/>
  <c r="AK4935" i="2"/>
  <c r="AG4935" i="2"/>
  <c r="AH4935" i="2"/>
  <c r="AL4935" i="2" s="1"/>
  <c r="AI4935" i="2"/>
  <c r="AJ4935" i="2"/>
  <c r="AF4936" i="2"/>
  <c r="AK4936" i="2"/>
  <c r="AG4936" i="2"/>
  <c r="AH4936" i="2"/>
  <c r="AI4936" i="2"/>
  <c r="AJ4936" i="2"/>
  <c r="AL4936" i="2" s="1"/>
  <c r="AF4937" i="2"/>
  <c r="AK4937" i="2"/>
  <c r="AG4937" i="2"/>
  <c r="AH4937" i="2"/>
  <c r="AL4937" i="2" s="1"/>
  <c r="AI4937" i="2"/>
  <c r="AJ4937" i="2"/>
  <c r="AF4938" i="2"/>
  <c r="AK4938" i="2"/>
  <c r="AG4938" i="2"/>
  <c r="AH4938" i="2"/>
  <c r="AI4938" i="2"/>
  <c r="AJ4938" i="2"/>
  <c r="AL4938" i="2" s="1"/>
  <c r="AF4939" i="2"/>
  <c r="AK4939" i="2"/>
  <c r="AG4939" i="2"/>
  <c r="AH4939" i="2"/>
  <c r="AL4939" i="2" s="1"/>
  <c r="AI4939" i="2"/>
  <c r="AJ4939" i="2"/>
  <c r="AF4940" i="2"/>
  <c r="AK4940" i="2"/>
  <c r="AG4940" i="2"/>
  <c r="AH4940" i="2"/>
  <c r="AL4940" i="2" s="1"/>
  <c r="AI4940" i="2"/>
  <c r="AJ4940" i="2"/>
  <c r="AF4941" i="2"/>
  <c r="AK4941" i="2" s="1"/>
  <c r="AG4941" i="2"/>
  <c r="AL4941" i="2" s="1"/>
  <c r="AH4941" i="2"/>
  <c r="AI4941" i="2"/>
  <c r="AJ4941" i="2"/>
  <c r="AF4942" i="2"/>
  <c r="AK4942" i="2"/>
  <c r="AG4942" i="2"/>
  <c r="AL4942" i="2"/>
  <c r="AH4942" i="2"/>
  <c r="AI4942" i="2"/>
  <c r="AJ4942" i="2"/>
  <c r="AF4943" i="2"/>
  <c r="AK4943" i="2" s="1"/>
  <c r="AG4943" i="2"/>
  <c r="AH4943" i="2"/>
  <c r="AI4943" i="2"/>
  <c r="AL4943" i="2" s="1"/>
  <c r="AJ4943" i="2"/>
  <c r="AF4944" i="2"/>
  <c r="AK4944" i="2" s="1"/>
  <c r="AG4944" i="2"/>
  <c r="AH4944" i="2"/>
  <c r="AI4944" i="2"/>
  <c r="AJ4944" i="2"/>
  <c r="AF4945" i="2"/>
  <c r="AK4945" i="2" s="1"/>
  <c r="AG4945" i="2"/>
  <c r="AL4945" i="2" s="1"/>
  <c r="AH4945" i="2"/>
  <c r="AI4945" i="2"/>
  <c r="AJ4945" i="2"/>
  <c r="AF4946" i="2"/>
  <c r="AK4946" i="2"/>
  <c r="AG4946" i="2"/>
  <c r="AH4946" i="2"/>
  <c r="AI4946" i="2"/>
  <c r="AL4946" i="2" s="1"/>
  <c r="AJ4946" i="2"/>
  <c r="AF4947" i="2"/>
  <c r="AK4947" i="2" s="1"/>
  <c r="AG4947" i="2"/>
  <c r="AH4947" i="2"/>
  <c r="AI4947" i="2"/>
  <c r="AJ4947" i="2"/>
  <c r="AF4948" i="2"/>
  <c r="AK4948" i="2"/>
  <c r="AG4948" i="2"/>
  <c r="AH4948" i="2"/>
  <c r="AL4948" i="2" s="1"/>
  <c r="AI4948" i="2"/>
  <c r="AJ4948" i="2"/>
  <c r="AF4949" i="2"/>
  <c r="AK4949" i="2"/>
  <c r="AG4949" i="2"/>
  <c r="AH4949" i="2"/>
  <c r="AI4949" i="2"/>
  <c r="AJ4949" i="2"/>
  <c r="AL4949" i="2" s="1"/>
  <c r="AF4950" i="2"/>
  <c r="AK4950" i="2"/>
  <c r="AG4950" i="2"/>
  <c r="AH4950" i="2"/>
  <c r="AL4950" i="2" s="1"/>
  <c r="AI4950" i="2"/>
  <c r="AJ4950" i="2"/>
  <c r="AF4951" i="2"/>
  <c r="AK4951" i="2" s="1"/>
  <c r="AL4951" i="2" s="1"/>
  <c r="AG4951" i="2"/>
  <c r="AH4951" i="2"/>
  <c r="AI4951" i="2"/>
  <c r="AJ4951" i="2"/>
  <c r="AF4952" i="2"/>
  <c r="AK4952" i="2" s="1"/>
  <c r="AG4952" i="2"/>
  <c r="AH4952" i="2"/>
  <c r="AI4952" i="2"/>
  <c r="AJ4952" i="2"/>
  <c r="AF4953" i="2"/>
  <c r="AK4953" i="2" s="1"/>
  <c r="AG4953" i="2"/>
  <c r="AH4953" i="2"/>
  <c r="AI4953" i="2"/>
  <c r="AL4953" i="2" s="1"/>
  <c r="AJ4953" i="2"/>
  <c r="AF4954" i="2"/>
  <c r="AK4954" i="2" s="1"/>
  <c r="AL4954" i="2" s="1"/>
  <c r="AG4954" i="2"/>
  <c r="AH4954" i="2"/>
  <c r="AI4954" i="2"/>
  <c r="AJ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L4958" i="2" s="1"/>
  <c r="AG4958" i="2"/>
  <c r="AH4958" i="2"/>
  <c r="AI4958" i="2"/>
  <c r="AJ4958" i="2"/>
  <c r="AF4959" i="2"/>
  <c r="AK4959" i="2" s="1"/>
  <c r="AG4959" i="2"/>
  <c r="AL4959" i="2" s="1"/>
  <c r="AH4959" i="2"/>
  <c r="AI4959" i="2"/>
  <c r="AJ4959" i="2"/>
  <c r="AF4960" i="2"/>
  <c r="AK4960" i="2" s="1"/>
  <c r="AG4960" i="2"/>
  <c r="AH4960" i="2"/>
  <c r="AI4960" i="2"/>
  <c r="AJ4960" i="2"/>
  <c r="AF4961" i="2"/>
  <c r="AK4961" i="2" s="1"/>
  <c r="AG4961" i="2"/>
  <c r="AL4961" i="2" s="1"/>
  <c r="AH4961" i="2"/>
  <c r="AI4961" i="2"/>
  <c r="AJ4961" i="2"/>
  <c r="AF4962" i="2"/>
  <c r="AK4962" i="2" s="1"/>
  <c r="AL4962" i="2" s="1"/>
  <c r="AG4962" i="2"/>
  <c r="AH4962" i="2"/>
  <c r="AI4962" i="2"/>
  <c r="AJ4962" i="2"/>
  <c r="AF4963" i="2"/>
  <c r="AK4963" i="2"/>
  <c r="AG4963" i="2"/>
  <c r="AH4963" i="2"/>
  <c r="AL4963" i="2" s="1"/>
  <c r="AI4963" i="2"/>
  <c r="AJ4963" i="2"/>
  <c r="AF4964" i="2"/>
  <c r="AK4964" i="2" s="1"/>
  <c r="AG4964" i="2"/>
  <c r="AL4964" i="2" s="1"/>
  <c r="AH4964" i="2"/>
  <c r="AI4964" i="2"/>
  <c r="AJ4964" i="2"/>
  <c r="AF4965" i="2"/>
  <c r="AK4965" i="2" s="1"/>
  <c r="AG4965" i="2"/>
  <c r="AH4965" i="2"/>
  <c r="AI4965" i="2"/>
  <c r="AJ4965" i="2"/>
  <c r="AF4966" i="2"/>
  <c r="AK4966" i="2"/>
  <c r="AG4966" i="2"/>
  <c r="AH4966" i="2"/>
  <c r="AI4966" i="2"/>
  <c r="AJ4966" i="2"/>
  <c r="AL4966" i="2" s="1"/>
  <c r="AF4967" i="2"/>
  <c r="AK4967" i="2"/>
  <c r="AG4967" i="2"/>
  <c r="AL4967" i="2" s="1"/>
  <c r="AH4967" i="2"/>
  <c r="AI4967" i="2"/>
  <c r="AJ4967" i="2"/>
  <c r="AF4968" i="2"/>
  <c r="AK4968" i="2" s="1"/>
  <c r="AG4968" i="2"/>
  <c r="AL4968" i="2" s="1"/>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L4974" i="2" s="1"/>
  <c r="AJ4974" i="2"/>
  <c r="AF4975" i="2"/>
  <c r="AK4975" i="2" s="1"/>
  <c r="AG4975" i="2"/>
  <c r="AH4975" i="2"/>
  <c r="AI4975" i="2"/>
  <c r="AJ4975" i="2"/>
  <c r="AF4976" i="2"/>
  <c r="AK4976" i="2"/>
  <c r="AG4976" i="2"/>
  <c r="AH4976" i="2"/>
  <c r="AL4976" i="2" s="1"/>
  <c r="AI4976" i="2"/>
  <c r="AJ4976" i="2"/>
  <c r="AF4977" i="2"/>
  <c r="AK4977" i="2"/>
  <c r="AG4977" i="2"/>
  <c r="AH4977" i="2"/>
  <c r="AL4977" i="2" s="1"/>
  <c r="AI4977" i="2"/>
  <c r="AJ4977" i="2"/>
  <c r="AF4978" i="2"/>
  <c r="AK4978" i="2" s="1"/>
  <c r="AG4978" i="2"/>
  <c r="AH4978" i="2"/>
  <c r="AI4978" i="2"/>
  <c r="AJ4978" i="2"/>
  <c r="AL4978" i="2" s="1"/>
  <c r="AF4979" i="2"/>
  <c r="AK4979" i="2"/>
  <c r="AG4979" i="2"/>
  <c r="AH4979" i="2"/>
  <c r="AL4979" i="2" s="1"/>
  <c r="AI4979" i="2"/>
  <c r="AJ4979" i="2"/>
  <c r="AF4980" i="2"/>
  <c r="AK4980" i="2"/>
  <c r="AG4980" i="2"/>
  <c r="AH4980" i="2"/>
  <c r="AI4980" i="2"/>
  <c r="AJ4980" i="2"/>
  <c r="AF4981" i="2"/>
  <c r="AK4981" i="2"/>
  <c r="AG4981" i="2"/>
  <c r="AH4981" i="2"/>
  <c r="AL4981" i="2" s="1"/>
  <c r="AI4981" i="2"/>
  <c r="AJ4981" i="2"/>
  <c r="AF4982" i="2"/>
  <c r="AK4982" i="2"/>
  <c r="AG4982" i="2"/>
  <c r="AL4982" i="2" s="1"/>
  <c r="AH4982" i="2"/>
  <c r="AI4982" i="2"/>
  <c r="AJ4982" i="2"/>
  <c r="AF4983" i="2"/>
  <c r="AK4983" i="2" s="1"/>
  <c r="AG4983" i="2"/>
  <c r="AH4983" i="2"/>
  <c r="AI4983" i="2"/>
  <c r="AJ4983" i="2"/>
  <c r="AF4984" i="2"/>
  <c r="AK4984" i="2"/>
  <c r="AG4984" i="2"/>
  <c r="AL4984" i="2"/>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L4989" i="2" s="1"/>
  <c r="AF4990" i="2"/>
  <c r="AK4990" i="2"/>
  <c r="AG4990" i="2"/>
  <c r="AL4990" i="2" s="1"/>
  <c r="AH4990" i="2"/>
  <c r="AI4990" i="2"/>
  <c r="AJ4990" i="2"/>
  <c r="AF4991" i="2"/>
  <c r="AK4991" i="2" s="1"/>
  <c r="AG4991" i="2"/>
  <c r="AH4991" i="2"/>
  <c r="AL4991" i="2" s="1"/>
  <c r="AI4991" i="2"/>
  <c r="AJ4991" i="2"/>
  <c r="AF4992" i="2"/>
  <c r="AK4992" i="2"/>
  <c r="AG4992" i="2"/>
  <c r="AH4992" i="2"/>
  <c r="AI4992" i="2"/>
  <c r="AJ4992" i="2"/>
  <c r="AL4992" i="2" s="1"/>
  <c r="AF4993" i="2"/>
  <c r="AK4993" i="2"/>
  <c r="AG4993" i="2"/>
  <c r="AH4993" i="2"/>
  <c r="AL4993" i="2" s="1"/>
  <c r="AI4993" i="2"/>
  <c r="AJ4993" i="2"/>
  <c r="AF4994" i="2"/>
  <c r="AK4994" i="2" s="1"/>
  <c r="AL4994" i="2" s="1"/>
  <c r="AG4994" i="2"/>
  <c r="AH4994" i="2"/>
  <c r="AI4994" i="2"/>
  <c r="AJ4994" i="2"/>
  <c r="AF4995" i="2"/>
  <c r="AK4995" i="2" s="1"/>
  <c r="AG4995" i="2"/>
  <c r="AH4995" i="2"/>
  <c r="AI4995" i="2"/>
  <c r="AJ4995" i="2"/>
  <c r="AL4995" i="2" s="1"/>
  <c r="AF4996" i="2"/>
  <c r="AK4996" i="2"/>
  <c r="AG4996" i="2"/>
  <c r="AL4996" i="2" s="1"/>
  <c r="AH4996" i="2"/>
  <c r="AI4996" i="2"/>
  <c r="AJ4996" i="2"/>
  <c r="AF4997" i="2"/>
  <c r="AK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53" i="2"/>
  <c r="AM53"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159" i="2"/>
  <c r="AL155" i="2"/>
  <c r="AL151" i="2"/>
  <c r="AL147" i="2"/>
  <c r="AL143" i="2"/>
  <c r="AL139" i="2"/>
  <c r="AL135" i="2"/>
  <c r="AL131" i="2"/>
  <c r="AL127" i="2"/>
  <c r="AL123" i="2"/>
  <c r="AL119" i="2"/>
  <c r="AL115" i="2"/>
  <c r="AL91" i="2"/>
  <c r="AM91" i="2" s="1"/>
  <c r="AL156" i="2"/>
  <c r="AL152" i="2"/>
  <c r="AL148" i="2"/>
  <c r="AL144" i="2"/>
  <c r="AL140" i="2"/>
  <c r="AL136" i="2"/>
  <c r="AL132" i="2"/>
  <c r="AL128" i="2"/>
  <c r="AL124" i="2"/>
  <c r="AL120" i="2"/>
  <c r="AL116" i="2"/>
  <c r="AL157" i="2"/>
  <c r="AL153" i="2"/>
  <c r="AL149" i="2"/>
  <c r="AL145" i="2"/>
  <c r="AL141" i="2"/>
  <c r="AL137" i="2"/>
  <c r="AL133" i="2"/>
  <c r="AL129" i="2"/>
  <c r="AL125" i="2"/>
  <c r="AL121" i="2"/>
  <c r="AL117" i="2"/>
  <c r="AL158" i="2"/>
  <c r="AL154" i="2"/>
  <c r="AL150" i="2"/>
  <c r="AL146" i="2"/>
  <c r="AL142" i="2"/>
  <c r="AL138" i="2"/>
  <c r="AL134" i="2"/>
  <c r="AL130" i="2"/>
  <c r="AL126" i="2"/>
  <c r="AL122" i="2"/>
  <c r="AL118" i="2"/>
  <c r="AL114" i="2"/>
  <c r="AL30" i="2"/>
  <c r="AL23" i="2"/>
  <c r="AM23" i="2" s="1"/>
  <c r="AL20" i="2"/>
  <c r="AM20" i="2" s="1"/>
  <c r="AL16" i="2"/>
  <c r="AM16" i="2" s="1"/>
  <c r="AL15" i="2"/>
  <c r="AM15" i="2"/>
  <c r="AL14" i="2"/>
  <c r="AM14" i="2" s="1"/>
  <c r="AL12" i="2"/>
  <c r="AM12" i="2" s="1"/>
  <c r="AL4551" i="2"/>
  <c r="AL4575" i="2"/>
  <c r="AL4351" i="2"/>
  <c r="AL4563" i="2"/>
  <c r="AL4541" i="2"/>
  <c r="AL4509"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01" i="2"/>
  <c r="AL4363" i="2"/>
  <c r="AL4336"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5017" i="2"/>
  <c r="AL5037" i="2"/>
  <c r="AL5074" i="2"/>
  <c r="AL5150" i="2"/>
  <c r="AL5157" i="2"/>
  <c r="AL5160" i="2"/>
  <c r="AL5165" i="2"/>
  <c r="AL5168" i="2"/>
  <c r="AL5182" i="2"/>
  <c r="AL5189" i="2"/>
  <c r="AL5192" i="2"/>
  <c r="AL5197" i="2"/>
  <c r="AL5222" i="2"/>
  <c r="AL5058" i="2"/>
  <c r="AL197" i="2"/>
  <c r="AL190" i="2"/>
  <c r="AL40" i="2"/>
  <c r="AM40" i="2" s="1"/>
  <c r="AL5070" i="2"/>
  <c r="AL5130" i="2"/>
  <c r="AL241" i="2"/>
  <c r="AL187" i="2"/>
  <c r="AL160" i="2"/>
  <c r="AL5009" i="2"/>
  <c r="AL5029" i="2"/>
  <c r="AL5123" i="2"/>
  <c r="AL222" i="2"/>
  <c r="AL208" i="2"/>
  <c r="AL174" i="2"/>
  <c r="AL5005" i="2"/>
  <c r="AL5049" i="2"/>
  <c r="AL5066" i="2"/>
  <c r="AL5132" i="2"/>
  <c r="AL5158" i="2"/>
  <c r="AL5190" i="2"/>
  <c r="AL4885" i="2"/>
  <c r="AL4711"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M24" i="2" s="1"/>
  <c r="AL5001" i="2"/>
  <c r="AL5014" i="2"/>
  <c r="AL5030" i="2"/>
  <c r="AL5090" i="2"/>
  <c r="AL5142" i="2"/>
  <c r="AL201" i="2"/>
  <c r="AL5173" i="2"/>
  <c r="AL290" i="2"/>
  <c r="AL189" i="2"/>
  <c r="AL184" i="2"/>
  <c r="AL170" i="2"/>
  <c r="AL307" i="2"/>
  <c r="AL298" i="2"/>
  <c r="AL279" i="2"/>
  <c r="AL166" i="2"/>
  <c r="AL77" i="2"/>
  <c r="AM77" i="2" s="1"/>
  <c r="AL5013" i="2"/>
  <c r="AL36" i="2"/>
  <c r="AM36" i="2" s="1"/>
  <c r="AL5198" i="2"/>
  <c r="AL5267" i="2"/>
  <c r="AL221" i="2"/>
  <c r="AL216" i="2"/>
  <c r="AL5243" i="2"/>
  <c r="AL173" i="2"/>
  <c r="AL5018" i="2"/>
  <c r="AL5021" i="2"/>
  <c r="AL5223" i="2"/>
  <c r="AL4489" i="2"/>
  <c r="AL4324" i="2"/>
  <c r="AL4278" i="2"/>
  <c r="AL4225" i="2"/>
  <c r="AL4141" i="2"/>
  <c r="AL4816" i="2"/>
  <c r="AL4813" i="2"/>
  <c r="AL4433" i="2"/>
  <c r="AL4303" i="2"/>
  <c r="AL3843" i="2"/>
  <c r="AL4654" i="2"/>
  <c r="AL4501" i="2"/>
  <c r="AL4466" i="2"/>
  <c r="AL4738" i="2"/>
  <c r="AL4644" i="2"/>
  <c r="AL4581" i="2"/>
  <c r="AL4494" i="2"/>
  <c r="AL4478" i="2"/>
  <c r="AL4431" i="2"/>
  <c r="AL4345" i="2"/>
  <c r="AL4338" i="2"/>
  <c r="AL4007" i="2"/>
  <c r="AL3986" i="2"/>
  <c r="AL4804" i="2"/>
  <c r="AL4877"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161" i="2"/>
  <c r="AL5034" i="2"/>
  <c r="AL5102" i="2"/>
  <c r="AL5134" i="2"/>
  <c r="AL5010" i="2"/>
  <c r="AL5033" i="2"/>
  <c r="AL5054" i="2"/>
  <c r="AL5062" i="2"/>
  <c r="AL5078" i="2"/>
  <c r="AL5126" i="2"/>
  <c r="AL5279" i="2"/>
  <c r="AL5263" i="2"/>
  <c r="AL4638" i="2"/>
  <c r="AL4587" i="2"/>
  <c r="AL4520" i="2"/>
  <c r="AL4482" i="2"/>
  <c r="AL4398" i="2"/>
  <c r="AL4388" i="2"/>
  <c r="AL4601" i="2"/>
  <c r="AL4396" i="2"/>
  <c r="AL4668" i="2"/>
  <c r="AL4591" i="2"/>
  <c r="AL4332" i="2"/>
  <c r="AL4910" i="2"/>
  <c r="AL4636" i="2"/>
  <c r="AL4617" i="2"/>
  <c r="AL4518" i="2"/>
  <c r="AL4835" i="2"/>
  <c r="AL4706" i="2"/>
  <c r="AL4629" i="2"/>
  <c r="AL4533" i="2"/>
  <c r="AL4487" i="2"/>
  <c r="AL4453" i="2"/>
  <c r="AL4334" i="2"/>
  <c r="AL4233" i="2"/>
  <c r="AL4670" i="2"/>
  <c r="AL4931"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L6" i="2"/>
  <c r="AM6" i="2" s="1"/>
  <c r="AL10" i="2"/>
  <c r="AM10" i="2"/>
  <c r="AL8" i="2"/>
  <c r="AM8" i="2" s="1"/>
  <c r="AL7" i="2"/>
  <c r="AM7" i="2" s="1"/>
  <c r="AL4797" i="2"/>
  <c r="AL4649" i="2"/>
  <c r="AL4858" i="2"/>
  <c r="AL4704"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M32" i="2" s="1"/>
  <c r="AL5046" i="2"/>
  <c r="AL183" i="2"/>
  <c r="AL5086" i="2"/>
  <c r="AL5115" i="2"/>
  <c r="AL5259" i="2"/>
  <c r="AL315" i="2"/>
  <c r="AL192" i="2"/>
  <c r="AL5098" i="2"/>
  <c r="AL5152" i="2"/>
  <c r="AL5247" i="2"/>
  <c r="AL4778" i="2"/>
  <c r="AL4779" i="2"/>
  <c r="AL4556" i="2"/>
  <c r="AL4537" i="2"/>
  <c r="AL4515" i="2"/>
  <c r="AL4903" i="2"/>
  <c r="AL4860" i="2"/>
  <c r="AL4799" i="2"/>
  <c r="AL4588" i="2"/>
  <c r="AL4582" i="2"/>
  <c r="AL4913" i="2"/>
  <c r="AL4825" i="2"/>
  <c r="AL4751" i="2"/>
  <c r="AL4675" i="2"/>
  <c r="AL4604" i="2"/>
  <c r="AL4594" i="2"/>
  <c r="AL4550" i="2"/>
  <c r="AL4506" i="2"/>
  <c r="AL4452" i="2"/>
  <c r="AL4969" i="2"/>
  <c r="AL4980" i="2"/>
  <c r="AL4794" i="2"/>
  <c r="AL4656" i="2"/>
  <c r="AL4580" i="2"/>
  <c r="AL4574" i="2"/>
  <c r="AL4548" i="2"/>
  <c r="AL4449" i="2"/>
  <c r="AL4819" i="2"/>
  <c r="AL4645" i="2"/>
  <c r="AL4586" i="2"/>
  <c r="AL4577" i="2"/>
  <c r="AL4555" i="2"/>
  <c r="AL4650" i="2"/>
  <c r="AL4576" i="2"/>
  <c r="AL4572" i="2"/>
  <c r="AL4525" i="2"/>
  <c r="AL4498" i="2"/>
  <c r="AL4404" i="2"/>
  <c r="AL4394" i="2"/>
  <c r="AL4375" i="2"/>
  <c r="AL4254" i="2"/>
  <c r="AL4632" i="2"/>
  <c r="AL4526" i="2"/>
  <c r="AL4370" i="2"/>
  <c r="AL4565" i="2"/>
  <c r="AL4500" i="2"/>
  <c r="AL4419" i="2"/>
  <c r="AL4382" i="2"/>
  <c r="AL4367" i="2"/>
  <c r="AL4362" i="2"/>
  <c r="AL4236" i="2"/>
  <c r="AL4125" i="2"/>
  <c r="AL4678" i="2"/>
  <c r="AL4643" i="2"/>
  <c r="AL4552" i="2"/>
  <c r="AL4442" i="2"/>
  <c r="AL4427" i="2"/>
  <c r="AL4416" i="2"/>
  <c r="AL4413" i="2"/>
  <c r="AL4614" i="2"/>
  <c r="AL4566" i="2"/>
  <c r="AL4519" i="2"/>
  <c r="AL4504" i="2"/>
  <c r="AL4240" i="2"/>
  <c r="AL4592" i="2"/>
  <c r="AL4100" i="2"/>
  <c r="AL4486" i="2"/>
  <c r="AL4479" i="2"/>
  <c r="AL4425" i="2"/>
  <c r="AL4414"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106" i="2" l="1"/>
  <c r="AM106" i="2" s="1"/>
  <c r="AL103" i="2"/>
  <c r="AM103" i="2" s="1"/>
  <c r="AL99" i="2"/>
  <c r="AM99" i="2" s="1"/>
  <c r="AL109" i="2"/>
  <c r="AM109" i="2" s="1"/>
  <c r="AL95" i="2"/>
  <c r="AM95" i="2" s="1"/>
  <c r="AL101" i="2"/>
  <c r="AM101" i="2" s="1"/>
  <c r="AL111" i="2"/>
  <c r="AM111" i="2" s="1"/>
  <c r="AL107" i="2"/>
  <c r="AM107" i="2" s="1"/>
  <c r="AL93" i="2"/>
  <c r="AM93" i="2" s="1"/>
  <c r="AL85" i="2"/>
  <c r="AM85" i="2" s="1"/>
  <c r="AL81" i="2"/>
  <c r="AM81" i="2" s="1"/>
  <c r="AL87" i="2"/>
  <c r="AM87" i="2" s="1"/>
  <c r="AL73" i="2"/>
  <c r="AM73" i="2" s="1"/>
  <c r="AL83" i="2"/>
  <c r="AM83" i="2" s="1"/>
  <c r="AL79" i="2"/>
  <c r="AM79" i="2" s="1"/>
  <c r="AL63" i="2"/>
  <c r="AM63" i="2" s="1"/>
  <c r="AL69" i="2"/>
  <c r="AM69" i="2" s="1"/>
  <c r="AL65" i="2"/>
  <c r="AM65" i="2" s="1"/>
  <c r="AL61" i="2"/>
  <c r="AM61" i="2" s="1"/>
  <c r="AL67" i="2"/>
  <c r="AM67" i="2" s="1"/>
  <c r="AL59" i="2"/>
  <c r="AM59" i="2" s="1"/>
  <c r="AL54" i="2"/>
  <c r="AM54" i="2" s="1"/>
  <c r="AL51" i="2"/>
  <c r="AM51" i="2" s="1"/>
  <c r="AL44" i="2"/>
  <c r="AM44" i="2" s="1"/>
  <c r="AL43" i="2"/>
  <c r="AM43" i="2" s="1"/>
  <c r="AL42" i="2"/>
  <c r="AM42" i="2" s="1"/>
  <c r="AL38" i="2"/>
  <c r="AM38" i="2" s="1"/>
  <c r="AL41" i="2"/>
  <c r="AM41" i="2" s="1"/>
  <c r="AL57" i="2"/>
  <c r="AM57" i="2" s="1"/>
  <c r="AL39" i="2"/>
  <c r="AM39" i="2" s="1"/>
  <c r="AL55" i="2"/>
  <c r="AM55" i="2" s="1"/>
  <c r="AL49" i="2"/>
  <c r="AM49" i="2" s="1"/>
  <c r="AL45" i="2"/>
  <c r="AM45" i="2" s="1"/>
  <c r="AL33" i="2"/>
  <c r="AM33" i="2" s="1"/>
  <c r="AL22" i="2"/>
  <c r="AM22" i="2" s="1"/>
  <c r="AL27" i="2"/>
  <c r="AM27" i="2" s="1"/>
  <c r="AL13" i="2"/>
  <c r="AM13" i="2" s="1"/>
  <c r="AL19" i="2"/>
  <c r="AM19" i="2" s="1"/>
  <c r="AL113" i="2"/>
  <c r="AM113" i="2" s="1"/>
  <c r="AL105" i="2"/>
  <c r="AM105" i="2" s="1"/>
  <c r="AL98" i="2"/>
  <c r="AM98" i="2" s="1"/>
  <c r="AL97" i="2"/>
  <c r="AM97" i="2" s="1"/>
  <c r="AL82" i="2"/>
  <c r="AM82" i="2" s="1"/>
  <c r="AL75" i="2"/>
  <c r="AM75" i="2" s="1"/>
  <c r="AL74" i="2"/>
  <c r="AM74" i="2" s="1"/>
  <c r="AL18" i="2"/>
  <c r="AM18" i="2" s="1"/>
  <c r="AL9" i="2"/>
  <c r="AM9" i="2" s="1"/>
  <c r="AL11" i="2"/>
  <c r="AM11" i="2" s="1"/>
  <c r="AL31" i="2"/>
  <c r="AM31" i="2" s="1"/>
  <c r="AL50" i="2"/>
  <c r="AM50" i="2" s="1"/>
  <c r="AL47" i="2"/>
  <c r="AM47" i="2" s="1"/>
  <c r="AL37" i="2"/>
  <c r="AM37" i="2" s="1"/>
  <c r="AL70" i="2"/>
  <c r="AM70" i="2" s="1"/>
  <c r="AL66" i="2"/>
  <c r="AM66" i="2" s="1"/>
  <c r="AL90" i="2"/>
  <c r="AM90" i="2" s="1"/>
  <c r="AL89" i="2"/>
  <c r="AM89" i="2" s="1"/>
  <c r="AL110" i="2"/>
  <c r="AM110" i="2" s="1"/>
  <c r="AL102" i="2"/>
  <c r="AM102" i="2" s="1"/>
  <c r="AL108" i="2"/>
  <c r="AM108" i="2" s="1"/>
  <c r="AL100" i="2"/>
  <c r="AM100" i="2" s="1"/>
  <c r="AL92" i="2"/>
  <c r="AM92" i="2" s="1"/>
  <c r="AL94" i="2"/>
  <c r="AM94" i="2" s="1"/>
  <c r="AL112" i="2"/>
  <c r="AM112" i="2" s="1"/>
  <c r="AL104" i="2"/>
  <c r="AM104" i="2" s="1"/>
  <c r="AL96" i="2"/>
  <c r="AM96" i="2" s="1"/>
  <c r="AL84" i="2"/>
  <c r="AM84" i="2" s="1"/>
  <c r="AL76" i="2"/>
  <c r="AM76" i="2" s="1"/>
  <c r="AL86" i="2"/>
  <c r="AM86" i="2" s="1"/>
  <c r="AL78" i="2"/>
  <c r="AM78" i="2" s="1"/>
  <c r="AL80" i="2"/>
  <c r="AM80" i="2" s="1"/>
  <c r="AL72" i="2"/>
  <c r="AM72" i="2" s="1"/>
  <c r="AL68" i="2"/>
  <c r="AM68" i="2" s="1"/>
  <c r="AL62" i="2"/>
  <c r="AM62" i="2" s="1"/>
  <c r="AL64" i="2"/>
  <c r="AM64" i="2" s="1"/>
  <c r="AL52" i="2"/>
  <c r="AM52" i="2" s="1"/>
  <c r="AL56" i="2"/>
  <c r="AM56" i="2" s="1"/>
  <c r="AL17" i="2"/>
  <c r="AM17" i="2" s="1"/>
  <c r="AL88" i="2"/>
  <c r="AL71" i="2"/>
  <c r="AL60" i="2"/>
  <c r="AL58" i="2"/>
  <c r="AL35" i="2"/>
  <c r="AL29" i="2"/>
  <c r="AL4985" i="2"/>
  <c r="AL4975" i="2"/>
  <c r="AL4960" i="2"/>
  <c r="AL4934" i="2"/>
  <c r="AL4926" i="2"/>
  <c r="AL4796" i="2"/>
  <c r="AL4703" i="2"/>
  <c r="AL4952" i="2"/>
  <c r="AL4884" i="2"/>
  <c r="AL4880" i="2"/>
  <c r="AL4875" i="2"/>
  <c r="AL4851" i="2"/>
  <c r="AL4815" i="2"/>
  <c r="AL4798" i="2"/>
  <c r="AL4997" i="2"/>
  <c r="AL4983" i="2"/>
  <c r="AL4965" i="2"/>
  <c r="AL4947" i="2"/>
  <c r="AL4944" i="2"/>
  <c r="AL4930" i="2"/>
  <c r="AL4922" i="2"/>
  <c r="AL4917" i="2"/>
  <c r="AL4908" i="2"/>
  <c r="AL4862" i="2"/>
  <c r="AL4843" i="2"/>
  <c r="AL4837" i="2"/>
  <c r="AL4808" i="2"/>
  <c r="AL4784" i="2"/>
  <c r="AL4731" i="2"/>
  <c r="AL4722" i="2"/>
  <c r="AL4716" i="2"/>
  <c r="AL4800" i="2"/>
  <c r="AL4788" i="2"/>
  <c r="AL4763" i="2"/>
  <c r="AL4757" i="2"/>
  <c r="AL4746" i="2"/>
  <c r="AL4744" i="2"/>
  <c r="AL4713" i="2"/>
  <c r="AL4680" i="2"/>
  <c r="AL4564" i="2"/>
  <c r="AL4542" i="2"/>
  <c r="AL4534" i="2"/>
  <c r="AL4497" i="2"/>
  <c r="AL4483" i="2"/>
  <c r="AL4847" i="2"/>
  <c r="AL4831" i="2"/>
  <c r="AL4790" i="2"/>
  <c r="AL4775" i="2"/>
  <c r="AL4739" i="2"/>
  <c r="AL4712" i="2"/>
  <c r="AL4693" i="2"/>
  <c r="AL4682" i="2"/>
  <c r="AL4681" i="2"/>
  <c r="AL4674" i="2"/>
  <c r="AL4667" i="2"/>
  <c r="AL4646" i="2"/>
  <c r="AL4640" i="2"/>
  <c r="AL4621" i="2"/>
  <c r="AL4530" i="2"/>
  <c r="AL4521" i="2"/>
  <c r="AL4476" i="2"/>
  <c r="AL4467" i="2"/>
  <c r="AL4458" i="2"/>
  <c r="AL4451" i="2"/>
  <c r="AL4437" i="2"/>
  <c r="AL4855" i="2"/>
  <c r="AL4834" i="2"/>
  <c r="AL4822" i="2"/>
  <c r="AL4809" i="2"/>
  <c r="AL4803" i="2"/>
  <c r="AL4793" i="2"/>
  <c r="AL4764" i="2"/>
  <c r="AL4754" i="2"/>
  <c r="AL4732" i="2"/>
  <c r="AL4710" i="2"/>
  <c r="AL4652" i="2"/>
  <c r="AL4634" i="2"/>
  <c r="AL4622" i="2"/>
  <c r="AL4600" i="2"/>
  <c r="AL4596" i="2"/>
  <c r="AL4584" i="2"/>
  <c r="AL4559" i="2"/>
  <c r="AL4557" i="2"/>
  <c r="AL4540" i="2"/>
  <c r="AL4524" i="2"/>
  <c r="AL4507" i="2"/>
  <c r="AL4495" i="2"/>
  <c r="AL4490" i="2"/>
  <c r="AL4475" i="2"/>
  <c r="AL4472" i="2"/>
  <c r="AL4468" i="2"/>
  <c r="AL4423" i="2"/>
  <c r="AL4420" i="2"/>
  <c r="AL4405" i="2"/>
  <c r="AL4364" i="2"/>
  <c r="AL4361" i="2"/>
  <c r="AL4259" i="2"/>
  <c r="AL4257" i="2"/>
  <c r="AL4252" i="2"/>
  <c r="AL4250" i="2"/>
  <c r="AL4192" i="2"/>
  <c r="AL4190" i="2"/>
  <c r="AL4162" i="2"/>
  <c r="AL4145" i="2"/>
  <c r="AL4117" i="2"/>
  <c r="AL4116" i="2"/>
  <c r="AL4075" i="2"/>
  <c r="AL4052" i="2"/>
  <c r="AL4046" i="2"/>
  <c r="AL4043" i="2"/>
  <c r="AL3953" i="2"/>
  <c r="AL3948" i="2"/>
  <c r="AL4613" i="2"/>
  <c r="AL4595" i="2"/>
  <c r="AL4567" i="2"/>
  <c r="AL4539" i="2"/>
  <c r="AL4505" i="2"/>
  <c r="AL4480" i="2"/>
  <c r="AL4403" i="2"/>
  <c r="AL4354" i="2"/>
  <c r="AL4318" i="2"/>
  <c r="AL4270" i="2"/>
  <c r="AL4265" i="2"/>
  <c r="AL4208" i="2"/>
  <c r="AL4084" i="2"/>
  <c r="AL3989" i="2"/>
  <c r="AL3955" i="2"/>
  <c r="AL3950" i="2"/>
  <c r="AL3925" i="2"/>
  <c r="AL3827" i="2"/>
  <c r="AL3760" i="2"/>
  <c r="AL3630" i="2"/>
  <c r="AL3579" i="2"/>
  <c r="AL3253" i="2"/>
  <c r="AL2827" i="2"/>
  <c r="AL2571" i="2"/>
  <c r="AL2414" i="2"/>
  <c r="AL2159" i="2"/>
  <c r="AL4544" i="2"/>
  <c r="AL4535" i="2"/>
  <c r="AL4508" i="2"/>
  <c r="AL4474" i="2"/>
  <c r="AL4360" i="2"/>
  <c r="AL4258" i="2"/>
  <c r="AL4256" i="2"/>
  <c r="AL4228" i="2"/>
  <c r="AL4213" i="2"/>
  <c r="AL4129" i="2"/>
  <c r="AL4101" i="2"/>
  <c r="AL4097" i="2"/>
  <c r="AL4072" i="2"/>
  <c r="AL3885" i="2"/>
  <c r="AL3810" i="2"/>
  <c r="AL3757" i="2"/>
  <c r="AL3741" i="2"/>
  <c r="AL3532" i="2"/>
  <c r="AL3515" i="2"/>
  <c r="AL3385" i="2"/>
  <c r="AL3378" i="2"/>
  <c r="AL2476" i="2"/>
  <c r="AL4602" i="2"/>
  <c r="AL4598" i="2"/>
  <c r="AL4562" i="2"/>
  <c r="AL4430" i="2"/>
  <c r="AL4409" i="2"/>
  <c r="AL4391" i="2"/>
  <c r="AL4147" i="2"/>
  <c r="AL4111" i="2"/>
  <c r="AL3915" i="2"/>
  <c r="AL2390" i="2"/>
  <c r="AL2004" i="2"/>
  <c r="AL2124" i="2"/>
  <c r="AL2015" i="2"/>
  <c r="AL1818" i="2"/>
  <c r="AL1356" i="2"/>
  <c r="AL1173" i="2"/>
  <c r="AL2295" i="2"/>
  <c r="AL2224" i="2"/>
  <c r="AL2216" i="2"/>
  <c r="AL2184" i="2"/>
  <c r="AL2066" i="2"/>
  <c r="AL1883" i="2"/>
  <c r="AL1649" i="2"/>
  <c r="AL1486" i="2"/>
  <c r="AL1343" i="2"/>
  <c r="AL2314" i="2"/>
  <c r="AL1633" i="2"/>
  <c r="AL1590" i="2"/>
  <c r="AL1411" i="2"/>
  <c r="AL1327" i="2"/>
  <c r="AL1314" i="2"/>
  <c r="AL1088" i="2"/>
  <c r="AL925" i="2"/>
  <c r="AL1093" i="2"/>
  <c r="AL983" i="2"/>
  <c r="AL445" i="2"/>
  <c r="AL292" i="2"/>
  <c r="AL48" i="2"/>
  <c r="AM48" i="2" s="1"/>
  <c r="AL163"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<sst xmlns="http://schemas.openxmlformats.org/spreadsheetml/2006/main" count="1685" uniqueCount="368">
  <si>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</si>
  <si>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</si>
  <si>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</si>
  <si>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</si>
  <si>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</si>
  <si>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</si>
  <si>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</si>
  <si>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</si>
  <si>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</si>
  <si>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</si>
  <si>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</si>
  <si>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</si>
  <si>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</si>
  <si>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</si>
  <si>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</si>
  <si>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</si>
  <si>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</si>
  <si>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</si>
  <si>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</si>
  <si>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</si>
  <si>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</si>
  <si>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</si>
  <si>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</si>
  <si>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</si>
  <si>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</si>
  <si>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</si>
  <si>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</si>
  <si>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</si>
  <si>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</si>
  <si>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</si>
  <si>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</si>
  <si>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</si>
  <si>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</si>
  <si>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</si>
  <si>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</si>
  <si>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</si>
  <si>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</si>
  <si>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</si>
  <si>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</si>
  <si>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</si>
  <si>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</si>
  <si>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</si>
  <si>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</si>
  <si>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</si>
  <si>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</si>
  <si>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</si>
  <si>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</si>
  <si>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</si>
  <si>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</si>
  <si>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</si>
  <si>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</si>
  <si>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</si>
  <si>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</si>
  <si>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</si>
  <si>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</si>
  <si>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</si>
  <si>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</si>
  <si>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</si>
  <si>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</si>
  <si>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</si>
  <si>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</si>
  <si>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</si>
  <si>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</si>
  <si>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</si>
  <si>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</si>
  <si>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</si>
  <si>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</si>
  <si>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</si>
  <si>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</si>
  <si>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</si>
  <si>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</si>
  <si>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</si>
  <si>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</si>
  <si>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</si>
  <si>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</si>
  <si>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</si>
  <si>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</si>
  <si>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</si>
  <si>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</si>
  <si>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</si>
  <si>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</si>
  <si>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</si>
  <si>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</si>
  <si>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</si>
  <si>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</si>
  <si>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</si>
  <si>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</si>
  <si>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</si>
  <si>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</si>
  <si>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</si>
  <si>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</si>
  <si>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</si>
  <si>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</si>
  <si>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</si>
  <si>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</si>
  <si>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</si>
  <si>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</si>
  <si>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fraser_2023_phase1</t>
  </si>
  <si>
    <t>Fraer Fish Passage Restoration Planning 2023 - Phase 1</t>
  </si>
  <si>
    <t>MW</t>
  </si>
  <si>
    <t>AI</t>
  </si>
  <si>
    <t>AI MW</t>
  </si>
  <si>
    <t>Endako River</t>
  </si>
  <si>
    <t>Highway 16 W</t>
  </si>
  <si>
    <t>MOTI</t>
  </si>
  <si>
    <t>Rentoul Creek</t>
  </si>
  <si>
    <t>Highway 16</t>
  </si>
  <si>
    <t>Tributary to Endako River</t>
  </si>
  <si>
    <t xml:space="preserve">Tributary to Endako River </t>
  </si>
  <si>
    <t>West Decker Road</t>
  </si>
  <si>
    <t>West Decker Rd</t>
  </si>
  <si>
    <t>Sauls Creek</t>
  </si>
  <si>
    <t>Government Rd</t>
  </si>
  <si>
    <t>Burns Lake</t>
  </si>
  <si>
    <t xml:space="preserve">Railway Avenue </t>
  </si>
  <si>
    <t>Stearns Creek</t>
  </si>
  <si>
    <t>Tintagel Road</t>
  </si>
  <si>
    <t xml:space="preserve">Endako River </t>
  </si>
  <si>
    <t>Priestly Station Road</t>
  </si>
  <si>
    <t>MOTI Local</t>
  </si>
  <si>
    <t>Sam Ross Creek</t>
  </si>
  <si>
    <t>Alf Creek</t>
  </si>
  <si>
    <t>Tributary to Fraser Lake</t>
  </si>
  <si>
    <t xml:space="preserve">Tahultzu Creek </t>
  </si>
  <si>
    <t xml:space="preserve">Zalenski Road </t>
  </si>
  <si>
    <t>Tahultzu Creek</t>
  </si>
  <si>
    <t>Lily Lake Road</t>
  </si>
  <si>
    <t xml:space="preserve">Wardrop Creek </t>
  </si>
  <si>
    <t>Glans Drive</t>
  </si>
  <si>
    <t>Perry Creek</t>
  </si>
  <si>
    <t>Stella Road</t>
  </si>
  <si>
    <t>Ormond Creek</t>
  </si>
  <si>
    <t>Scotch Creek</t>
  </si>
  <si>
    <t>Gala Lake Road</t>
  </si>
  <si>
    <t xml:space="preserve">Gala Bay Road </t>
  </si>
  <si>
    <t xml:space="preserve">Tributary to Nechako River </t>
  </si>
  <si>
    <t>Dog Creek Road</t>
  </si>
  <si>
    <t>Tributary to Nechako River</t>
  </si>
  <si>
    <t>Sutherland FSR</t>
  </si>
  <si>
    <t>West Fraser R09194 SE</t>
  </si>
  <si>
    <t>Williams FSR</t>
  </si>
  <si>
    <t>Tatsutnai Creek</t>
  </si>
  <si>
    <t>Barlow FSR</t>
  </si>
  <si>
    <t>Canfor R11286</t>
  </si>
  <si>
    <t>Aird Creek</t>
  </si>
  <si>
    <t>Upper Mud River Road</t>
  </si>
  <si>
    <t>Chilako Creek</t>
  </si>
  <si>
    <t xml:space="preserve">Upper Mud River Road </t>
  </si>
  <si>
    <t>Tributary to Chelako River</t>
  </si>
  <si>
    <t xml:space="preserve">McBride Timber Road </t>
  </si>
  <si>
    <t>Beaverley Creek</t>
  </si>
  <si>
    <t xml:space="preserve">Blackwater Road </t>
  </si>
  <si>
    <t>Dahl Creek</t>
  </si>
  <si>
    <t>Gregg Creek FSR</t>
  </si>
  <si>
    <t>MOF 5416</t>
  </si>
  <si>
    <t>Murray Creek</t>
  </si>
  <si>
    <t>Loop Rd</t>
  </si>
  <si>
    <t>Vanderhoof</t>
  </si>
  <si>
    <t>Snell Rd E</t>
  </si>
  <si>
    <t>Loop Road</t>
  </si>
  <si>
    <t>Northside Rd</t>
  </si>
  <si>
    <t>Larson Road</t>
  </si>
  <si>
    <t>East Murray Creek</t>
  </si>
  <si>
    <t>McIntosh Creek</t>
  </si>
  <si>
    <t>Mcleod Pit Rd</t>
  </si>
  <si>
    <t>Stringer Rd</t>
  </si>
  <si>
    <t>Knight Creek</t>
  </si>
  <si>
    <t>Sickness Road</t>
  </si>
  <si>
    <t>Gulbranson Rd</t>
  </si>
  <si>
    <t>Tributary to Tritt Creek</t>
  </si>
  <si>
    <t>Sturgeon Pt Rd</t>
  </si>
  <si>
    <t>Clear Creek</t>
  </si>
  <si>
    <t>Braeside Rd</t>
  </si>
  <si>
    <t>Tributary to Clear Creek</t>
  </si>
  <si>
    <t>Highway 27S</t>
  </si>
  <si>
    <t>Blue Mountain Road</t>
  </si>
  <si>
    <t>Fourteen Mile Rd</t>
  </si>
  <si>
    <t>Highway 27 S</t>
  </si>
  <si>
    <t>Moss Creek</t>
  </si>
  <si>
    <t>Redmond Creek</t>
  </si>
  <si>
    <t>Trankle Creek</t>
  </si>
  <si>
    <t>Walker Rd</t>
  </si>
  <si>
    <t>Spur</t>
  </si>
  <si>
    <t>Unclassified</t>
  </si>
  <si>
    <t>Tributary to Hulatt Creek</t>
  </si>
  <si>
    <t>Barsness Rd</t>
  </si>
  <si>
    <t>Gilbert Creek</t>
  </si>
  <si>
    <t>Gilbert Rd</t>
  </si>
  <si>
    <t>Sturgeon Point Rd</t>
  </si>
  <si>
    <t>Bave Rd</t>
  </si>
  <si>
    <t>Leona Creek</t>
  </si>
  <si>
    <t>Sackner Rd</t>
  </si>
  <si>
    <t>Leduc Creek</t>
  </si>
  <si>
    <t>Strieger Rd</t>
  </si>
  <si>
    <t>Chilco Ave</t>
  </si>
  <si>
    <t>Rail</t>
  </si>
  <si>
    <t>CN Rail</t>
  </si>
  <si>
    <t>Canfor R09185</t>
  </si>
  <si>
    <t>Nine Mile Creek</t>
  </si>
  <si>
    <t>Dog Creek FSR</t>
  </si>
  <si>
    <t>MOTI Unclassified</t>
  </si>
  <si>
    <t>Settlement Rd</t>
  </si>
  <si>
    <t>Goldie Creek</t>
  </si>
  <si>
    <t>Croft Creek</t>
  </si>
  <si>
    <t>Landaluza Rd</t>
  </si>
  <si>
    <t>Relief Creek</t>
  </si>
  <si>
    <t>Allen Creek</t>
  </si>
  <si>
    <t>Powder House Creek</t>
  </si>
  <si>
    <t>Decker Creek</t>
  </si>
  <si>
    <t>Gauvin Creek</t>
  </si>
  <si>
    <t>Guyishton Creek</t>
  </si>
  <si>
    <t>Highway 35</t>
  </si>
  <si>
    <t>Wardrop Creek</t>
  </si>
  <si>
    <t>Roumieu drive</t>
  </si>
  <si>
    <t>Steams Creek</t>
  </si>
  <si>
    <t>Tintagel Creek</t>
  </si>
  <si>
    <t>Unnamed</t>
  </si>
  <si>
    <t>Sheraton Creek</t>
  </si>
  <si>
    <t>Tchesinkut Creek</t>
  </si>
  <si>
    <t>Four Mile Creek</t>
  </si>
  <si>
    <t>Robertson Creek</t>
  </si>
  <si>
    <t>Lily Lake Rd</t>
  </si>
  <si>
    <t>Tributary to Smith Creek</t>
  </si>
  <si>
    <t>Smith Creek</t>
  </si>
  <si>
    <t>Neuro Creek</t>
  </si>
  <si>
    <t>Ens Rd</t>
  </si>
  <si>
    <t>Tributary to Neuco Creek</t>
  </si>
  <si>
    <t>Hulatt Creek</t>
  </si>
  <si>
    <t>Tributary to Cluculz Lake</t>
  </si>
  <si>
    <t>Norman Creek</t>
  </si>
  <si>
    <t>Lloyd Dr</t>
  </si>
  <si>
    <t>Tributary to Bednesti Lake</t>
  </si>
  <si>
    <t>Zelkwas Creek</t>
  </si>
  <si>
    <t>Isle Pierre Rd</t>
  </si>
  <si>
    <t>Sweden Creek</t>
  </si>
  <si>
    <t>Kellogg Creek</t>
  </si>
  <si>
    <t>Little Beaverley Creek</t>
  </si>
  <si>
    <t>Upper Mud River Rd</t>
  </si>
  <si>
    <t xml:space="preserve">Tributary to Chelako River </t>
  </si>
  <si>
    <t xml:space="preserve">Tributary to Chilako River </t>
  </si>
  <si>
    <t>Gregg FSR</t>
  </si>
  <si>
    <t>Tributary to Beaverley Creek</t>
  </si>
  <si>
    <t>East Beaverley Rd</t>
  </si>
  <si>
    <t>Closed Bottom Structure</t>
  </si>
  <si>
    <t>Round Culvert</t>
  </si>
  <si>
    <t>Open Bottom Structure</t>
  </si>
  <si>
    <t>Bridge</t>
  </si>
  <si>
    <t>Pipe Arch</t>
  </si>
  <si>
    <t>Oval Culvert</t>
  </si>
  <si>
    <t>Other</t>
  </si>
  <si>
    <t>Ford</t>
  </si>
  <si>
    <t>Concrete Box</t>
  </si>
  <si>
    <t>No</t>
  </si>
  <si>
    <t>Yes</t>
  </si>
  <si>
    <t>Deep Fill</t>
  </si>
  <si>
    <t>High</t>
  </si>
  <si>
    <t>Medium</t>
  </si>
  <si>
    <t>Low</t>
  </si>
  <si>
    <t>medium</t>
  </si>
  <si>
    <t>Moderate flow, wide stream with nice gravels upstream. Runs through rural area. Big outlet drop and deep pool.  Erosion and embankment issues above culvert on outlet side. Rainbow confirmed upstream.  FISS has 3m falls locaed 3.5km upstream of Decker Lake but suspect not actually an issue.</t>
  </si>
  <si>
    <t xml:space="preserve">Nice stream with good flow and abundant gravel throughout low gradients.  Adjacent property is northern wildlife design.  Crossing is currently 100% backwaters and passable to all life stages and species at these lower flow levels.                    </t>
  </si>
  <si>
    <t xml:space="preserve"> This is two 1.55 m pipes plus a 0.6 m overflow.  North large pipe has strange apron on inlet.  Stream is deeply insized (2.5 m deep) within agricultural field on downstream side.  No riparian for approximately 70 m downstream on right bank.  Stream is partially dewatered with stagnant pools throughout.  Forgie Creek dam,  owned by Hart George F/V B,  is upstream and may be influencing flow.  Channel is choked downstream with grasses in many places indicating flow is not occurring year around.           </t>
  </si>
  <si>
    <t xml:space="preserve">Was modelled as open bottom structure,  has now been changed to CBS.  Larger drainage with agricultural fields both upstream and downstream.  Heavily impacted riparian with primarily field on either side upstream and downstream.  Channel choked out with agronomic grasses.  Mostly dewatered except for intermittent stagnant pools.  Unassessed railway crossing downstream.          </t>
  </si>
  <si>
    <t xml:space="preserve"> Major beaver activity with inlet of pipe 3/4 blocked by mud.  0.6m overflow pipe also present.  Low gradient, willow dominated,  beaver influenced floodplain habitat upstream and downstream.  Pipe is backwatered however, the inlet is blocked so fish passage was not happening at time of assessment.  Crossing on railway upstream, not yet assessed.                 </t>
  </si>
  <si>
    <t>Dry channel.  Bridge.</t>
  </si>
  <si>
    <t>There are three 1.5m pipes located under Railway Avenue continuing all the way under the railway line.  Pipes are inbedded at or more than 50% of their depth.  Stream was dry at the time of assessment and scoured channels indicate a fairly small system.</t>
  </si>
  <si>
    <t xml:space="preserve"> Two pipes at 1.8 m each,  north pipe slightly lower than south pipe at outlet.  Good sized stream with great flow for this time of year on a dry year.  Abundant black algae on gravel and cobble substrate.  Very nice stream.  Appears to have decent riparian health adjacent to the crossing but riparian buffer to be enlarged particularly on upstream south side.  Downstream crossing on highway was fully backwatered and not a barrier at the time of assessment.        </t>
  </si>
  <si>
    <t>Dry at time of survey.  Abundant gravels throughout.  Crossing on railway downstream still unassessed.  Modelled crossing below.  First 5 m of pipe is rusted through on the bottom side.  Deeply incised banks upstream indicate the stream has a lot of flow at sometimes in the year with a decent amount of power. 9m falls ~1km upstream.Upstream Co-op Lake stocked with KO from 2017-2023 and EB from 1963-2023.</t>
  </si>
  <si>
    <t xml:space="preserve"> Three 4 m diameter pipes.  All three pipes are 100% backwatered, and passable.  Road prism and pipes appear to be in good condition.  Extensive beaver activity upstream and downstream.           </t>
  </si>
  <si>
    <t>Small stream with very good flow immediately adjacent to the mainstem of the Endako River.  Could be valuable Chinook rearing area during high flow periods.  Pipe is bent in the middle so top half is backwatered but the bottom half is not.  Small outlet drop.  There is a large lump in the road at the pipe and pylons have been set up here likely to warn drivers.</t>
  </si>
  <si>
    <t xml:space="preserve">Dry at time of survey.  Stream may be channelized upstream due to driveways to private properties on either side of the stream.  Appears to have narrow,  but decently healthy cottonwood dominated riparian,  which could help dissipate flows and floods and runoff.  Crack in Highway at culvert with minor erosion of road prism on downstream side.  Stream labelled as Ross creek on sign.           </t>
  </si>
  <si>
    <t xml:space="preserve">Dry with very poorly defined channel upstream and downstream.  Seems very unlikely that this system could support fish.  Pipe is rusted right through at the inlet for ~1m.  Pipe is in very bad shape. </t>
  </si>
  <si>
    <t xml:space="preserve">Dry at time of survey.  Upstream channel is choked with reed canary grass.  Downstream is extremely thick willow with multiple channels present.  Stream provides access to Drywilliam lake.  Road fill was measured at 12m,  but changed to 9.9 to satisfy provincial submission requirements.              </t>
  </si>
  <si>
    <t xml:space="preserve">Stream is extremely impacted by cattle ranching.  Banks eroded and trampled.  Algae indicates nutrient inputs from cows are high.  Pipes are old with a lot of rust.  Habitat value is currently very poor,  but historically would‚Äôve been high.  Still a good amount of flow for a dry year.  100% backwatered however,  depth of the water is only approximately 1 cm.  Absolutely no riparian vegetation or cattle exclusion fencing on the upstream side for as far as the eye can see (approximately 1 km.).           </t>
  </si>
  <si>
    <t xml:space="preserve">Two pipes (1.2m and 0.6m). 100% backwater. Guessing the pipes are embedded but cannot see due to poor water quality. This stream is extremely impacted by poor cattle ranching practices. There is no riparian fencing and cattle have completely trampled all the banks.  There is no riparian vegetation and water quality is extremely poor. This stream could likely be very productive for chinook and other species if eventually restored.           </t>
  </si>
  <si>
    <t>Pipe arch. Passable.  Modelled crossings 5406290 and 5400675 downstream adjacent to Burn's Lake shoreline have not been assessed.</t>
  </si>
  <si>
    <t xml:space="preserve"> Small drainage. Dry with primarily vegetated channel indicating does not flow much of the year. Culvert rusting at inlet. </t>
  </si>
  <si>
    <t xml:space="preserve">100% backwatered at time of assessment. Beaver dams downstream backwatering the crossing. Pipe and road prism in great shape. Fully passable for all species and life stages at the time of assessment. Some small amount of embeddedment but only for a small piece of the pipe diameter.  Known chinook system with significant restoration works upstream.  </t>
  </si>
  <si>
    <t>Good flow. Abundant gravel downstream and upstream. Pipes are both fully embedded with partial backwatering. Chinook point on the stream immediately adjacent to the site. Upstream left bank riparian has been cleared for what appears to be a parking space.  Upstream crossing on Stella Road could be addressed by MoT.</t>
  </si>
  <si>
    <t xml:space="preserve">Very nice stream with good flow and abundant gravels upstream and downstream. Landowner indicated sockeye spotted along shoreline years ago. Massive outlet drop. Deserves habitat confirmation and consideration for replacement if no natural barriers upstream. There is a PSCIS assessed site (assessment_id = 7622) upstream that is a barrier.         </t>
  </si>
  <si>
    <t xml:space="preserve">Very nice little stream with excellent flow for this time of year on a dry year. Crossing downstream on Gala Bay Road was fully embedded and passible at the time of the assessment. There is a historic chinook observation within this stream. This could be valuable Chinook rearing habitat and connectivity within the system should be restored, should no natural barriers be observed on a habitat confirmation assessment.           </t>
  </si>
  <si>
    <t xml:space="preserve">Very nice stream with excellent flow for this time of year on a dry year.  Very large deep outlet pool with extensive erosion undercutting the main pipe and 0.6 m overflow. Locally known as Dog Creek. Chinook captured upstream and downstream of Dog Creek FSR in 2021, 2022, and 2023 reported here https://a100.gov.bc.ca/pub/acat/public/viewReport.do?reportId=62942.  Connected to the Nechako River with observed chinook points downstream adjacent to the confluence. Road edge is failing at the culvert and eroding into stream. Highly degraded site upstream that would be a good candidate for restoration.      </t>
  </si>
  <si>
    <t>Extreme negative impacts due to cattle, particularly upstream of the FSR. Extensive trampling of the channel and banks, along with heavy grazing and removal of riparian. Dry at the time of assessment besides a small wallowing hole upstream of the inlet. Riparian exclusion fencing is required along with repairing vegetation, restoration irrigation, and monitoring. This is a fish bearing stream with high habitat values less than 2 km down the stream where it crosses Dog Creek Road.</t>
  </si>
  <si>
    <t>Bridge with sign from Fraser lake sawmills. Extensive cattle trampling underneath the bridge, but some decent amount of water at this location.</t>
  </si>
  <si>
    <t>Bridge. Good flow</t>
  </si>
  <si>
    <t xml:space="preserve">Two pipes at 0.6 m each. Agricultural field downstream. Appears that the stream has been modified to put the stream in the ditch of the agricultural field. Aird lake upstream with rainbow trout presence. Dry channel. Very small stream. Massive outlet drops. May have historically provided some rearing refuge for wetted periods of the year.           </t>
  </si>
  <si>
    <t xml:space="preserve">Dry at tme of assessment. One assessed crossing on private driveway located downstream. Stream is completely trampled and barely recognizable upstream due to cattle trampling and riparian removal. Downstream is ditch like with just grass and shrub riparian before mix forest begins proximately 40 m downstream of the road. Agricultural field on right back downstream. Some scouring of the channel downstream, but primarily choked with grasses indicating stream does not flow for much of the year lately.  </t>
  </si>
  <si>
    <t xml:space="preserve">Dry at time of assessment. Two other crossings located upstream on non-active forestry roads. Extensive beaver activity upstream with water above both upstream crossings. Could consider opportunity for upgrading this crossing and removing the upper two. </t>
  </si>
  <si>
    <t xml:space="preserve">Moti major structure. Beaver dam located approximately 30 m downstream has backwatered the entire structure.  </t>
  </si>
  <si>
    <t>Deactivated road. Ford passable by 4x4 vehicles</t>
  </si>
  <si>
    <t>Huge system with wide channel. Hundreds of fry spotted upstream and some in culvert. Deep outlet pool suggesting culvert may be undersized.  Extensive restoration activities in the watershed with many led by Nechako Environment and Watershed Stewardship Society.</t>
  </si>
  <si>
    <t xml:space="preserve">Grassy wetland habitat upstream and downstream. Culvert diameter used as channel width and stream slope estimated. Beaver grate present at inlet. Some flow in culvert.  </t>
  </si>
  <si>
    <t xml:space="preserve">Known chinook system upstream and down. Two culverts, only left one has water flowing through. Left one is warped in the middle. Very deep outlet pool. Wetland habitat upstream. Agricultural land downstream, with defined channel and good flow.  </t>
  </si>
  <si>
    <t xml:space="preserve">Agricultural land on both sides and cow pasture downstream. Fully backwatered culvert with no flowing water. Cows seen intruding into the stream channel at time of survey. </t>
  </si>
  <si>
    <t>Stream section is part of rehab project. New - fully backwatered structure likley passable to all life stages and species at time of assessment.</t>
  </si>
  <si>
    <t xml:space="preserve">No water in culvert. Dewatered upstream. Some standing water in outlet pool, then dewaters downstream. Clear signs of cattle intruding into channel upstream.  </t>
  </si>
  <si>
    <t xml:space="preserve">Three culverts. Water flowing through two pipes. The other one is dewatered, looks like it was installed too high. Overgrown channel upstream. Downstream goes through agricultural land. </t>
  </si>
  <si>
    <t xml:space="preserve">Wetland habitat upstream and downstream. Huge beaver dam on inlet side creating drop. Adjacent landowner Ron reports there are no fish near this location. He reports that beaver activity increased significantly in the past few years, that is the only reason there is water here.  </t>
  </si>
  <si>
    <t xml:space="preserve">Fully dewatered. Very small culvert. Signs of a stream channel but doesn't look like there has been water flowing in years.  </t>
  </si>
  <si>
    <t>No water in pipe. Periodic pools of standing water upstream and downstream but no flowing water. NEWWS has completed restoration work for this site with sign posted at this location. Culvert appears fully embedded in photos so have changed inputs to reflect this.</t>
  </si>
  <si>
    <t xml:space="preserve">Huge outlet pool, but no outlet drop. No water in pipe and no flowing water in stream. </t>
  </si>
  <si>
    <t xml:space="preserve">Dewatered.  Vegetated stream channel. Three culverts, diameter totaled. </t>
  </si>
  <si>
    <t>High quality habitat upstream, wide channel with good flow. Lots of instream vegetation near culvert.  Fully backwatered and passable at time of assessement.</t>
  </si>
  <si>
    <t>Wetland upstream and downstream. A lot of beaver activity upstream, big pond near inlet. Culvert is very warped on inlet side.  Chinook observations downstream on nearby Clear Creek.</t>
  </si>
  <si>
    <t>Upstream, overgrown with smaller channel. than downstream. Significant outlet drop.</t>
  </si>
  <si>
    <t xml:space="preserve">Two pipes, approx 15m apart but part of same system. No flowing water through either. Signs of beaver activity upstream. </t>
  </si>
  <si>
    <t xml:space="preserve">Big wetland upstream, beaver grate at inlet. Big debris jam in middle of culvert. Only water in pipe near inlet. Dewatered channel downstream at time of survey. </t>
  </si>
  <si>
    <t xml:space="preserve">High value habitat, wide channel with good flow and gravels. Known chinook system downstream. Culvert is very damaged near outlet. There are holes on bottom of pipe about 5m from outlet where water is running through and under the pipe. Culvert is angled down near outlet.  Good candidate for replacement.  </t>
  </si>
  <si>
    <t>Inlet almost completely blocked by debris and wood. Wetland upstream. Beaver dam blocking most of water just downstream of outlet pool.  Chinook observations noted downstream</t>
  </si>
  <si>
    <t>Big, deep outlet pool. Water is flowing from inlet under the pipe for ~10m and then entering pipe through small hole and then flowing in pipe to outlet.  Very near Nechako on unpaved road.  Perched pipe.</t>
  </si>
  <si>
    <t>Dewatered, no well-defined stream channel. Agricultural fields on both sides.  Embedddness estmated from photos.</t>
  </si>
  <si>
    <t>Very small channel. Agricultural fields upstream and downstream of crossing with no tree cover.  Seems likely historic wetland area.</t>
  </si>
  <si>
    <t>NA</t>
  </si>
  <si>
    <t xml:space="preserve">Dewatered pasture upstream with vegetated channel. Small channel downstream with no water. </t>
  </si>
  <si>
    <t>Restoration work conducted at this crossing. No flowing water at time of survey. Livestock field upstream. Goats seen trampling through stream channel.</t>
  </si>
  <si>
    <t xml:space="preserve">Landowner reports there hasn't been water in stream since the spring. </t>
  </si>
  <si>
    <t xml:space="preserve">Mostly dewated channel with small amount of water in outlet pool.. Large outlet drop. No well defined channel upstream. Channel width and gradient estimated as areas immediately upstream and downstream are fenced off. </t>
  </si>
  <si>
    <t xml:space="preserve">Two pipes. Dewatered at tiime of assessment.  Large outlet drop. Debris jam near outlet blocking channel. Grassy habitat upstream, with small channel. </t>
  </si>
  <si>
    <t xml:space="preserve">Dewatered at time of assessment. Very small channel upstream. Culvert was installed deep down into the valley. </t>
  </si>
  <si>
    <t>Dewatered at time of assessment. Small channel. Inlet side is fenced off by barbed wire.</t>
  </si>
  <si>
    <t xml:space="preserve">Three pipes. Dewatered at time of assessment. Culverts appear old and near end of life.  Vegetated channel within pasture land upstream. Large debris jam blocking inlet of middle culvert. </t>
  </si>
  <si>
    <t>Very big outlet drop and deep outlet pool. Trickle of water flowing through culvert. Dewatered downstream of outlet pool and dewatered upstream of culvert. Channel width taken upstream but channel is wider downstream of crossing. Culvert is warped and a little corroded.  Channel primarily vegetated.</t>
  </si>
  <si>
    <t>Very small channel downstream, wider upstream. Small amount of flow, grassy wetland habitat. Not likely fish bearing stream section. Considered medium habitat value due to larger size of watershed and presence of some water in drought period when many adjacent systems were dry.</t>
  </si>
  <si>
    <t>Wetland downstream.  Vegetated channel upstream. Several unassessed crossings downstream.</t>
  </si>
  <si>
    <t>Very big outlet drop. Small channel upstream, grassy habitat near crossing.  Chinook confirmed downstream on nearby Clear Creek.</t>
  </si>
  <si>
    <t>Deactivated road. Old culverts seen in pictures, now a ford.</t>
  </si>
  <si>
    <t>High habitat value.  Abundant gravels and wide channel. Two pipes that look very old but fully backwatered.  Chinook were captured downstream of Settlement Road culvert in 2021 (https://a100.gov.bc.ca/pub/acat/public/viewReport.do?reportId=61991).</t>
  </si>
  <si>
    <t xml:space="preserve">Two pipes (one at 1.8m, one at 1.5m), both with similar outlet drops. Inlet side has extensive beaver activity. Beaver dams are covering the inlet and culverts are not visible. Huge wetland upstream. Very big outlet pool so depth was estimated. Chinook were captured downstream of Settlement Road culvert in 2021 (https://a100.gov.bc.ca/pub/acat/public/viewReport.do?reportId=61991) and Rainbow Trout observed in stream from 2021-2023 (https://a100.gov.bc.ca/pub/acat/public/viewReport.do?reportId=61202 and https://a100.gov.bc.ca/pub/acat/public/viewReport.do?reportId=62942). Culverts should be replaced and beaver activity managed. Habitat looks good downstream. High habitat value at crossing upstream. </t>
  </si>
  <si>
    <t xml:space="preserve">Stream not flowing at the time of assessment.  Horse pasture downstream.  Fenced off on both sides of pipe.  Nechako Environment and Water Stewardship Society ( https://newssociety.org/watersheds/goldie-creek ) report that stream was historically impacted adjacent to this site when Highway 27 was constructed 20-30 years ago due to fill from the excavation of the highway contributing significant amounts of sediment into Stoney Creek and ultimately into the spawning beds of Nechako White Sturgeon just below the Stoney Creek/Nechako River confluence. Extensive works completed upstream of the crossing in 2021 including culvert replaced with bridge, installation of beaver dam analogues, riparian planting and addition of large woody debris just upstream of the crossing. </t>
  </si>
  <si>
    <t>Dewatered stream.  Large outlet pool. Pipe very corroded on outlet side. Wide stream channel upstream.  Grassy channel downstream.  Fully backwatered at time of assessdmnt.</t>
  </si>
  <si>
    <t>Wetland upstream and downstream. Culvert blocked with some debris and overgrown with vegetation. Probably hasn't been flow through pipe in a while.</t>
  </si>
  <si>
    <t xml:space="preserve">Long pipe, no outlet drop but culvert is partially backwatered at outlet. Small fish spotted in outlet pool. Upstream goes into private land and is fenced off. </t>
  </si>
  <si>
    <t xml:space="preserve">Dewatered at time of assessment.  Wide channel, private land on both sides. Culvert looks old and corroded, abundant fill in barrel. </t>
  </si>
  <si>
    <t xml:space="preserve">Dewatered at time of assessment. Small pool near outlet.  Rainbow confirmed in past upstream. Two 3m falls noted 450m upstream. in FISS. Culvert is very old, corroded and has holes in bottom. </t>
  </si>
  <si>
    <t>Two pipes at 1.1m diameter each. Debris jam blocking majority of inlet on both pipes.  Large channel dewatered at time of assessment.  Significant outlet drop on both culverts.  Two 3m high falls documented in FISS at ~500-600m upstream.  Rainbow trout historically captured upstream.  RB have historically been captured upstream</t>
  </si>
  <si>
    <t xml:space="preserve">Dewatered stream at time of survey. Wide channel, abundant boulders downstream of crossing. Rainbow confirmed upstream in past. Culvert is old and corroded badly on outlet side. Stream most likely flows under culvert near outlet during high flow. </t>
  </si>
  <si>
    <t>Very long culvert length and high fill depth, two pipes. Mostly dewatered stream. Small pools upstream, stagnant water. Small, confined channel. Can't see the other end of pipe, culvert slope estimated. Might be some blockage or culvert is bent in middle. Unassessed railway crossing just downstream.</t>
  </si>
  <si>
    <t xml:space="preserve">Small fry spotted in culvert and in outlet pool. Two pipes, both old and corroded with large outlet drops. Small holes in both pipes causing some water to flow under pipe. Very low fill depth, culverts almost at highway. Near Burns Lake, in residential area. Habitat looks good upstream. RB and LSU upstream in Guyishton Lake. </t>
  </si>
  <si>
    <t xml:space="preserve">Culvert almost fully embedded except for small section at inlet side. Small fish seen in culvert and upstream of crossing. Moderate flow, wide channel. RB confirmed upstream in past. </t>
  </si>
  <si>
    <t>Culvert is backwatered and fully submerged on inlet side.Outlet side barely visible. Wetland/grassy habitat upstream and downstream. Stagnant water present in pools, no flowing water. Assuming beaver activity due to beaver grate on intlet and beaver dam seen downstream in photos.  Silt fencing seen on downstream left bank and major erosion on downstream right bank, based on photos.</t>
  </si>
  <si>
    <t xml:space="preserve">Backwatered at outlet but some flow upstream and downstream.  Some gravels upstream.  Private property on both sides.  RB confirmed upstream.  Downstream railway crossing yet to be assessed. </t>
  </si>
  <si>
    <t>Wide channel, nicely installed moti major structure that appears passabel as fully embedded.  3m falls noted in FISS as 1.3 km upstream.  Railway crossing just downstream noted as passable in bcfishpass.</t>
  </si>
  <si>
    <t>Small trail, wide channel.</t>
  </si>
  <si>
    <t>Very wide channel, culvert is undersized and perched. Deep outlet pool and massive outlet drop. Small fish seen in outlet pool. RB confirmed in past upstream and downstream.  Just upstream of Babine Forest Products Ltd lumber yard.  Railway downstream needs to be assessed.</t>
  </si>
  <si>
    <t>Near entrance to lumber yard, Babine Forest Products Ltd. Barrier just upstream. Railway downstream has not been assessed yet. Big outlet drop with very deep pool. Wide stream channel with low water levels. RB upstream.</t>
  </si>
  <si>
    <t>Wetland downstream and upstream. Stream channel upstream is more defined. Pipe is fully backwatered.  Medium habitat value given due to presence of water at this location when other areas of this same stream were dry.</t>
  </si>
  <si>
    <t xml:space="preserve">Culverts runs underneath highway and railway. Outlet could not be located Creek found below railway and flows to the Endako confluence. Beaver grate on inlet side. </t>
  </si>
  <si>
    <t>Dewatered at time of assessment.  RB, LKC and LSU confirmed upstream in past. Foster Creek joins this stream just upstream of crossing. Old culvert, bent in middle. Unassessed railway crossing downstream.</t>
  </si>
  <si>
    <t xml:space="preserve">Dewatered at time of assessment. Fenced off private land on both sides. Small outlet drop. </t>
  </si>
  <si>
    <t>Wetland habitat upstream and downstream. Beaver in culvert at time of survey.  Beaver exclusion cage on inlet. Small debris jam at outlet. Fish presence confirmed just downstream of culvert.  Leg Lake just upstream.</t>
  </si>
  <si>
    <t>Wide stream channel, dewatered at time of survey.  Small pool near outlet, no flowing water.   Likely important migration corridor as this is a large system.</t>
  </si>
  <si>
    <t xml:space="preserve">Dewatered at time of assessment. Very small and hard to find channel. Overgrown and little stream substrate present. Upstream fenced off on private land. </t>
  </si>
  <si>
    <t>Dewatered stream. Upstream is in fenced off private land, no clear channel visible. More obvious channel downstream of crossing. Moderate outlet drop with big dry area that looks like it would be an outlet pool when the stream is flowing.</t>
  </si>
  <si>
    <t xml:space="preserve">Two pipes, they are closer together at outlet compared to inlet so they must be bent in middle. Dewatered. Fenced off private land downstream. Little riparian and evidence of cattle trampling. Upstream is in better shape, small channel visible. </t>
  </si>
  <si>
    <t xml:space="preserve">Dewatered. Fenced off private field upstream. Wide open grassy floodplain with little riparian and no channel visible. Downstream has wide area at outlet where pool used to be. Evidence of livestock trampling and/or big game near outlet. </t>
  </si>
  <si>
    <t xml:space="preserve">Culvert runs under active highway construction site. Inlet could not be accessed. Looks like they are excavating near inlet. Possible bridge construction? Stream is mostly dewatered but there is some stagnant water in culvert. Baffles in pipe. Habitat downstream looks good, with abundant woody debris and healthy riparian. </t>
  </si>
  <si>
    <t xml:space="preserve">Numerous baffles in pipe. Smaller secondary culvert next to main pipe but installed higher up so likely doesn't get much water. Little amount of flow in pipe but stops just short of outlet, most likely due to small split in pipe. Wide shallow outlet pool but no drop. Abundant algae on stream substrate upstream. RB and WSU confirmed up and downstream. </t>
  </si>
  <si>
    <t xml:space="preserve">Dewatered upstream and downstream. Baffle steps in culvert containing pools with water but no flow. Efforts being made upstream to restore riparian vegetation with fencing and saplings present. No clear channel downstream. Fish confirmed upstream in 2020.  </t>
  </si>
  <si>
    <t>2 pipes. Wetland area upstream, beaver grate on inlet. Signs of beaver activity, dam near outlet. Hard to determine stream channel width so used combined culvert diameter. Little trickle flowing through one pipe but other one is dewatered.  Considered medium value habitat due to presence of suitale rearing habitat and water in drought period.</t>
  </si>
  <si>
    <t xml:space="preserve">Outlet drop but no pool. Small amount of flow in pipe. Holes in bottom of pipe near outlet where water is flowing through and under. Very murky, turbid water upstream with no flow. Abundant boulders around outlet. </t>
  </si>
  <si>
    <t xml:space="preserve">4 pipes seen at outlet but only 2 bigger ones visible on inlet side. Only one big pipe has flowing water, has beaver grate on inlet. Small debris jam in front of inlet, likely from beaver. Upstream is grassy with little riparian on banks near crossing. Downstream is different, good habitat and wide channel. Very deep, wide outlet pool. Small fish seen in pool.  No fish confirmed on system. </t>
  </si>
  <si>
    <t xml:space="preserve">Chinook confirmed upstream in past.  Two pipes, only one had water flowing through at time of survey. Small outlet drop. Abundant boulders present downstream. High value habitat upstream with wide channel and gravels present. </t>
  </si>
  <si>
    <t xml:space="preserve">Two pipes but only one is functioning and has small amount of flow through it. Very small channel.  Observed chinook in FISS downstream of confluence with Beaverley Creek at ~100m from the crossing and ~30m from the confluence. </t>
  </si>
  <si>
    <t>Small stream, very close to Chelako confluence.  Large outlet drop but no deep outlet pool. Abundant gravels upstream.</t>
  </si>
  <si>
    <t xml:space="preserve">Dewatered stream, small channel with little to no gravels or cobbles. Two pipes but only one functioning. with other pipe is not visible at outlet. </t>
  </si>
  <si>
    <t>Obvious signs of beaver activity. Big dam near inlet and small dam just downstream of outlet as well. Small channel downstream with no water with wetland upstream.</t>
  </si>
  <si>
    <t xml:space="preserve">Two pipes and one overflow pipe. Small amount of flowing water through one pipe. Wetland type habitat downstream with beaver dam near outlet. Medium sized channel downstream with medium value habitat with functional woody debris and some gravels. </t>
  </si>
  <si>
    <t>Agricultural land on both sides and cow pasture downstream. Fully backwatered culvert with no flowing water. Cows seen in stream channel at time of survey.  Chinook observation upstream from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</si>
</sst>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0" borderId="0" xfId="0" applyFill="1" applyProtection="1">
      <protection locked="0"/>
    </xf>
    <xf numFmtId="2" fontId="1" fillId="0" borderId="0" xfId="3" applyNumberFormat="1" applyFill="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5">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7" zoomScale="140" zoomScaleNormal="140"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30" zoomScaleNormal="130" workbookViewId="0">
      <selection activeCell="B6" sqref="B6"/>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97</v>
      </c>
    </row>
    <row r="5" spans="1:20">
      <c r="A5" s="4" t="s">
        <v>58</v>
      </c>
      <c r="B5" t="s">
        <v>98</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8">
    <cfRule type="containsBlanks" dxfId="12" priority="11" stopIfTrue="1">
      <formula>LEN(TRIM(B8))=0</formula>
    </cfRule>
  </conditionalFormatting>
  <conditionalFormatting sqref="B17:B18">
    <cfRule type="containsBlanks" dxfId="10" priority="7" stopIfTrue="1">
      <formula>LEN(TRIM(B17))=0</formula>
    </cfRule>
  </conditionalFormatting>
  <conditionalFormatting sqref="B4">
    <cfRule type="containsBlanks" dxfId="9" priority="12" stopIfTrue="1">
      <formula>LEN(TRIM(B4))=0</formula>
    </cfRule>
  </conditionalFormatting>
  <conditionalFormatting sqref="B7">
    <cfRule type="containsBlanks" dxfId="5" priority="6" stopIfTrue="1">
      <formula>LEN(TRIM(B7))=0</formula>
    </cfRule>
  </conditionalFormatting>
  <conditionalFormatting sqref="B9">
    <cfRule type="containsBlanks" dxfId="4" priority="5" stopIfTrue="1">
      <formula>LEN(TRIM(B9))=0</formula>
    </cfRule>
  </conditionalFormatting>
  <conditionalFormatting sqref="B10">
    <cfRule type="containsBlanks" dxfId="3" priority="4" stopIfTrue="1">
      <formula>LEN(TRIM(B10))=0</formula>
    </cfRule>
  </conditionalFormatting>
  <conditionalFormatting sqref="B12">
    <cfRule type="containsBlanks" dxfId="2" priority="3" stopIfTrue="1">
      <formula>LEN(TRIM(B12))=0</formula>
    </cfRule>
  </conditionalFormatting>
  <conditionalFormatting sqref="B13:B15">
    <cfRule type="containsBlanks" dxfId="1" priority="2" stopIfTrue="1">
      <formula>LEN(TRIM(B13))=0</formula>
    </cfRule>
  </conditionalFormatting>
  <conditionalFormatting sqref="B5">
    <cfRule type="containsBlanks" dxfId="0" priority="1" stopIfTrue="1">
      <formula>LEN(TRIM(B5))=0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5 B10 B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D8FE849C-B43B-F841-974E-B16AE27F876C}"/>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Normal="100" workbookViewId="0">
      <pane ySplit="4" topLeftCell="A109" activePane="bottomLeft" state="frozen"/>
      <selection pane="bottomLeft" activeCell="C118" sqref="C11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45197</v>
      </c>
      <c r="C5" s="10">
        <v>5400450</v>
      </c>
      <c r="D5" s="10" t="s">
        <v>99</v>
      </c>
      <c r="E5" s="11">
        <v>9</v>
      </c>
      <c r="F5" s="39">
        <v>693922</v>
      </c>
      <c r="G5" s="39">
        <v>6032097</v>
      </c>
      <c r="H5" s="11" t="s">
        <v>102</v>
      </c>
      <c r="I5" s="11" t="s">
        <v>103</v>
      </c>
      <c r="J5" s="33"/>
      <c r="K5" s="11" t="s">
        <v>104</v>
      </c>
      <c r="L5" s="10" t="s">
        <v>243</v>
      </c>
      <c r="M5" s="10" t="s">
        <v>244</v>
      </c>
      <c r="N5" s="86">
        <v>2.5</v>
      </c>
      <c r="O5" s="86">
        <v>32</v>
      </c>
      <c r="P5" s="85" t="s">
        <v>252</v>
      </c>
      <c r="Q5" s="88"/>
      <c r="R5" s="85" t="s">
        <v>252</v>
      </c>
      <c r="S5" s="85" t="s">
        <v>252</v>
      </c>
      <c r="T5" s="88"/>
      <c r="U5" s="85">
        <v>2</v>
      </c>
      <c r="V5" s="85">
        <v>1</v>
      </c>
      <c r="W5" s="85">
        <v>0.9</v>
      </c>
      <c r="X5" s="85" t="s">
        <v>252</v>
      </c>
      <c r="Y5" s="85">
        <v>0</v>
      </c>
      <c r="Z5" s="85">
        <v>3.1</v>
      </c>
      <c r="AA5" s="85">
        <v>2</v>
      </c>
      <c r="AB5" s="10" t="s">
        <v>252</v>
      </c>
      <c r="AC5" s="10" t="s">
        <v>252</v>
      </c>
      <c r="AD5" s="85" t="s">
        <v>254</v>
      </c>
      <c r="AE5" s="85" t="s">
        <v>255</v>
      </c>
      <c r="AF5" s="20">
        <f>IF(ISBLANK(Z5), 0, IF(ISBLANK(N5) &lt; 0, 0,Z5 / N5))</f>
        <v>1.24</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0</v>
      </c>
      <c r="AK5" s="7">
        <f>IF(AF5&lt;1,0,IF(AND(AF5&gt;=1,AF5&lt;1.3),3,IF(AF5&gt;=1.3,6,0)))</f>
        <v>3</v>
      </c>
      <c r="AL5" s="12">
        <f>AG5 + AH5 + AI5 + AJ5 + AK5</f>
        <v>29</v>
      </c>
      <c r="AM5" s="14" t="str">
        <f>IF(ISBLANK(L5), "", IF(L5 = "Open Bottom Structure", "Passable", IF(L5 = "Other", "Unknown", IF(AL5 &lt; 15, "Passable", IF(AND(AL5 &gt;= 15,AL5 &lt;= 19), "Potential", IF(AL5 &gt; 19, "Barrier", ""))))))</f>
        <v>Barrier</v>
      </c>
      <c r="AN5" s="85"/>
      <c r="AO5" s="85"/>
      <c r="AP5" s="78" t="s">
        <v>259</v>
      </c>
    </row>
    <row r="6" spans="1:42" ht="16">
      <c r="A6" s="59">
        <v>45197</v>
      </c>
      <c r="C6" s="10">
        <v>5400446</v>
      </c>
      <c r="D6" s="10" t="s">
        <v>100</v>
      </c>
      <c r="E6" s="11">
        <v>10</v>
      </c>
      <c r="F6" s="39">
        <v>307446</v>
      </c>
      <c r="G6" s="39">
        <v>6030655</v>
      </c>
      <c r="H6" s="10" t="s">
        <v>105</v>
      </c>
      <c r="I6" s="11" t="s">
        <v>106</v>
      </c>
      <c r="J6" s="33"/>
      <c r="K6" s="10" t="s">
        <v>104</v>
      </c>
      <c r="L6" s="10" t="s">
        <v>243</v>
      </c>
      <c r="M6" s="10" t="s">
        <v>244</v>
      </c>
      <c r="N6" s="86">
        <v>2.25</v>
      </c>
      <c r="O6" s="86">
        <v>22</v>
      </c>
      <c r="P6" s="85" t="s">
        <v>252</v>
      </c>
      <c r="Q6" s="88"/>
      <c r="R6" s="85" t="s">
        <v>252</v>
      </c>
      <c r="S6" s="85" t="s">
        <v>253</v>
      </c>
      <c r="T6" s="85">
        <v>100</v>
      </c>
      <c r="U6" s="85">
        <v>1</v>
      </c>
      <c r="V6" s="85">
        <v>0</v>
      </c>
      <c r="W6" s="85">
        <v>0.3</v>
      </c>
      <c r="X6" s="85" t="s">
        <v>252</v>
      </c>
      <c r="Y6" s="85">
        <v>1.5</v>
      </c>
      <c r="Z6" s="85">
        <v>3.8</v>
      </c>
      <c r="AA6" s="85">
        <v>2</v>
      </c>
      <c r="AB6" s="10" t="s">
        <v>252</v>
      </c>
      <c r="AC6" s="10" t="s">
        <v>252</v>
      </c>
      <c r="AD6" s="85" t="s">
        <v>254</v>
      </c>
      <c r="AE6" s="85" t="s">
        <v>255</v>
      </c>
      <c r="AF6" s="20">
        <f t="shared" ref="AF6:AF11" si="0">IF(ISBLANK(Z6), 0, IF(ISBLANK(N6) &lt; 0, 0,Z6 / N6))</f>
        <v>1.6888888888888889</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88"/>
      <c r="AO6" s="88"/>
      <c r="AP6" s="78" t="s">
        <v>260</v>
      </c>
    </row>
    <row r="7" spans="1:42" ht="16">
      <c r="A7" s="59">
        <v>45197</v>
      </c>
      <c r="C7" s="10">
        <v>5400442</v>
      </c>
      <c r="D7" s="10" t="s">
        <v>100</v>
      </c>
      <c r="E7" s="11">
        <v>10</v>
      </c>
      <c r="F7" s="39">
        <v>311759</v>
      </c>
      <c r="G7" s="39">
        <v>6025526</v>
      </c>
      <c r="H7" s="10" t="s">
        <v>107</v>
      </c>
      <c r="I7" s="11" t="s">
        <v>106</v>
      </c>
      <c r="J7" s="33"/>
      <c r="K7" s="10" t="s">
        <v>104</v>
      </c>
      <c r="L7" s="10" t="s">
        <v>243</v>
      </c>
      <c r="M7" s="10" t="s">
        <v>244</v>
      </c>
      <c r="N7" s="87">
        <v>7.1</v>
      </c>
      <c r="O7" s="87">
        <v>24</v>
      </c>
      <c r="P7" s="85" t="s">
        <v>252</v>
      </c>
      <c r="Q7" s="88"/>
      <c r="R7" s="85" t="s">
        <v>252</v>
      </c>
      <c r="S7" s="85" t="s">
        <v>252</v>
      </c>
      <c r="T7" s="88"/>
      <c r="U7" s="85">
        <v>1.8</v>
      </c>
      <c r="V7" s="85">
        <v>0.85</v>
      </c>
      <c r="W7" s="85">
        <v>1.3</v>
      </c>
      <c r="X7" s="85" t="s">
        <v>252</v>
      </c>
      <c r="Y7" s="85">
        <v>2.5</v>
      </c>
      <c r="Z7" s="85">
        <v>10</v>
      </c>
      <c r="AA7" s="85">
        <v>1.5</v>
      </c>
      <c r="AB7" s="10" t="s">
        <v>252</v>
      </c>
      <c r="AC7" s="10" t="s">
        <v>252</v>
      </c>
      <c r="AD7" s="85" t="s">
        <v>254</v>
      </c>
      <c r="AE7" s="85" t="s">
        <v>256</v>
      </c>
      <c r="AF7" s="20">
        <f t="shared" si="0"/>
        <v>1.4084507042253522</v>
      </c>
      <c r="AG7" s="13">
        <f t="shared" si="1"/>
        <v>3</v>
      </c>
      <c r="AH7" s="7">
        <f t="shared" si="2"/>
        <v>10</v>
      </c>
      <c r="AI7" s="7">
        <f t="shared" si="3"/>
        <v>10</v>
      </c>
      <c r="AJ7" s="7">
        <f t="shared" si="4"/>
        <v>5</v>
      </c>
      <c r="AK7" s="7">
        <f t="shared" si="5"/>
        <v>6</v>
      </c>
      <c r="AL7" s="12">
        <f t="shared" si="6"/>
        <v>34</v>
      </c>
      <c r="AM7" s="14" t="str">
        <f t="shared" si="7"/>
        <v>Barrier</v>
      </c>
      <c r="AN7" s="88"/>
      <c r="AO7" s="88"/>
      <c r="AP7" s="10" t="s">
        <v>261</v>
      </c>
    </row>
    <row r="8" spans="1:42" ht="16">
      <c r="A8" s="59">
        <v>45197</v>
      </c>
      <c r="B8" s="82"/>
      <c r="C8" s="10">
        <v>24707052</v>
      </c>
      <c r="D8" s="10" t="s">
        <v>100</v>
      </c>
      <c r="E8" s="11">
        <v>10</v>
      </c>
      <c r="F8" s="39">
        <v>311577</v>
      </c>
      <c r="G8" s="39">
        <v>6025364</v>
      </c>
      <c r="H8" s="10" t="s">
        <v>108</v>
      </c>
      <c r="I8" s="11" t="s">
        <v>109</v>
      </c>
      <c r="J8" s="79"/>
      <c r="K8" s="81" t="s">
        <v>104</v>
      </c>
      <c r="L8" s="10" t="s">
        <v>243</v>
      </c>
      <c r="M8" s="10" t="s">
        <v>244</v>
      </c>
      <c r="N8" s="87">
        <v>3.6</v>
      </c>
      <c r="O8" s="87">
        <v>22.5</v>
      </c>
      <c r="P8" s="85" t="s">
        <v>252</v>
      </c>
      <c r="Q8" s="88"/>
      <c r="R8" s="85" t="s">
        <v>252</v>
      </c>
      <c r="S8" s="85" t="s">
        <v>252</v>
      </c>
      <c r="T8" s="88"/>
      <c r="U8" s="85">
        <v>2</v>
      </c>
      <c r="V8" s="85">
        <v>0</v>
      </c>
      <c r="W8" s="85">
        <v>0.6</v>
      </c>
      <c r="X8" s="85" t="s">
        <v>252</v>
      </c>
      <c r="Y8" s="85">
        <v>0</v>
      </c>
      <c r="Z8" s="85">
        <v>4</v>
      </c>
      <c r="AA8" s="85">
        <v>0.5</v>
      </c>
      <c r="AB8" s="10" t="s">
        <v>252</v>
      </c>
      <c r="AC8" s="10" t="s">
        <v>252</v>
      </c>
      <c r="AD8" s="85" t="s">
        <v>254</v>
      </c>
      <c r="AE8" s="85" t="s">
        <v>256</v>
      </c>
      <c r="AF8" s="20">
        <f t="shared" si="0"/>
        <v>1.1111111111111112</v>
      </c>
      <c r="AG8" s="13">
        <f t="shared" si="1"/>
        <v>3</v>
      </c>
      <c r="AH8" s="7">
        <f t="shared" si="2"/>
        <v>10</v>
      </c>
      <c r="AI8" s="7">
        <f t="shared" si="3"/>
        <v>0</v>
      </c>
      <c r="AJ8" s="7">
        <f t="shared" si="4"/>
        <v>0</v>
      </c>
      <c r="AK8" s="7">
        <f t="shared" si="5"/>
        <v>3</v>
      </c>
      <c r="AL8" s="12">
        <f t="shared" si="6"/>
        <v>16</v>
      </c>
      <c r="AM8" s="14" t="str">
        <f t="shared" si="7"/>
        <v>Potential</v>
      </c>
      <c r="AN8" s="85"/>
      <c r="AO8" s="85"/>
      <c r="AP8" s="10" t="s">
        <v>262</v>
      </c>
    </row>
    <row r="9" spans="1:42" ht="16">
      <c r="A9" s="59">
        <v>45197</v>
      </c>
      <c r="C9" s="10">
        <v>5400589</v>
      </c>
      <c r="D9" s="10" t="s">
        <v>100</v>
      </c>
      <c r="E9" s="11">
        <v>10</v>
      </c>
      <c r="F9" s="39">
        <v>311154</v>
      </c>
      <c r="G9" s="39">
        <v>6025092</v>
      </c>
      <c r="H9" s="78" t="s">
        <v>108</v>
      </c>
      <c r="I9" s="11" t="s">
        <v>110</v>
      </c>
      <c r="J9" s="33"/>
      <c r="K9" s="81" t="s">
        <v>104</v>
      </c>
      <c r="L9" s="10" t="s">
        <v>243</v>
      </c>
      <c r="M9" s="10" t="s">
        <v>244</v>
      </c>
      <c r="N9" s="87">
        <v>1.7</v>
      </c>
      <c r="O9" s="87">
        <v>21.5</v>
      </c>
      <c r="P9" s="85" t="s">
        <v>252</v>
      </c>
      <c r="Q9" s="88"/>
      <c r="R9" s="85" t="s">
        <v>252</v>
      </c>
      <c r="S9" s="85" t="s">
        <v>253</v>
      </c>
      <c r="T9" s="85">
        <v>100</v>
      </c>
      <c r="U9" s="85">
        <v>1</v>
      </c>
      <c r="V9" s="85">
        <v>0</v>
      </c>
      <c r="W9" s="85">
        <v>1</v>
      </c>
      <c r="X9" s="85" t="s">
        <v>252</v>
      </c>
      <c r="Y9" s="85">
        <v>0</v>
      </c>
      <c r="Z9" s="85">
        <v>4.5</v>
      </c>
      <c r="AA9" s="85">
        <v>0</v>
      </c>
      <c r="AB9" s="10" t="s">
        <v>253</v>
      </c>
      <c r="AC9" s="10" t="s">
        <v>252</v>
      </c>
      <c r="AD9" s="85" t="s">
        <v>254</v>
      </c>
      <c r="AE9" s="85" t="s">
        <v>256</v>
      </c>
      <c r="AF9" s="20">
        <f t="shared" si="0"/>
        <v>2.6470588235294117</v>
      </c>
      <c r="AG9" s="13">
        <f t="shared" si="1"/>
        <v>3</v>
      </c>
      <c r="AH9" s="7">
        <f t="shared" si="2"/>
        <v>10</v>
      </c>
      <c r="AI9" s="7">
        <f t="shared" si="3"/>
        <v>0</v>
      </c>
      <c r="AJ9" s="7">
        <f t="shared" si="4"/>
        <v>0</v>
      </c>
      <c r="AK9" s="7">
        <f t="shared" si="5"/>
        <v>6</v>
      </c>
      <c r="AL9" s="12">
        <f t="shared" si="6"/>
        <v>19</v>
      </c>
      <c r="AM9" s="14" t="str">
        <f t="shared" si="7"/>
        <v>Potential</v>
      </c>
      <c r="AN9" s="88"/>
      <c r="AO9" s="88"/>
      <c r="AP9" s="10" t="s">
        <v>263</v>
      </c>
    </row>
    <row r="10" spans="1:42" ht="16">
      <c r="A10" s="59">
        <v>45197</v>
      </c>
      <c r="C10" s="10">
        <v>5400159</v>
      </c>
      <c r="D10" s="10" t="s">
        <v>100</v>
      </c>
      <c r="E10" s="11">
        <v>10</v>
      </c>
      <c r="F10" s="39">
        <v>319797</v>
      </c>
      <c r="G10" s="39">
        <v>6012952</v>
      </c>
      <c r="H10" s="78" t="s">
        <v>111</v>
      </c>
      <c r="I10" s="11" t="s">
        <v>112</v>
      </c>
      <c r="J10" s="33"/>
      <c r="K10" s="10" t="s">
        <v>113</v>
      </c>
      <c r="L10" s="10" t="s">
        <v>245</v>
      </c>
      <c r="M10" s="10" t="s">
        <v>246</v>
      </c>
      <c r="N10" s="87">
        <v>4</v>
      </c>
      <c r="O10" s="87">
        <v>11</v>
      </c>
      <c r="P10" s="88"/>
      <c r="Q10" s="89"/>
      <c r="R10" s="88"/>
      <c r="S10" s="88"/>
      <c r="T10" s="89"/>
      <c r="U10" s="89"/>
      <c r="V10" s="88"/>
      <c r="W10" s="89"/>
      <c r="X10" s="88"/>
      <c r="Y10" s="89"/>
      <c r="Z10" s="89"/>
      <c r="AA10" s="88"/>
      <c r="AB10" s="10" t="s">
        <v>252</v>
      </c>
      <c r="AC10" s="10" t="s">
        <v>252</v>
      </c>
      <c r="AD10" s="88"/>
      <c r="AE10" s="88"/>
      <c r="AF10" s="20">
        <f t="shared" si="0"/>
        <v>0</v>
      </c>
      <c r="AG10" s="13">
        <f t="shared" si="1"/>
        <v>0</v>
      </c>
      <c r="AH10" s="7">
        <f t="shared" si="2"/>
        <v>0</v>
      </c>
      <c r="AI10" s="7">
        <f t="shared" si="3"/>
        <v>0</v>
      </c>
      <c r="AJ10" s="7">
        <f t="shared" si="4"/>
        <v>0</v>
      </c>
      <c r="AK10" s="7">
        <f t="shared" si="5"/>
        <v>0</v>
      </c>
      <c r="AL10" s="12">
        <f t="shared" si="6"/>
        <v>0</v>
      </c>
      <c r="AM10" s="14" t="str">
        <f t="shared" si="7"/>
        <v>Passable</v>
      </c>
      <c r="AN10" s="88"/>
      <c r="AO10" s="89"/>
      <c r="AP10" s="10" t="s">
        <v>264</v>
      </c>
    </row>
    <row r="11" spans="1:42" ht="16">
      <c r="A11" s="59">
        <v>45197</v>
      </c>
      <c r="C11" s="78">
        <v>5400179</v>
      </c>
      <c r="D11" s="10" t="s">
        <v>100</v>
      </c>
      <c r="E11" s="10">
        <v>10</v>
      </c>
      <c r="F11" s="80">
        <v>319471</v>
      </c>
      <c r="G11" s="80">
        <v>6012988</v>
      </c>
      <c r="H11" s="78" t="s">
        <v>111</v>
      </c>
      <c r="I11" s="11" t="s">
        <v>114</v>
      </c>
      <c r="J11" s="33"/>
      <c r="K11" s="10" t="s">
        <v>113</v>
      </c>
      <c r="L11" s="10" t="s">
        <v>243</v>
      </c>
      <c r="M11" s="10" t="s">
        <v>244</v>
      </c>
      <c r="N11" s="87">
        <v>4.5</v>
      </c>
      <c r="O11" s="87">
        <v>37.5</v>
      </c>
      <c r="P11" s="85" t="s">
        <v>253</v>
      </c>
      <c r="Q11" s="87">
        <v>0.75</v>
      </c>
      <c r="R11" s="85" t="s">
        <v>253</v>
      </c>
      <c r="S11" s="85" t="s">
        <v>252</v>
      </c>
      <c r="T11" s="89"/>
      <c r="U11" s="87">
        <v>1.5</v>
      </c>
      <c r="V11" s="85">
        <v>0</v>
      </c>
      <c r="W11" s="87">
        <v>0</v>
      </c>
      <c r="X11" s="85" t="s">
        <v>252</v>
      </c>
      <c r="Y11" s="87">
        <v>0</v>
      </c>
      <c r="Z11" s="87">
        <v>2.8</v>
      </c>
      <c r="AA11" s="85">
        <v>0</v>
      </c>
      <c r="AB11" s="10" t="s">
        <v>253</v>
      </c>
      <c r="AC11" s="10" t="s">
        <v>252</v>
      </c>
      <c r="AD11" s="85" t="s">
        <v>254</v>
      </c>
      <c r="AE11" s="85" t="s">
        <v>256</v>
      </c>
      <c r="AF11" s="20">
        <f t="shared" si="0"/>
        <v>0.62222222222222223</v>
      </c>
      <c r="AG11" s="13">
        <f t="shared" si="1"/>
        <v>6</v>
      </c>
      <c r="AH11" s="7">
        <f t="shared" si="2"/>
        <v>5</v>
      </c>
      <c r="AI11" s="7">
        <f t="shared" si="3"/>
        <v>0</v>
      </c>
      <c r="AJ11" s="7">
        <f>IF(Y11&lt;1,0,IF(AND(Y11&gt;=1,Y11&lt;3),5,IF(Y11&gt;=3,10,0)))</f>
        <v>0</v>
      </c>
      <c r="AK11" s="7">
        <f t="shared" si="5"/>
        <v>0</v>
      </c>
      <c r="AL11" s="12">
        <f t="shared" si="6"/>
        <v>11</v>
      </c>
      <c r="AM11" s="14" t="str">
        <f t="shared" si="7"/>
        <v>Passable</v>
      </c>
      <c r="AN11" s="88"/>
      <c r="AO11" s="88"/>
      <c r="AP11" s="10" t="s">
        <v>265</v>
      </c>
    </row>
    <row r="12" spans="1:42" ht="16">
      <c r="A12" s="59">
        <v>45198</v>
      </c>
      <c r="C12" s="10">
        <v>5400423</v>
      </c>
      <c r="D12" s="10" t="s">
        <v>100</v>
      </c>
      <c r="E12" s="11">
        <v>10</v>
      </c>
      <c r="F12" s="39">
        <v>327463</v>
      </c>
      <c r="G12" s="39">
        <v>6011366</v>
      </c>
      <c r="H12" s="11" t="s">
        <v>115</v>
      </c>
      <c r="I12" s="11" t="s">
        <v>116</v>
      </c>
      <c r="J12" s="33"/>
      <c r="K12" s="11" t="s">
        <v>104</v>
      </c>
      <c r="L12" s="10" t="s">
        <v>243</v>
      </c>
      <c r="M12" s="10" t="s">
        <v>244</v>
      </c>
      <c r="N12" s="87">
        <v>3.6</v>
      </c>
      <c r="O12" s="87">
        <v>21.5</v>
      </c>
      <c r="P12" s="85" t="s">
        <v>252</v>
      </c>
      <c r="Q12" s="88"/>
      <c r="R12" s="85" t="s">
        <v>252</v>
      </c>
      <c r="S12" s="85" t="s">
        <v>253</v>
      </c>
      <c r="T12" s="87">
        <v>60</v>
      </c>
      <c r="U12" s="87">
        <v>1</v>
      </c>
      <c r="V12" s="85">
        <v>0</v>
      </c>
      <c r="W12" s="87">
        <v>0.1</v>
      </c>
      <c r="X12" s="85" t="s">
        <v>252</v>
      </c>
      <c r="Y12" s="87">
        <v>1.5</v>
      </c>
      <c r="Z12" s="87">
        <v>5</v>
      </c>
      <c r="AA12" s="85">
        <v>1.5</v>
      </c>
      <c r="AB12" s="10" t="s">
        <v>252</v>
      </c>
      <c r="AC12" s="10" t="s">
        <v>252</v>
      </c>
      <c r="AD12" s="85" t="s">
        <v>254</v>
      </c>
      <c r="AE12" s="85" t="s">
        <v>255</v>
      </c>
      <c r="AF12" s="20">
        <f t="shared" ref="AF12:AF72" si="8">IF(ISBLANK(Z12), 0, IF(ISBLANK(N12) &lt; 0, 0,Z12 / N12))</f>
        <v>1.3888888888888888</v>
      </c>
      <c r="AG12" s="13">
        <f t="shared" si="1"/>
        <v>3</v>
      </c>
      <c r="AH12" s="7">
        <f t="shared" si="2"/>
        <v>10</v>
      </c>
      <c r="AI12" s="7">
        <f t="shared" si="3"/>
        <v>0</v>
      </c>
      <c r="AJ12" s="7">
        <f t="shared" si="4"/>
        <v>5</v>
      </c>
      <c r="AK12" s="7">
        <f t="shared" si="5"/>
        <v>6</v>
      </c>
      <c r="AL12" s="12">
        <f t="shared" ref="AL12:AL70" si="9">AG12 + AH12 + AI12 + AJ12 + AK12</f>
        <v>24</v>
      </c>
      <c r="AM12" s="14" t="str">
        <f t="shared" si="7"/>
        <v>Barrier</v>
      </c>
      <c r="AN12" s="85"/>
      <c r="AO12" s="87"/>
      <c r="AP12" s="10" t="s">
        <v>266</v>
      </c>
    </row>
    <row r="13" spans="1:42" ht="32">
      <c r="A13" s="59">
        <v>45198</v>
      </c>
      <c r="C13" s="10">
        <v>5400216</v>
      </c>
      <c r="D13" s="10" t="s">
        <v>100</v>
      </c>
      <c r="E13" s="11">
        <v>10</v>
      </c>
      <c r="F13" s="39">
        <v>341709</v>
      </c>
      <c r="G13" s="39">
        <v>6003118</v>
      </c>
      <c r="H13" s="11" t="s">
        <v>107</v>
      </c>
      <c r="I13" s="11" t="s">
        <v>106</v>
      </c>
      <c r="K13" s="11" t="s">
        <v>104</v>
      </c>
      <c r="L13" s="10" t="s">
        <v>243</v>
      </c>
      <c r="M13" s="10" t="s">
        <v>244</v>
      </c>
      <c r="N13" s="87">
        <v>1.8</v>
      </c>
      <c r="O13" s="87">
        <v>25</v>
      </c>
      <c r="P13" s="85" t="s">
        <v>252</v>
      </c>
      <c r="Q13" s="88"/>
      <c r="R13" s="85" t="s">
        <v>253</v>
      </c>
      <c r="S13" s="85" t="s">
        <v>252</v>
      </c>
      <c r="T13" s="88"/>
      <c r="U13" s="87">
        <v>2</v>
      </c>
      <c r="V13" s="85">
        <v>0</v>
      </c>
      <c r="W13" s="87">
        <v>0.3</v>
      </c>
      <c r="X13" s="85" t="s">
        <v>252</v>
      </c>
      <c r="Y13" s="87">
        <v>2</v>
      </c>
      <c r="Z13" s="87">
        <v>2.6</v>
      </c>
      <c r="AA13" s="85">
        <v>1</v>
      </c>
      <c r="AB13" s="10" t="s">
        <v>252</v>
      </c>
      <c r="AC13" s="10" t="s">
        <v>252</v>
      </c>
      <c r="AD13" s="85" t="s">
        <v>254</v>
      </c>
      <c r="AE13" s="85" t="s">
        <v>256</v>
      </c>
      <c r="AF13" s="20">
        <f t="shared" si="8"/>
        <v>1.4444444444444444</v>
      </c>
      <c r="AG13" s="13">
        <f t="shared" si="1"/>
        <v>3</v>
      </c>
      <c r="AH13" s="7">
        <f t="shared" si="2"/>
        <v>10</v>
      </c>
      <c r="AI13" s="7">
        <f t="shared" si="3"/>
        <v>0</v>
      </c>
      <c r="AJ13" s="7">
        <f t="shared" si="4"/>
        <v>5</v>
      </c>
      <c r="AK13" s="7">
        <f t="shared" si="5"/>
        <v>6</v>
      </c>
      <c r="AL13" s="12">
        <f t="shared" si="9"/>
        <v>24</v>
      </c>
      <c r="AM13" s="14" t="str">
        <f t="shared" si="7"/>
        <v>Barrier</v>
      </c>
      <c r="AN13" s="85"/>
      <c r="AO13" s="87"/>
      <c r="AP13" s="10" t="s">
        <v>267</v>
      </c>
    </row>
    <row r="14" spans="1:42" ht="16">
      <c r="A14" s="59">
        <v>45198</v>
      </c>
      <c r="C14" s="10">
        <v>5400024</v>
      </c>
      <c r="D14" s="10" t="s">
        <v>100</v>
      </c>
      <c r="E14" s="11">
        <v>10</v>
      </c>
      <c r="F14" s="39">
        <v>345676</v>
      </c>
      <c r="G14" s="39">
        <v>6001245</v>
      </c>
      <c r="H14" s="11" t="s">
        <v>117</v>
      </c>
      <c r="I14" s="11" t="s">
        <v>106</v>
      </c>
      <c r="K14" s="11" t="s">
        <v>104</v>
      </c>
      <c r="L14" s="10" t="s">
        <v>243</v>
      </c>
      <c r="M14" s="10" t="s">
        <v>244</v>
      </c>
      <c r="N14" s="87">
        <v>12</v>
      </c>
      <c r="O14" s="87">
        <v>35</v>
      </c>
      <c r="P14" s="85" t="s">
        <v>252</v>
      </c>
      <c r="Q14" s="88"/>
      <c r="R14" s="85" t="s">
        <v>252</v>
      </c>
      <c r="S14" s="85" t="s">
        <v>253</v>
      </c>
      <c r="T14" s="85">
        <v>100</v>
      </c>
      <c r="U14" s="87">
        <v>3</v>
      </c>
      <c r="V14" s="85">
        <v>0</v>
      </c>
      <c r="W14" s="87">
        <v>0.7</v>
      </c>
      <c r="X14" s="85" t="s">
        <v>252</v>
      </c>
      <c r="Y14" s="87">
        <v>0.5</v>
      </c>
      <c r="Z14" s="87">
        <v>17</v>
      </c>
      <c r="AA14" s="85">
        <v>0</v>
      </c>
      <c r="AB14" s="10" t="s">
        <v>253</v>
      </c>
      <c r="AC14" s="10" t="s">
        <v>252</v>
      </c>
      <c r="AD14" s="85" t="s">
        <v>254</v>
      </c>
      <c r="AE14" s="85" t="s">
        <v>255</v>
      </c>
      <c r="AF14" s="20">
        <f t="shared" si="8"/>
        <v>1.4166666666666667</v>
      </c>
      <c r="AG14" s="13">
        <f t="shared" si="1"/>
        <v>6</v>
      </c>
      <c r="AH14" s="7">
        <f t="shared" si="2"/>
        <v>10</v>
      </c>
      <c r="AI14" s="7">
        <f t="shared" si="3"/>
        <v>0</v>
      </c>
      <c r="AJ14" s="7">
        <f t="shared" si="4"/>
        <v>0</v>
      </c>
      <c r="AK14" s="7">
        <f t="shared" si="5"/>
        <v>6</v>
      </c>
      <c r="AL14" s="12">
        <f t="shared" si="9"/>
        <v>22</v>
      </c>
      <c r="AM14" s="14" t="str">
        <f t="shared" si="7"/>
        <v>Barrier</v>
      </c>
      <c r="AN14" s="85"/>
      <c r="AO14" s="87"/>
      <c r="AP14" s="10" t="s">
        <v>268</v>
      </c>
    </row>
    <row r="15" spans="1:42" ht="32">
      <c r="A15" s="59">
        <v>45198</v>
      </c>
      <c r="C15" s="10">
        <v>5400121</v>
      </c>
      <c r="D15" s="10" t="s">
        <v>100</v>
      </c>
      <c r="E15" s="11">
        <v>10</v>
      </c>
      <c r="F15" s="39">
        <v>346590</v>
      </c>
      <c r="G15" s="39">
        <v>6001339</v>
      </c>
      <c r="H15" s="11" t="s">
        <v>107</v>
      </c>
      <c r="I15" s="11" t="s">
        <v>118</v>
      </c>
      <c r="K15" s="11" t="s">
        <v>119</v>
      </c>
      <c r="L15" s="10" t="s">
        <v>243</v>
      </c>
      <c r="M15" s="10" t="s">
        <v>244</v>
      </c>
      <c r="N15" s="87">
        <v>0.6</v>
      </c>
      <c r="O15" s="87">
        <v>13.5</v>
      </c>
      <c r="P15" s="85" t="s">
        <v>252</v>
      </c>
      <c r="Q15" s="88"/>
      <c r="R15" s="85" t="s">
        <v>252</v>
      </c>
      <c r="S15" s="85" t="s">
        <v>252</v>
      </c>
      <c r="T15" s="89"/>
      <c r="U15" s="87">
        <v>0.7</v>
      </c>
      <c r="V15" s="85">
        <v>0.1</v>
      </c>
      <c r="W15" s="87">
        <v>0.25</v>
      </c>
      <c r="X15" s="85" t="s">
        <v>252</v>
      </c>
      <c r="Y15" s="87">
        <v>3</v>
      </c>
      <c r="Z15" s="87">
        <v>1.8</v>
      </c>
      <c r="AA15" s="85">
        <v>0.5</v>
      </c>
      <c r="AB15" s="10" t="s">
        <v>253</v>
      </c>
      <c r="AC15" s="10" t="s">
        <v>252</v>
      </c>
      <c r="AD15" s="85" t="s">
        <v>254</v>
      </c>
      <c r="AE15" s="85" t="s">
        <v>256</v>
      </c>
      <c r="AF15" s="20">
        <f t="shared" si="8"/>
        <v>3</v>
      </c>
      <c r="AG15" s="13">
        <f t="shared" si="1"/>
        <v>0</v>
      </c>
      <c r="AH15" s="7">
        <f t="shared" si="2"/>
        <v>10</v>
      </c>
      <c r="AI15" s="7">
        <f t="shared" si="3"/>
        <v>0</v>
      </c>
      <c r="AJ15" s="7">
        <f t="shared" si="4"/>
        <v>10</v>
      </c>
      <c r="AK15" s="7">
        <f t="shared" si="5"/>
        <v>6</v>
      </c>
      <c r="AL15" s="12">
        <f t="shared" si="9"/>
        <v>26</v>
      </c>
      <c r="AM15" s="14" t="str">
        <f t="shared" si="7"/>
        <v>Barrier</v>
      </c>
      <c r="AN15" s="85"/>
      <c r="AO15" s="87"/>
      <c r="AP15" s="10" t="s">
        <v>269</v>
      </c>
    </row>
    <row r="16" spans="1:42" ht="16">
      <c r="A16" s="59">
        <v>45198</v>
      </c>
      <c r="C16" s="10">
        <v>5400192</v>
      </c>
      <c r="D16" s="10" t="s">
        <v>100</v>
      </c>
      <c r="E16" s="11">
        <v>10</v>
      </c>
      <c r="F16" s="39">
        <v>353705</v>
      </c>
      <c r="G16" s="39">
        <v>5996651</v>
      </c>
      <c r="H16" s="11" t="s">
        <v>120</v>
      </c>
      <c r="I16" s="11" t="s">
        <v>106</v>
      </c>
      <c r="K16" s="11" t="s">
        <v>104</v>
      </c>
      <c r="L16" s="10" t="s">
        <v>243</v>
      </c>
      <c r="M16" s="10" t="s">
        <v>244</v>
      </c>
      <c r="N16" s="87">
        <v>1.55</v>
      </c>
      <c r="O16" s="87">
        <v>23</v>
      </c>
      <c r="P16" s="85" t="s">
        <v>252</v>
      </c>
      <c r="Q16" s="88"/>
      <c r="R16" s="85" t="s">
        <v>252</v>
      </c>
      <c r="S16" s="85" t="s">
        <v>252</v>
      </c>
      <c r="T16" s="89"/>
      <c r="U16" s="87">
        <v>1.8</v>
      </c>
      <c r="V16" s="85">
        <v>0</v>
      </c>
      <c r="W16" s="87">
        <v>0</v>
      </c>
      <c r="X16" s="85" t="s">
        <v>252</v>
      </c>
      <c r="Y16" s="87">
        <v>1</v>
      </c>
      <c r="Z16" s="87">
        <v>1.6</v>
      </c>
      <c r="AA16" s="85">
        <v>2.5</v>
      </c>
      <c r="AB16" s="10" t="s">
        <v>252</v>
      </c>
      <c r="AC16" s="10" t="s">
        <v>252</v>
      </c>
      <c r="AD16" s="85" t="s">
        <v>254</v>
      </c>
      <c r="AE16" s="85" t="s">
        <v>256</v>
      </c>
      <c r="AF16" s="20">
        <f t="shared" si="8"/>
        <v>1.032258064516129</v>
      </c>
      <c r="AG16" s="13">
        <f t="shared" si="1"/>
        <v>3</v>
      </c>
      <c r="AH16" s="7">
        <f t="shared" si="2"/>
        <v>10</v>
      </c>
      <c r="AI16" s="7">
        <f t="shared" si="3"/>
        <v>0</v>
      </c>
      <c r="AJ16" s="7">
        <f t="shared" si="4"/>
        <v>5</v>
      </c>
      <c r="AK16" s="7">
        <f t="shared" si="5"/>
        <v>3</v>
      </c>
      <c r="AL16" s="12">
        <f t="shared" si="9"/>
        <v>21</v>
      </c>
      <c r="AM16" s="14" t="str">
        <f t="shared" si="7"/>
        <v>Barrier</v>
      </c>
      <c r="AN16" s="85"/>
      <c r="AO16" s="87"/>
      <c r="AP16" s="10" t="s">
        <v>270</v>
      </c>
    </row>
    <row r="17" spans="1:42" ht="16">
      <c r="A17" s="59">
        <v>45198</v>
      </c>
      <c r="C17" s="10">
        <v>5400235</v>
      </c>
      <c r="D17" s="10" t="s">
        <v>100</v>
      </c>
      <c r="E17" s="11">
        <v>10</v>
      </c>
      <c r="F17" s="39">
        <v>371691</v>
      </c>
      <c r="G17" s="39">
        <v>5993173</v>
      </c>
      <c r="H17" s="11" t="s">
        <v>121</v>
      </c>
      <c r="I17" s="11" t="s">
        <v>106</v>
      </c>
      <c r="K17" s="11" t="s">
        <v>104</v>
      </c>
      <c r="L17" s="10" t="s">
        <v>243</v>
      </c>
      <c r="M17" s="10" t="s">
        <v>244</v>
      </c>
      <c r="N17" s="87">
        <v>0.9</v>
      </c>
      <c r="O17" s="87">
        <v>20</v>
      </c>
      <c r="P17" s="85" t="s">
        <v>252</v>
      </c>
      <c r="Q17" s="89"/>
      <c r="R17" s="85" t="s">
        <v>252</v>
      </c>
      <c r="S17" s="85" t="s">
        <v>252</v>
      </c>
      <c r="T17" s="88"/>
      <c r="U17" s="87">
        <v>0.7</v>
      </c>
      <c r="V17" s="85">
        <v>1.2</v>
      </c>
      <c r="W17" s="87">
        <v>0.4</v>
      </c>
      <c r="X17" s="85" t="s">
        <v>252</v>
      </c>
      <c r="Y17" s="87">
        <v>2</v>
      </c>
      <c r="Z17" s="87">
        <v>1</v>
      </c>
      <c r="AA17" s="85">
        <v>3</v>
      </c>
      <c r="AB17" s="10" t="s">
        <v>252</v>
      </c>
      <c r="AC17" s="10" t="s">
        <v>252</v>
      </c>
      <c r="AD17" s="85" t="s">
        <v>254</v>
      </c>
      <c r="AE17" s="85" t="s">
        <v>257</v>
      </c>
      <c r="AF17" s="20">
        <f t="shared" si="8"/>
        <v>1.1111111111111112</v>
      </c>
      <c r="AG17" s="13">
        <f t="shared" si="1"/>
        <v>3</v>
      </c>
      <c r="AH17" s="7">
        <f t="shared" si="2"/>
        <v>10</v>
      </c>
      <c r="AI17" s="7">
        <f t="shared" si="3"/>
        <v>10</v>
      </c>
      <c r="AJ17" s="7">
        <f t="shared" si="4"/>
        <v>5</v>
      </c>
      <c r="AK17" s="7">
        <f t="shared" si="5"/>
        <v>3</v>
      </c>
      <c r="AL17" s="12">
        <f t="shared" si="9"/>
        <v>31</v>
      </c>
      <c r="AM17" s="14" t="str">
        <f t="shared" si="7"/>
        <v>Barrier</v>
      </c>
      <c r="AN17" s="85"/>
      <c r="AO17" s="87"/>
      <c r="AP17" s="10" t="s">
        <v>271</v>
      </c>
    </row>
    <row r="18" spans="1:42" ht="16">
      <c r="A18" s="59">
        <v>45198</v>
      </c>
      <c r="C18" s="10">
        <v>5400045</v>
      </c>
      <c r="D18" s="10" t="s">
        <v>100</v>
      </c>
      <c r="E18" s="11">
        <v>10</v>
      </c>
      <c r="F18" s="39">
        <v>391513</v>
      </c>
      <c r="G18" s="39">
        <v>5991795</v>
      </c>
      <c r="H18" s="11" t="s">
        <v>122</v>
      </c>
      <c r="I18" s="11" t="s">
        <v>106</v>
      </c>
      <c r="K18" s="11" t="s">
        <v>104</v>
      </c>
      <c r="L18" s="10" t="s">
        <v>243</v>
      </c>
      <c r="M18" s="10" t="s">
        <v>244</v>
      </c>
      <c r="N18" s="87">
        <v>1.5</v>
      </c>
      <c r="O18" s="87">
        <v>50</v>
      </c>
      <c r="P18" s="85" t="s">
        <v>252</v>
      </c>
      <c r="Q18" s="88"/>
      <c r="R18" s="85" t="s">
        <v>252</v>
      </c>
      <c r="S18" s="85" t="s">
        <v>252</v>
      </c>
      <c r="T18" s="89"/>
      <c r="U18" s="87">
        <v>9.9</v>
      </c>
      <c r="V18" s="85">
        <v>0.4</v>
      </c>
      <c r="W18" s="87">
        <v>0.5</v>
      </c>
      <c r="X18" s="85" t="s">
        <v>252</v>
      </c>
      <c r="Y18" s="87">
        <v>0.5</v>
      </c>
      <c r="Z18" s="87">
        <v>4</v>
      </c>
      <c r="AA18" s="85">
        <v>2</v>
      </c>
      <c r="AB18" s="10" t="s">
        <v>252</v>
      </c>
      <c r="AC18" s="10" t="s">
        <v>252</v>
      </c>
      <c r="AD18" s="85" t="s">
        <v>254</v>
      </c>
      <c r="AE18" s="85" t="s">
        <v>256</v>
      </c>
      <c r="AF18" s="20">
        <f t="shared" si="8"/>
        <v>2.6666666666666665</v>
      </c>
      <c r="AG18" s="13">
        <f t="shared" si="1"/>
        <v>6</v>
      </c>
      <c r="AH18" s="7">
        <f t="shared" si="2"/>
        <v>10</v>
      </c>
      <c r="AI18" s="7">
        <f t="shared" si="3"/>
        <v>10</v>
      </c>
      <c r="AJ18" s="7">
        <f t="shared" si="4"/>
        <v>0</v>
      </c>
      <c r="AK18" s="7">
        <f t="shared" si="5"/>
        <v>6</v>
      </c>
      <c r="AL18" s="12">
        <f t="shared" si="9"/>
        <v>32</v>
      </c>
      <c r="AM18" s="14" t="str">
        <f t="shared" si="7"/>
        <v>Barrier</v>
      </c>
      <c r="AN18" s="85"/>
      <c r="AO18" s="87"/>
      <c r="AP18" s="10" t="s">
        <v>272</v>
      </c>
    </row>
    <row r="19" spans="1:42" ht="16">
      <c r="A19" s="59">
        <v>45198</v>
      </c>
      <c r="C19" s="10">
        <v>15600273</v>
      </c>
      <c r="D19" s="10" t="s">
        <v>100</v>
      </c>
      <c r="E19" s="11">
        <v>10</v>
      </c>
      <c r="F19" s="39">
        <v>398480</v>
      </c>
      <c r="G19" s="39">
        <v>5976390</v>
      </c>
      <c r="H19" s="11" t="s">
        <v>123</v>
      </c>
      <c r="I19" s="11" t="s">
        <v>124</v>
      </c>
      <c r="J19" s="33"/>
      <c r="K19" s="11" t="s">
        <v>104</v>
      </c>
      <c r="L19" s="10" t="s">
        <v>243</v>
      </c>
      <c r="M19" s="10" t="s">
        <v>244</v>
      </c>
      <c r="N19" s="87">
        <v>1.5</v>
      </c>
      <c r="O19" s="87">
        <v>18</v>
      </c>
      <c r="P19" s="85" t="s">
        <v>252</v>
      </c>
      <c r="Q19" s="88"/>
      <c r="R19" s="85" t="s">
        <v>252</v>
      </c>
      <c r="S19" s="85" t="s">
        <v>253</v>
      </c>
      <c r="T19" s="87">
        <v>100</v>
      </c>
      <c r="U19" s="87">
        <v>0.5</v>
      </c>
      <c r="V19" s="85">
        <v>0</v>
      </c>
      <c r="W19" s="87">
        <v>0.3</v>
      </c>
      <c r="X19" s="85" t="s">
        <v>252</v>
      </c>
      <c r="Y19" s="87">
        <v>0.5</v>
      </c>
      <c r="Z19" s="87">
        <v>3</v>
      </c>
      <c r="AA19" s="85">
        <v>0</v>
      </c>
      <c r="AB19" s="10" t="s">
        <v>252</v>
      </c>
      <c r="AC19" s="10" t="s">
        <v>252</v>
      </c>
      <c r="AD19" s="85" t="s">
        <v>254</v>
      </c>
      <c r="AE19" s="85" t="s">
        <v>256</v>
      </c>
      <c r="AF19" s="20">
        <f t="shared" si="8"/>
        <v>2</v>
      </c>
      <c r="AG19" s="13">
        <f t="shared" si="1"/>
        <v>3</v>
      </c>
      <c r="AH19" s="7">
        <f t="shared" si="2"/>
        <v>10</v>
      </c>
      <c r="AI19" s="7">
        <f t="shared" si="3"/>
        <v>0</v>
      </c>
      <c r="AJ19" s="7">
        <f t="shared" si="4"/>
        <v>0</v>
      </c>
      <c r="AK19" s="7">
        <f t="shared" si="5"/>
        <v>6</v>
      </c>
      <c r="AL19" s="12">
        <f t="shared" si="9"/>
        <v>19</v>
      </c>
      <c r="AM19" s="14" t="str">
        <f t="shared" si="7"/>
        <v>Potential</v>
      </c>
      <c r="AN19" s="85"/>
      <c r="AO19" s="87"/>
      <c r="AP19" s="10" t="s">
        <v>273</v>
      </c>
    </row>
    <row r="20" spans="1:42" ht="16">
      <c r="A20" s="59">
        <v>45198</v>
      </c>
      <c r="C20" s="10">
        <v>15600048</v>
      </c>
      <c r="D20" s="10" t="s">
        <v>100</v>
      </c>
      <c r="E20" s="11">
        <v>10</v>
      </c>
      <c r="F20" s="39">
        <v>397528</v>
      </c>
      <c r="G20" s="39">
        <v>5976165</v>
      </c>
      <c r="H20" s="10" t="s">
        <v>125</v>
      </c>
      <c r="I20" s="11" t="s">
        <v>126</v>
      </c>
      <c r="J20" s="33"/>
      <c r="K20" s="11" t="s">
        <v>104</v>
      </c>
      <c r="L20" s="10" t="s">
        <v>243</v>
      </c>
      <c r="M20" s="10" t="s">
        <v>244</v>
      </c>
      <c r="N20" s="87">
        <v>1.8</v>
      </c>
      <c r="O20" s="87">
        <v>17</v>
      </c>
      <c r="P20" s="85" t="s">
        <v>253</v>
      </c>
      <c r="Q20" s="85">
        <v>0.2</v>
      </c>
      <c r="R20" s="85" t="s">
        <v>253</v>
      </c>
      <c r="S20" s="85" t="s">
        <v>253</v>
      </c>
      <c r="T20" s="85">
        <v>100</v>
      </c>
      <c r="U20" s="85">
        <v>1</v>
      </c>
      <c r="V20" s="85">
        <v>0</v>
      </c>
      <c r="W20" s="85">
        <v>0.3</v>
      </c>
      <c r="X20" s="85" t="s">
        <v>252</v>
      </c>
      <c r="Y20" s="85">
        <v>0</v>
      </c>
      <c r="Z20" s="85">
        <v>3</v>
      </c>
      <c r="AA20" s="85">
        <v>0</v>
      </c>
      <c r="AB20" s="10" t="s">
        <v>252</v>
      </c>
      <c r="AC20" s="10" t="s">
        <v>252</v>
      </c>
      <c r="AD20" s="85" t="s">
        <v>254</v>
      </c>
      <c r="AE20" s="85" t="s">
        <v>256</v>
      </c>
      <c r="AF20" s="20">
        <f t="shared" si="8"/>
        <v>1.6666666666666665</v>
      </c>
      <c r="AG20" s="13">
        <f t="shared" si="1"/>
        <v>3</v>
      </c>
      <c r="AH20" s="7">
        <f t="shared" si="2"/>
        <v>5</v>
      </c>
      <c r="AI20" s="7">
        <f t="shared" si="3"/>
        <v>0</v>
      </c>
      <c r="AJ20" s="7">
        <f t="shared" si="4"/>
        <v>0</v>
      </c>
      <c r="AK20" s="7">
        <f t="shared" si="5"/>
        <v>6</v>
      </c>
      <c r="AL20" s="12">
        <f t="shared" si="9"/>
        <v>14</v>
      </c>
      <c r="AM20" s="14" t="str">
        <f t="shared" si="7"/>
        <v>Passable</v>
      </c>
      <c r="AN20" s="85"/>
      <c r="AO20" s="85"/>
      <c r="AP20" s="10" t="s">
        <v>274</v>
      </c>
    </row>
    <row r="21" spans="1:42">
      <c r="A21" s="59">
        <v>45198</v>
      </c>
      <c r="C21" s="10">
        <v>5400180</v>
      </c>
      <c r="D21" s="10" t="s">
        <v>100</v>
      </c>
      <c r="E21" s="10">
        <v>10</v>
      </c>
      <c r="F21" s="21">
        <v>321069</v>
      </c>
      <c r="G21" s="21">
        <v>6011579</v>
      </c>
      <c r="H21" s="10" t="s">
        <v>127</v>
      </c>
      <c r="I21" s="10" t="s">
        <v>128</v>
      </c>
      <c r="J21" s="33"/>
      <c r="K21" s="10" t="s">
        <v>113</v>
      </c>
      <c r="L21" s="10" t="s">
        <v>245</v>
      </c>
      <c r="M21" s="10" t="s">
        <v>247</v>
      </c>
      <c r="N21" s="87">
        <v>2.65</v>
      </c>
      <c r="O21" s="87">
        <v>12.5</v>
      </c>
      <c r="P21" s="88"/>
      <c r="Q21" s="89"/>
      <c r="R21" s="88"/>
      <c r="S21" s="88"/>
      <c r="T21" s="89"/>
      <c r="U21" s="89"/>
      <c r="V21" s="88"/>
      <c r="W21" s="89"/>
      <c r="X21" s="88"/>
      <c r="Y21" s="89"/>
      <c r="Z21" s="89"/>
      <c r="AA21" s="88"/>
      <c r="AB21" s="10" t="s">
        <v>252</v>
      </c>
      <c r="AC21" s="10" t="s">
        <v>252</v>
      </c>
      <c r="AD21" s="88"/>
      <c r="AE21" s="88"/>
      <c r="AF21" s="20">
        <f t="shared" si="8"/>
        <v>0</v>
      </c>
      <c r="AG21" s="13">
        <f t="shared" si="1"/>
        <v>0</v>
      </c>
      <c r="AH21" s="7">
        <f t="shared" si="2"/>
        <v>0</v>
      </c>
      <c r="AI21" s="7">
        <f t="shared" si="3"/>
        <v>0</v>
      </c>
      <c r="AJ21" s="7">
        <f t="shared" si="4"/>
        <v>0</v>
      </c>
      <c r="AK21" s="7">
        <f t="shared" si="5"/>
        <v>0</v>
      </c>
      <c r="AL21" s="12">
        <f t="shared" si="9"/>
        <v>0</v>
      </c>
      <c r="AM21" s="14" t="str">
        <f t="shared" si="7"/>
        <v>Passable</v>
      </c>
      <c r="AN21" s="88"/>
      <c r="AO21" s="89"/>
      <c r="AP21" s="10" t="s">
        <v>275</v>
      </c>
    </row>
    <row r="22" spans="1:42" ht="16">
      <c r="A22" s="59">
        <v>45199</v>
      </c>
      <c r="C22" s="10">
        <v>5400003</v>
      </c>
      <c r="D22" s="10" t="s">
        <v>100</v>
      </c>
      <c r="E22" s="11">
        <v>10</v>
      </c>
      <c r="F22" s="39">
        <v>377178</v>
      </c>
      <c r="G22" s="39">
        <v>5993874</v>
      </c>
      <c r="H22" s="11" t="s">
        <v>129</v>
      </c>
      <c r="I22" s="11" t="s">
        <v>130</v>
      </c>
      <c r="K22" s="11" t="s">
        <v>104</v>
      </c>
      <c r="L22" s="10" t="s">
        <v>243</v>
      </c>
      <c r="M22" s="10" t="s">
        <v>244</v>
      </c>
      <c r="N22" s="87">
        <v>0.6</v>
      </c>
      <c r="O22" s="87">
        <v>23</v>
      </c>
      <c r="P22" s="85" t="s">
        <v>252</v>
      </c>
      <c r="Q22" s="89"/>
      <c r="R22" s="85" t="s">
        <v>252</v>
      </c>
      <c r="S22" s="85" t="s">
        <v>252</v>
      </c>
      <c r="T22" s="89"/>
      <c r="U22" s="87">
        <v>4</v>
      </c>
      <c r="V22" s="85">
        <v>0.3</v>
      </c>
      <c r="W22" s="87">
        <v>0</v>
      </c>
      <c r="X22" s="85" t="s">
        <v>252</v>
      </c>
      <c r="Y22" s="87">
        <v>1</v>
      </c>
      <c r="Z22" s="87">
        <v>1</v>
      </c>
      <c r="AA22" s="85">
        <v>2</v>
      </c>
      <c r="AB22" s="10" t="s">
        <v>252</v>
      </c>
      <c r="AC22" s="10" t="s">
        <v>252</v>
      </c>
      <c r="AD22" s="85" t="s">
        <v>254</v>
      </c>
      <c r="AE22" s="85" t="s">
        <v>257</v>
      </c>
      <c r="AF22" s="20">
        <f t="shared" si="8"/>
        <v>1.6666666666666667</v>
      </c>
      <c r="AG22" s="13">
        <f t="shared" si="1"/>
        <v>3</v>
      </c>
      <c r="AH22" s="7">
        <f t="shared" si="2"/>
        <v>10</v>
      </c>
      <c r="AI22" s="7">
        <f t="shared" si="3"/>
        <v>10</v>
      </c>
      <c r="AJ22" s="7">
        <f t="shared" si="4"/>
        <v>5</v>
      </c>
      <c r="AK22" s="7">
        <f t="shared" si="5"/>
        <v>6</v>
      </c>
      <c r="AL22" s="12">
        <f t="shared" si="9"/>
        <v>34</v>
      </c>
      <c r="AM22" s="14" t="str">
        <f t="shared" si="7"/>
        <v>Barrier</v>
      </c>
      <c r="AN22" s="85"/>
      <c r="AO22" s="87"/>
      <c r="AP22" s="10" t="s">
        <v>276</v>
      </c>
    </row>
    <row r="23" spans="1:42" ht="16">
      <c r="A23" s="59">
        <v>45199</v>
      </c>
      <c r="C23" s="10">
        <v>24727338</v>
      </c>
      <c r="D23" s="10" t="s">
        <v>100</v>
      </c>
      <c r="E23" s="11">
        <v>10</v>
      </c>
      <c r="F23" s="39">
        <v>385711</v>
      </c>
      <c r="G23" s="39">
        <v>5995594</v>
      </c>
      <c r="H23" s="11" t="s">
        <v>131</v>
      </c>
      <c r="I23" s="11" t="s">
        <v>130</v>
      </c>
      <c r="K23" s="11" t="s">
        <v>104</v>
      </c>
      <c r="L23" s="10" t="s">
        <v>243</v>
      </c>
      <c r="M23" s="10" t="s">
        <v>248</v>
      </c>
      <c r="N23" s="87">
        <v>4.5</v>
      </c>
      <c r="O23" s="87">
        <v>32</v>
      </c>
      <c r="P23" s="85" t="s">
        <v>252</v>
      </c>
      <c r="Q23" s="89"/>
      <c r="R23" s="85" t="s">
        <v>252</v>
      </c>
      <c r="S23" s="85" t="s">
        <v>253</v>
      </c>
      <c r="T23" s="87">
        <v>100</v>
      </c>
      <c r="U23" s="87">
        <v>1</v>
      </c>
      <c r="V23" s="85">
        <v>0</v>
      </c>
      <c r="W23" s="87">
        <v>1.3</v>
      </c>
      <c r="X23" s="85" t="s">
        <v>252</v>
      </c>
      <c r="Y23" s="87">
        <v>0</v>
      </c>
      <c r="Z23" s="87">
        <v>6</v>
      </c>
      <c r="AA23" s="85">
        <v>0</v>
      </c>
      <c r="AB23" s="10" t="s">
        <v>253</v>
      </c>
      <c r="AC23" s="10" t="s">
        <v>252</v>
      </c>
      <c r="AD23" s="85" t="s">
        <v>254</v>
      </c>
      <c r="AE23" s="85" t="s">
        <v>255</v>
      </c>
      <c r="AF23" s="20">
        <f t="shared" si="8"/>
        <v>1.3333333333333333</v>
      </c>
      <c r="AG23" s="13">
        <f t="shared" si="1"/>
        <v>6</v>
      </c>
      <c r="AH23" s="7">
        <f t="shared" si="2"/>
        <v>10</v>
      </c>
      <c r="AI23" s="7">
        <f t="shared" si="3"/>
        <v>0</v>
      </c>
      <c r="AJ23" s="7">
        <f t="shared" si="4"/>
        <v>0</v>
      </c>
      <c r="AK23" s="7">
        <f t="shared" si="5"/>
        <v>6</v>
      </c>
      <c r="AL23" s="12">
        <f t="shared" si="9"/>
        <v>22</v>
      </c>
      <c r="AM23" s="14" t="str">
        <f t="shared" si="7"/>
        <v>Barrier</v>
      </c>
      <c r="AN23" s="85"/>
      <c r="AO23" s="87"/>
      <c r="AP23" s="10" t="s">
        <v>277</v>
      </c>
    </row>
    <row r="24" spans="1:42" ht="16">
      <c r="A24" s="59">
        <v>45199</v>
      </c>
      <c r="C24" s="10">
        <v>5400201</v>
      </c>
      <c r="D24" s="10" t="s">
        <v>100</v>
      </c>
      <c r="E24" s="11">
        <v>10</v>
      </c>
      <c r="F24" s="39">
        <v>388367</v>
      </c>
      <c r="G24" s="39">
        <v>5996767</v>
      </c>
      <c r="H24" s="11" t="s">
        <v>132</v>
      </c>
      <c r="I24" s="11" t="s">
        <v>133</v>
      </c>
      <c r="K24" s="11" t="s">
        <v>104</v>
      </c>
      <c r="L24" s="10" t="s">
        <v>243</v>
      </c>
      <c r="M24" s="10" t="s">
        <v>244</v>
      </c>
      <c r="N24" s="87">
        <v>1.2</v>
      </c>
      <c r="O24" s="87">
        <v>11</v>
      </c>
      <c r="P24" s="85" t="s">
        <v>253</v>
      </c>
      <c r="Q24" s="87">
        <v>0.5</v>
      </c>
      <c r="R24" s="85" t="s">
        <v>253</v>
      </c>
      <c r="S24" s="85" t="s">
        <v>253</v>
      </c>
      <c r="T24" s="87">
        <v>80</v>
      </c>
      <c r="U24" s="87">
        <v>1.5</v>
      </c>
      <c r="V24" s="85">
        <v>0</v>
      </c>
      <c r="W24" s="87">
        <v>0.05</v>
      </c>
      <c r="X24" s="85" t="s">
        <v>252</v>
      </c>
      <c r="Y24" s="87">
        <v>0.25</v>
      </c>
      <c r="Z24" s="87">
        <v>1.7</v>
      </c>
      <c r="AA24" s="85">
        <v>3</v>
      </c>
      <c r="AB24" s="10" t="s">
        <v>252</v>
      </c>
      <c r="AC24" s="10" t="s">
        <v>252</v>
      </c>
      <c r="AD24" s="85" t="s">
        <v>254</v>
      </c>
      <c r="AE24" s="85" t="s">
        <v>256</v>
      </c>
      <c r="AF24" s="20">
        <f t="shared" si="8"/>
        <v>1.4166666666666667</v>
      </c>
      <c r="AG24" s="13">
        <f t="shared" si="1"/>
        <v>0</v>
      </c>
      <c r="AH24" s="7">
        <f t="shared" si="2"/>
        <v>0</v>
      </c>
      <c r="AI24" s="7">
        <f t="shared" si="3"/>
        <v>0</v>
      </c>
      <c r="AJ24" s="7">
        <f t="shared" si="4"/>
        <v>0</v>
      </c>
      <c r="AK24" s="7">
        <f t="shared" si="5"/>
        <v>6</v>
      </c>
      <c r="AL24" s="12">
        <f t="shared" si="9"/>
        <v>6</v>
      </c>
      <c r="AM24" s="14" t="str">
        <f t="shared" si="7"/>
        <v>Passable</v>
      </c>
      <c r="AN24" s="85"/>
      <c r="AO24" s="87"/>
      <c r="AP24" s="10" t="s">
        <v>278</v>
      </c>
    </row>
    <row r="25" spans="1:42" ht="16">
      <c r="A25" s="59">
        <v>45199</v>
      </c>
      <c r="C25" s="10">
        <v>5400202</v>
      </c>
      <c r="D25" s="10" t="s">
        <v>100</v>
      </c>
      <c r="E25" s="11">
        <v>10</v>
      </c>
      <c r="F25" s="39">
        <v>388944</v>
      </c>
      <c r="G25" s="39">
        <v>5997002</v>
      </c>
      <c r="H25" s="11" t="s">
        <v>122</v>
      </c>
      <c r="I25" s="11" t="s">
        <v>134</v>
      </c>
      <c r="K25" s="11" t="s">
        <v>119</v>
      </c>
      <c r="L25" s="10" t="s">
        <v>243</v>
      </c>
      <c r="M25" s="10" t="s">
        <v>244</v>
      </c>
      <c r="N25" s="87">
        <v>1</v>
      </c>
      <c r="O25" s="87">
        <v>13</v>
      </c>
      <c r="P25" s="85" t="s">
        <v>252</v>
      </c>
      <c r="Q25" s="89"/>
      <c r="R25" s="85" t="s">
        <v>252</v>
      </c>
      <c r="S25" s="85" t="s">
        <v>252</v>
      </c>
      <c r="T25" s="89"/>
      <c r="U25" s="87">
        <v>1</v>
      </c>
      <c r="V25" s="85">
        <v>0.8</v>
      </c>
      <c r="W25" s="87">
        <v>0.6</v>
      </c>
      <c r="X25" s="85" t="s">
        <v>252</v>
      </c>
      <c r="Y25" s="87">
        <v>4.5</v>
      </c>
      <c r="Z25" s="87">
        <v>1.7</v>
      </c>
      <c r="AA25" s="85">
        <v>2</v>
      </c>
      <c r="AB25" s="10" t="s">
        <v>252</v>
      </c>
      <c r="AC25" s="10" t="s">
        <v>252</v>
      </c>
      <c r="AD25" s="85" t="s">
        <v>254</v>
      </c>
      <c r="AE25" s="85" t="s">
        <v>255</v>
      </c>
      <c r="AF25" s="20">
        <f t="shared" si="8"/>
        <v>1.7</v>
      </c>
      <c r="AG25" s="13">
        <f t="shared" si="1"/>
        <v>0</v>
      </c>
      <c r="AH25" s="7">
        <f t="shared" si="2"/>
        <v>10</v>
      </c>
      <c r="AI25" s="7">
        <f t="shared" si="3"/>
        <v>10</v>
      </c>
      <c r="AJ25" s="7">
        <f t="shared" si="4"/>
        <v>10</v>
      </c>
      <c r="AK25" s="7">
        <f t="shared" si="5"/>
        <v>6</v>
      </c>
      <c r="AL25" s="12">
        <f t="shared" si="9"/>
        <v>36</v>
      </c>
      <c r="AM25" s="14" t="str">
        <f t="shared" si="7"/>
        <v>Barrier</v>
      </c>
      <c r="AN25" s="85"/>
      <c r="AO25" s="87"/>
      <c r="AP25" s="10" t="s">
        <v>279</v>
      </c>
    </row>
    <row r="26" spans="1:42" ht="16">
      <c r="A26" s="59">
        <v>45199</v>
      </c>
      <c r="C26" s="10">
        <v>5400203</v>
      </c>
      <c r="D26" s="10" t="s">
        <v>100</v>
      </c>
      <c r="E26" s="11">
        <v>10</v>
      </c>
      <c r="F26" s="39">
        <v>388270</v>
      </c>
      <c r="G26" s="39">
        <v>5996949</v>
      </c>
      <c r="H26" s="11" t="s">
        <v>132</v>
      </c>
      <c r="I26" s="11" t="s">
        <v>130</v>
      </c>
      <c r="K26" s="11" t="s">
        <v>104</v>
      </c>
      <c r="L26" s="10" t="s">
        <v>243</v>
      </c>
      <c r="M26" s="10" t="s">
        <v>244</v>
      </c>
      <c r="N26" s="87">
        <v>1.1000000000000001</v>
      </c>
      <c r="O26" s="87">
        <v>25</v>
      </c>
      <c r="P26" s="85" t="s">
        <v>252</v>
      </c>
      <c r="Q26" s="89"/>
      <c r="R26" s="85" t="s">
        <v>252</v>
      </c>
      <c r="S26" s="85" t="s">
        <v>252</v>
      </c>
      <c r="T26" s="89"/>
      <c r="U26" s="87">
        <v>5</v>
      </c>
      <c r="V26" s="85">
        <v>1.4</v>
      </c>
      <c r="W26" s="87">
        <v>0.2</v>
      </c>
      <c r="X26" s="85" t="s">
        <v>252</v>
      </c>
      <c r="Y26" s="87">
        <v>4.5</v>
      </c>
      <c r="Z26" s="87">
        <v>2.6</v>
      </c>
      <c r="AA26" s="85">
        <v>2</v>
      </c>
      <c r="AB26" s="10" t="s">
        <v>252</v>
      </c>
      <c r="AC26" s="10" t="s">
        <v>252</v>
      </c>
      <c r="AD26" s="85" t="s">
        <v>254</v>
      </c>
      <c r="AE26" s="85" t="s">
        <v>255</v>
      </c>
      <c r="AF26" s="20">
        <f t="shared" si="8"/>
        <v>2.3636363636363633</v>
      </c>
      <c r="AG26" s="13">
        <f t="shared" si="1"/>
        <v>3</v>
      </c>
      <c r="AH26" s="7">
        <f t="shared" si="2"/>
        <v>10</v>
      </c>
      <c r="AI26" s="7">
        <f t="shared" si="3"/>
        <v>10</v>
      </c>
      <c r="AJ26" s="7">
        <f t="shared" si="4"/>
        <v>10</v>
      </c>
      <c r="AK26" s="7">
        <f t="shared" si="5"/>
        <v>6</v>
      </c>
      <c r="AL26" s="12">
        <f t="shared" si="9"/>
        <v>39</v>
      </c>
      <c r="AM26" s="14" t="str">
        <f t="shared" si="7"/>
        <v>Barrier</v>
      </c>
      <c r="AN26" s="85"/>
      <c r="AO26" s="87"/>
      <c r="AP26" s="10" t="s">
        <v>280</v>
      </c>
    </row>
    <row r="27" spans="1:42" ht="32">
      <c r="A27" s="59">
        <v>45199</v>
      </c>
      <c r="C27" s="10">
        <v>15600277</v>
      </c>
      <c r="D27" s="10" t="s">
        <v>100</v>
      </c>
      <c r="E27" s="11">
        <v>10</v>
      </c>
      <c r="F27" s="39">
        <v>398933</v>
      </c>
      <c r="G27" s="39">
        <v>5996365</v>
      </c>
      <c r="H27" s="11" t="s">
        <v>135</v>
      </c>
      <c r="I27" s="11" t="s">
        <v>136</v>
      </c>
      <c r="K27" s="11" t="s">
        <v>104</v>
      </c>
      <c r="L27" s="10" t="s">
        <v>243</v>
      </c>
      <c r="M27" s="10" t="s">
        <v>244</v>
      </c>
      <c r="N27" s="87">
        <v>0.95</v>
      </c>
      <c r="O27" s="87">
        <v>11.5</v>
      </c>
      <c r="P27" s="85" t="s">
        <v>252</v>
      </c>
      <c r="Q27" s="89"/>
      <c r="R27" s="85" t="s">
        <v>252</v>
      </c>
      <c r="S27" s="85" t="s">
        <v>252</v>
      </c>
      <c r="T27" s="89"/>
      <c r="U27" s="87">
        <v>1.5</v>
      </c>
      <c r="V27" s="85">
        <v>0.4</v>
      </c>
      <c r="W27" s="87">
        <v>1</v>
      </c>
      <c r="X27" s="85" t="s">
        <v>252</v>
      </c>
      <c r="Y27" s="87">
        <v>3</v>
      </c>
      <c r="Z27" s="87">
        <v>2.7</v>
      </c>
      <c r="AA27" s="85">
        <v>3</v>
      </c>
      <c r="AB27" s="10" t="s">
        <v>253</v>
      </c>
      <c r="AC27" s="10" t="s">
        <v>253</v>
      </c>
      <c r="AD27" s="85" t="s">
        <v>254</v>
      </c>
      <c r="AE27" s="85" t="s">
        <v>255</v>
      </c>
      <c r="AF27" s="20">
        <f t="shared" si="8"/>
        <v>2.8421052631578951</v>
      </c>
      <c r="AG27" s="13">
        <f t="shared" si="1"/>
        <v>0</v>
      </c>
      <c r="AH27" s="7">
        <f t="shared" si="2"/>
        <v>10</v>
      </c>
      <c r="AI27" s="7">
        <f t="shared" si="3"/>
        <v>10</v>
      </c>
      <c r="AJ27" s="7">
        <f t="shared" si="4"/>
        <v>10</v>
      </c>
      <c r="AK27" s="7">
        <f t="shared" si="5"/>
        <v>6</v>
      </c>
      <c r="AL27" s="12">
        <f t="shared" si="9"/>
        <v>36</v>
      </c>
      <c r="AM27" s="14" t="str">
        <f t="shared" si="7"/>
        <v>Barrier</v>
      </c>
      <c r="AN27" s="85"/>
      <c r="AO27" s="87"/>
      <c r="AP27" s="10" t="s">
        <v>281</v>
      </c>
    </row>
    <row r="28" spans="1:42" ht="32">
      <c r="A28" s="59">
        <v>45199</v>
      </c>
      <c r="C28" s="10">
        <v>15604478</v>
      </c>
      <c r="D28" s="10" t="s">
        <v>100</v>
      </c>
      <c r="E28" s="11">
        <v>10</v>
      </c>
      <c r="F28" s="39">
        <v>397160</v>
      </c>
      <c r="G28" s="39">
        <v>5996558</v>
      </c>
      <c r="H28" s="11" t="s">
        <v>137</v>
      </c>
      <c r="I28" s="11" t="s">
        <v>138</v>
      </c>
      <c r="J28" s="22">
        <v>1.1000000000000001</v>
      </c>
      <c r="K28" s="11" t="s">
        <v>139</v>
      </c>
      <c r="L28" s="10" t="s">
        <v>243</v>
      </c>
      <c r="M28" s="10" t="s">
        <v>244</v>
      </c>
      <c r="N28" s="87">
        <v>1.45</v>
      </c>
      <c r="O28" s="87">
        <v>16</v>
      </c>
      <c r="P28" s="85" t="s">
        <v>252</v>
      </c>
      <c r="Q28" s="89"/>
      <c r="R28" s="85" t="s">
        <v>252</v>
      </c>
      <c r="S28" s="85" t="s">
        <v>252</v>
      </c>
      <c r="T28" s="89"/>
      <c r="U28" s="87">
        <v>0.5</v>
      </c>
      <c r="V28" s="85">
        <v>0</v>
      </c>
      <c r="W28" s="87">
        <v>0.2</v>
      </c>
      <c r="X28" s="85" t="s">
        <v>253</v>
      </c>
      <c r="Y28" s="87">
        <v>2</v>
      </c>
      <c r="Z28" s="87">
        <v>2.5</v>
      </c>
      <c r="AA28" s="85">
        <v>0.5</v>
      </c>
      <c r="AB28" s="10" t="s">
        <v>252</v>
      </c>
      <c r="AC28" s="10" t="s">
        <v>252</v>
      </c>
      <c r="AD28" s="85" t="s">
        <v>254</v>
      </c>
      <c r="AE28" s="85" t="s">
        <v>256</v>
      </c>
      <c r="AF28" s="20">
        <f t="shared" si="8"/>
        <v>1.7241379310344829</v>
      </c>
      <c r="AG28" s="13">
        <f t="shared" si="1"/>
        <v>3</v>
      </c>
      <c r="AH28" s="7">
        <f t="shared" si="2"/>
        <v>10</v>
      </c>
      <c r="AI28" s="7">
        <f t="shared" si="3"/>
        <v>0</v>
      </c>
      <c r="AJ28" s="7">
        <f t="shared" si="4"/>
        <v>5</v>
      </c>
      <c r="AK28" s="7">
        <f t="shared" si="5"/>
        <v>6</v>
      </c>
      <c r="AL28" s="12">
        <f t="shared" si="9"/>
        <v>24</v>
      </c>
      <c r="AM28" s="14" t="str">
        <f t="shared" si="7"/>
        <v>Barrier</v>
      </c>
      <c r="AN28" s="88"/>
      <c r="AO28" s="89"/>
      <c r="AP28" s="10" t="s">
        <v>282</v>
      </c>
    </row>
    <row r="29" spans="1:42" ht="32">
      <c r="A29" s="59">
        <v>45199</v>
      </c>
      <c r="C29" s="10">
        <v>15604870</v>
      </c>
      <c r="D29" s="10" t="s">
        <v>100</v>
      </c>
      <c r="E29" s="11">
        <v>10</v>
      </c>
      <c r="F29" s="39">
        <v>396140</v>
      </c>
      <c r="G29" s="39">
        <v>5997722</v>
      </c>
      <c r="H29" s="11" t="s">
        <v>135</v>
      </c>
      <c r="I29" s="11" t="s">
        <v>140</v>
      </c>
      <c r="K29" s="11" t="s">
        <v>139</v>
      </c>
      <c r="L29" s="10" t="s">
        <v>245</v>
      </c>
      <c r="M29" s="10" t="s">
        <v>246</v>
      </c>
      <c r="N29" s="87">
        <v>13</v>
      </c>
      <c r="O29" s="87">
        <v>5</v>
      </c>
      <c r="P29" s="88"/>
      <c r="Q29" s="89"/>
      <c r="R29" s="88"/>
      <c r="S29" s="88"/>
      <c r="T29" s="89"/>
      <c r="U29" s="89"/>
      <c r="V29" s="88"/>
      <c r="W29" s="89"/>
      <c r="X29" s="88"/>
      <c r="Y29" s="89"/>
      <c r="Z29" s="89"/>
      <c r="AA29" s="88"/>
      <c r="AB29" s="10" t="s">
        <v>252</v>
      </c>
      <c r="AC29" s="10" t="s">
        <v>252</v>
      </c>
      <c r="AD29" s="88"/>
      <c r="AE29" s="88"/>
      <c r="AF29" s="20">
        <f t="shared" si="8"/>
        <v>0</v>
      </c>
      <c r="AG29" s="13">
        <f t="shared" si="1"/>
        <v>0</v>
      </c>
      <c r="AH29" s="7">
        <f t="shared" si="2"/>
        <v>0</v>
      </c>
      <c r="AI29" s="7">
        <f t="shared" si="3"/>
        <v>0</v>
      </c>
      <c r="AJ29" s="7">
        <f t="shared" si="4"/>
        <v>0</v>
      </c>
      <c r="AK29" s="7">
        <f t="shared" si="5"/>
        <v>0</v>
      </c>
      <c r="AL29" s="12">
        <f t="shared" si="9"/>
        <v>0</v>
      </c>
      <c r="AM29" s="14" t="str">
        <f t="shared" si="7"/>
        <v>Passable</v>
      </c>
      <c r="AN29" s="88"/>
      <c r="AO29" s="89"/>
      <c r="AP29" s="10" t="s">
        <v>283</v>
      </c>
    </row>
    <row r="30" spans="1:42" ht="32">
      <c r="A30" s="59">
        <v>45199</v>
      </c>
      <c r="C30" s="10">
        <v>15604704</v>
      </c>
      <c r="D30" s="10" t="s">
        <v>100</v>
      </c>
      <c r="E30" s="11">
        <v>10</v>
      </c>
      <c r="F30" s="39">
        <v>395496</v>
      </c>
      <c r="G30" s="39">
        <v>6003141</v>
      </c>
      <c r="H30" s="11" t="s">
        <v>141</v>
      </c>
      <c r="I30" s="11" t="s">
        <v>142</v>
      </c>
      <c r="K30" s="11" t="s">
        <v>143</v>
      </c>
      <c r="L30" s="10" t="s">
        <v>245</v>
      </c>
      <c r="M30" s="10" t="s">
        <v>246</v>
      </c>
      <c r="N30" s="87">
        <v>20</v>
      </c>
      <c r="O30" s="87">
        <v>5</v>
      </c>
      <c r="P30" s="88"/>
      <c r="Q30" s="89"/>
      <c r="R30" s="88"/>
      <c r="S30" s="88"/>
      <c r="T30" s="89"/>
      <c r="U30" s="89"/>
      <c r="V30" s="88"/>
      <c r="W30" s="89"/>
      <c r="X30" s="88"/>
      <c r="Y30" s="89"/>
      <c r="Z30" s="89"/>
      <c r="AA30" s="88"/>
      <c r="AB30" s="10" t="s">
        <v>252</v>
      </c>
      <c r="AC30" s="10" t="s">
        <v>252</v>
      </c>
      <c r="AD30" s="88"/>
      <c r="AE30" s="88"/>
      <c r="AF30" s="20">
        <f t="shared" si="8"/>
        <v>0</v>
      </c>
      <c r="AG30" s="13">
        <f t="shared" si="1"/>
        <v>0</v>
      </c>
      <c r="AH30" s="7">
        <f t="shared" si="2"/>
        <v>0</v>
      </c>
      <c r="AI30" s="7">
        <f t="shared" si="3"/>
        <v>0</v>
      </c>
      <c r="AJ30" s="7">
        <f t="shared" si="4"/>
        <v>0</v>
      </c>
      <c r="AK30" s="7">
        <f t="shared" si="5"/>
        <v>0</v>
      </c>
      <c r="AL30" s="12">
        <f t="shared" si="9"/>
        <v>0</v>
      </c>
      <c r="AM30" s="14" t="str">
        <f t="shared" si="7"/>
        <v>Passable</v>
      </c>
      <c r="AN30" s="88"/>
      <c r="AO30" s="89"/>
      <c r="AP30" s="10" t="s">
        <v>284</v>
      </c>
    </row>
    <row r="31" spans="1:42" ht="16">
      <c r="A31" s="59">
        <v>45200</v>
      </c>
      <c r="C31" s="10">
        <v>9903437</v>
      </c>
      <c r="D31" s="10" t="s">
        <v>100</v>
      </c>
      <c r="E31" s="11">
        <v>10</v>
      </c>
      <c r="F31" s="39">
        <v>500733</v>
      </c>
      <c r="G31" s="39">
        <v>5959822</v>
      </c>
      <c r="H31" s="11" t="s">
        <v>144</v>
      </c>
      <c r="I31" s="11" t="s">
        <v>145</v>
      </c>
      <c r="K31" s="11" t="s">
        <v>104</v>
      </c>
      <c r="L31" s="10" t="s">
        <v>243</v>
      </c>
      <c r="M31" s="10" t="s">
        <v>244</v>
      </c>
      <c r="N31" s="87">
        <v>1.2</v>
      </c>
      <c r="O31" s="87">
        <v>29</v>
      </c>
      <c r="P31" s="85" t="s">
        <v>252</v>
      </c>
      <c r="Q31" s="89"/>
      <c r="R31" s="85" t="s">
        <v>252</v>
      </c>
      <c r="S31" s="85" t="s">
        <v>252</v>
      </c>
      <c r="T31" s="89"/>
      <c r="U31" s="87">
        <v>2</v>
      </c>
      <c r="V31" s="85">
        <v>1.5</v>
      </c>
      <c r="W31" s="87">
        <v>0</v>
      </c>
      <c r="X31" s="85" t="s">
        <v>252</v>
      </c>
      <c r="Y31" s="87">
        <v>5</v>
      </c>
      <c r="Z31" s="87">
        <v>1.2</v>
      </c>
      <c r="AA31" s="85">
        <v>3</v>
      </c>
      <c r="AB31" s="10" t="s">
        <v>252</v>
      </c>
      <c r="AC31" s="10" t="s">
        <v>252</v>
      </c>
      <c r="AD31" s="85" t="s">
        <v>254</v>
      </c>
      <c r="AE31" s="85" t="s">
        <v>257</v>
      </c>
      <c r="AF31" s="20">
        <f t="shared" si="8"/>
        <v>1</v>
      </c>
      <c r="AG31" s="13">
        <f t="shared" si="1"/>
        <v>3</v>
      </c>
      <c r="AH31" s="7">
        <f t="shared" si="2"/>
        <v>10</v>
      </c>
      <c r="AI31" s="7">
        <f t="shared" si="3"/>
        <v>10</v>
      </c>
      <c r="AJ31" s="7">
        <f t="shared" si="4"/>
        <v>10</v>
      </c>
      <c r="AK31" s="7">
        <f t="shared" si="5"/>
        <v>3</v>
      </c>
      <c r="AL31" s="12">
        <f t="shared" si="9"/>
        <v>36</v>
      </c>
      <c r="AM31" s="14" t="str">
        <f t="shared" si="7"/>
        <v>Barrier</v>
      </c>
      <c r="AN31" s="85"/>
      <c r="AO31" s="87"/>
      <c r="AP31" s="10" t="s">
        <v>285</v>
      </c>
    </row>
    <row r="32" spans="1:42" ht="16">
      <c r="A32" s="59">
        <v>45200</v>
      </c>
      <c r="C32" s="10">
        <v>9901826</v>
      </c>
      <c r="D32" s="10" t="s">
        <v>100</v>
      </c>
      <c r="E32" s="11">
        <v>10</v>
      </c>
      <c r="F32" s="39">
        <v>498057</v>
      </c>
      <c r="G32" s="39">
        <v>5955884</v>
      </c>
      <c r="H32" s="11" t="s">
        <v>146</v>
      </c>
      <c r="I32" s="11" t="s">
        <v>147</v>
      </c>
      <c r="K32" s="11" t="s">
        <v>104</v>
      </c>
      <c r="L32" s="10" t="s">
        <v>243</v>
      </c>
      <c r="M32" s="10" t="s">
        <v>244</v>
      </c>
      <c r="N32" s="87">
        <v>0.9</v>
      </c>
      <c r="O32" s="87">
        <v>10</v>
      </c>
      <c r="P32" s="85" t="s">
        <v>252</v>
      </c>
      <c r="Q32" s="89"/>
      <c r="R32" s="85" t="s">
        <v>252</v>
      </c>
      <c r="S32" s="85" t="s">
        <v>252</v>
      </c>
      <c r="T32" s="89"/>
      <c r="U32" s="87">
        <v>0.8</v>
      </c>
      <c r="V32" s="85">
        <v>0.25</v>
      </c>
      <c r="W32" s="87">
        <v>0.2</v>
      </c>
      <c r="X32" s="85" t="s">
        <v>252</v>
      </c>
      <c r="Y32" s="87">
        <v>3</v>
      </c>
      <c r="Z32" s="87">
        <v>1.7</v>
      </c>
      <c r="AA32" s="85">
        <v>1</v>
      </c>
      <c r="AB32" s="10" t="s">
        <v>252</v>
      </c>
      <c r="AC32" s="10" t="s">
        <v>252</v>
      </c>
      <c r="AD32" s="85" t="s">
        <v>254</v>
      </c>
      <c r="AE32" s="85" t="s">
        <v>257</v>
      </c>
      <c r="AF32" s="20">
        <f t="shared" si="8"/>
        <v>1.8888888888888888</v>
      </c>
      <c r="AG32" s="13">
        <f t="shared" si="1"/>
        <v>0</v>
      </c>
      <c r="AH32" s="7">
        <f t="shared" si="2"/>
        <v>10</v>
      </c>
      <c r="AI32" s="7">
        <f t="shared" si="3"/>
        <v>5</v>
      </c>
      <c r="AJ32" s="7">
        <f t="shared" si="4"/>
        <v>10</v>
      </c>
      <c r="AK32" s="7">
        <f t="shared" si="5"/>
        <v>6</v>
      </c>
      <c r="AL32" s="12">
        <f t="shared" si="9"/>
        <v>31</v>
      </c>
      <c r="AM32" s="14" t="str">
        <f t="shared" si="7"/>
        <v>Barrier</v>
      </c>
      <c r="AN32" s="85"/>
      <c r="AO32" s="87"/>
      <c r="AP32" s="10" t="s">
        <v>286</v>
      </c>
    </row>
    <row r="33" spans="1:42" ht="32">
      <c r="A33" s="59">
        <v>45200</v>
      </c>
      <c r="C33" s="10">
        <v>9903963</v>
      </c>
      <c r="D33" s="10" t="s">
        <v>100</v>
      </c>
      <c r="E33" s="11">
        <v>10</v>
      </c>
      <c r="F33" s="39">
        <v>491332</v>
      </c>
      <c r="G33" s="39">
        <v>5956490</v>
      </c>
      <c r="H33" s="11" t="s">
        <v>148</v>
      </c>
      <c r="I33" s="11" t="s">
        <v>149</v>
      </c>
      <c r="K33" s="11" t="s">
        <v>104</v>
      </c>
      <c r="L33" s="10" t="s">
        <v>243</v>
      </c>
      <c r="M33" s="10" t="s">
        <v>244</v>
      </c>
      <c r="N33" s="87">
        <v>1.5</v>
      </c>
      <c r="O33" s="87">
        <v>16</v>
      </c>
      <c r="P33" s="85" t="s">
        <v>252</v>
      </c>
      <c r="Q33" s="89"/>
      <c r="R33" s="85" t="s">
        <v>252</v>
      </c>
      <c r="S33" s="85" t="s">
        <v>252</v>
      </c>
      <c r="T33" s="89"/>
      <c r="U33" s="87">
        <v>1.5</v>
      </c>
      <c r="V33" s="85">
        <v>0.75</v>
      </c>
      <c r="W33" s="87">
        <v>0.5</v>
      </c>
      <c r="X33" s="85" t="s">
        <v>252</v>
      </c>
      <c r="Y33" s="87">
        <v>3</v>
      </c>
      <c r="Z33" s="87">
        <v>1.7</v>
      </c>
      <c r="AA33" s="85">
        <v>1</v>
      </c>
      <c r="AB33" s="10" t="s">
        <v>253</v>
      </c>
      <c r="AC33" s="10" t="s">
        <v>252</v>
      </c>
      <c r="AD33" s="85" t="s">
        <v>254</v>
      </c>
      <c r="AE33" s="85" t="s">
        <v>257</v>
      </c>
      <c r="AF33" s="20">
        <f t="shared" si="8"/>
        <v>1.1333333333333333</v>
      </c>
      <c r="AG33" s="13">
        <f t="shared" si="1"/>
        <v>3</v>
      </c>
      <c r="AH33" s="7">
        <f t="shared" si="2"/>
        <v>10</v>
      </c>
      <c r="AI33" s="7">
        <f t="shared" si="3"/>
        <v>10</v>
      </c>
      <c r="AJ33" s="7">
        <f t="shared" si="4"/>
        <v>10</v>
      </c>
      <c r="AK33" s="7">
        <f t="shared" si="5"/>
        <v>3</v>
      </c>
      <c r="AL33" s="12">
        <f t="shared" si="9"/>
        <v>36</v>
      </c>
      <c r="AM33" s="14" t="str">
        <f t="shared" si="7"/>
        <v>Barrier</v>
      </c>
      <c r="AN33" s="85"/>
      <c r="AO33" s="87"/>
      <c r="AP33" s="10" t="s">
        <v>287</v>
      </c>
    </row>
    <row r="34" spans="1:42" ht="16">
      <c r="A34" s="59">
        <v>45200</v>
      </c>
      <c r="C34" s="10">
        <v>9900367</v>
      </c>
      <c r="D34" s="10" t="s">
        <v>100</v>
      </c>
      <c r="E34" s="11">
        <v>10</v>
      </c>
      <c r="F34" s="39">
        <v>509128</v>
      </c>
      <c r="G34" s="39">
        <v>5959562</v>
      </c>
      <c r="H34" s="11" t="s">
        <v>150</v>
      </c>
      <c r="I34" s="11" t="s">
        <v>151</v>
      </c>
      <c r="K34" s="11" t="s">
        <v>104</v>
      </c>
      <c r="L34" s="10" t="s">
        <v>243</v>
      </c>
      <c r="M34" s="10" t="s">
        <v>244</v>
      </c>
      <c r="N34" s="87">
        <v>4.5</v>
      </c>
      <c r="O34" s="87">
        <v>33</v>
      </c>
      <c r="P34" s="85" t="s">
        <v>252</v>
      </c>
      <c r="Q34" s="89"/>
      <c r="R34" s="85" t="s">
        <v>252</v>
      </c>
      <c r="S34" s="85" t="s">
        <v>252</v>
      </c>
      <c r="T34" s="89"/>
      <c r="U34" s="87">
        <v>2</v>
      </c>
      <c r="V34" s="85">
        <v>0</v>
      </c>
      <c r="W34" s="87">
        <v>1</v>
      </c>
      <c r="X34" s="85" t="s">
        <v>252</v>
      </c>
      <c r="Y34" s="87">
        <v>0</v>
      </c>
      <c r="Z34" s="87">
        <v>5</v>
      </c>
      <c r="AA34" s="85">
        <v>0</v>
      </c>
      <c r="AB34" s="10" t="s">
        <v>253</v>
      </c>
      <c r="AC34" s="10" t="s">
        <v>252</v>
      </c>
      <c r="AD34" s="85" t="s">
        <v>254</v>
      </c>
      <c r="AE34" s="85" t="s">
        <v>255</v>
      </c>
      <c r="AF34" s="20">
        <f t="shared" si="8"/>
        <v>1.1111111111111112</v>
      </c>
      <c r="AG34" s="13">
        <f t="shared" si="1"/>
        <v>6</v>
      </c>
      <c r="AH34" s="7">
        <f t="shared" si="2"/>
        <v>10</v>
      </c>
      <c r="AI34" s="7">
        <f t="shared" si="3"/>
        <v>0</v>
      </c>
      <c r="AJ34" s="7">
        <f t="shared" si="4"/>
        <v>0</v>
      </c>
      <c r="AK34" s="7">
        <f t="shared" si="5"/>
        <v>3</v>
      </c>
      <c r="AL34" s="12">
        <f t="shared" si="9"/>
        <v>19</v>
      </c>
      <c r="AM34" s="14" t="str">
        <f t="shared" si="7"/>
        <v>Potential</v>
      </c>
      <c r="AN34" s="85"/>
      <c r="AO34" s="87"/>
      <c r="AP34" s="10" t="s">
        <v>288</v>
      </c>
    </row>
    <row r="35" spans="1:42" ht="16">
      <c r="A35" s="59">
        <v>45200</v>
      </c>
      <c r="C35" s="10">
        <v>9904385</v>
      </c>
      <c r="D35" s="10" t="s">
        <v>101</v>
      </c>
      <c r="E35" s="11">
        <v>10</v>
      </c>
      <c r="F35" s="39">
        <v>485546</v>
      </c>
      <c r="G35" s="39">
        <v>5954833</v>
      </c>
      <c r="H35" s="11" t="s">
        <v>152</v>
      </c>
      <c r="I35" s="11" t="s">
        <v>153</v>
      </c>
      <c r="K35" s="11" t="s">
        <v>154</v>
      </c>
      <c r="L35" s="10" t="s">
        <v>249</v>
      </c>
      <c r="M35" s="10" t="s">
        <v>250</v>
      </c>
      <c r="N35" s="89"/>
      <c r="O35" s="89"/>
      <c r="P35" s="88"/>
      <c r="Q35" s="89"/>
      <c r="R35" s="88"/>
      <c r="S35" s="88"/>
      <c r="T35" s="89"/>
      <c r="U35" s="89"/>
      <c r="V35" s="88"/>
      <c r="W35" s="89"/>
      <c r="X35" s="88"/>
      <c r="Y35" s="89"/>
      <c r="Z35" s="89"/>
      <c r="AA35" s="88"/>
      <c r="AB35" s="10" t="s">
        <v>252</v>
      </c>
      <c r="AC35" s="10" t="s">
        <v>252</v>
      </c>
      <c r="AD35" s="88"/>
      <c r="AE35" s="88"/>
      <c r="AF35" s="20">
        <f t="shared" si="8"/>
        <v>0</v>
      </c>
      <c r="AG35" s="13">
        <f t="shared" si="1"/>
        <v>0</v>
      </c>
      <c r="AH35" s="7">
        <f t="shared" si="2"/>
        <v>0</v>
      </c>
      <c r="AI35" s="7">
        <f t="shared" si="3"/>
        <v>0</v>
      </c>
      <c r="AJ35" s="7">
        <f t="shared" si="4"/>
        <v>0</v>
      </c>
      <c r="AK35" s="7">
        <f t="shared" si="5"/>
        <v>0</v>
      </c>
      <c r="AL35" s="12">
        <f t="shared" si="9"/>
        <v>0</v>
      </c>
      <c r="AM35" s="14" t="str">
        <f t="shared" si="7"/>
        <v>Unknown</v>
      </c>
      <c r="AN35" s="85"/>
      <c r="AO35" s="87"/>
      <c r="AP35" s="10" t="s">
        <v>289</v>
      </c>
    </row>
    <row r="36" spans="1:42" ht="16">
      <c r="A36" s="59">
        <v>45178</v>
      </c>
      <c r="C36" s="10">
        <v>24716727</v>
      </c>
      <c r="D36" s="10" t="s">
        <v>99</v>
      </c>
      <c r="E36" s="11">
        <v>10</v>
      </c>
      <c r="F36" s="39">
        <v>433506</v>
      </c>
      <c r="G36" s="39">
        <v>5987089</v>
      </c>
      <c r="H36" s="11" t="s">
        <v>155</v>
      </c>
      <c r="I36" s="11" t="s">
        <v>156</v>
      </c>
      <c r="K36" s="11" t="s">
        <v>157</v>
      </c>
      <c r="L36" s="10" t="s">
        <v>243</v>
      </c>
      <c r="M36" s="10" t="s">
        <v>244</v>
      </c>
      <c r="N36" s="87">
        <v>5</v>
      </c>
      <c r="O36" s="87">
        <v>25</v>
      </c>
      <c r="P36" s="85" t="s">
        <v>252</v>
      </c>
      <c r="Q36" s="89"/>
      <c r="R36" s="85" t="s">
        <v>252</v>
      </c>
      <c r="S36" s="85" t="s">
        <v>252</v>
      </c>
      <c r="T36" s="89"/>
      <c r="U36" s="87">
        <v>1.5</v>
      </c>
      <c r="V36" s="85">
        <v>0</v>
      </c>
      <c r="W36" s="87">
        <v>1.5</v>
      </c>
      <c r="X36" s="85" t="s">
        <v>252</v>
      </c>
      <c r="Y36" s="87">
        <v>1.5</v>
      </c>
      <c r="Z36" s="87">
        <v>6.2</v>
      </c>
      <c r="AA36" s="85">
        <v>1</v>
      </c>
      <c r="AB36" s="10" t="s">
        <v>252</v>
      </c>
      <c r="AC36" s="10" t="s">
        <v>253</v>
      </c>
      <c r="AD36" s="85" t="s">
        <v>254</v>
      </c>
      <c r="AE36" s="85" t="s">
        <v>255</v>
      </c>
      <c r="AF36" s="20">
        <f t="shared" si="8"/>
        <v>1.24</v>
      </c>
      <c r="AG36" s="13">
        <f t="shared" si="1"/>
        <v>3</v>
      </c>
      <c r="AH36" s="7">
        <f t="shared" si="2"/>
        <v>10</v>
      </c>
      <c r="AI36" s="7">
        <f t="shared" si="3"/>
        <v>0</v>
      </c>
      <c r="AJ36" s="7">
        <f t="shared" si="4"/>
        <v>5</v>
      </c>
      <c r="AK36" s="7">
        <f t="shared" si="5"/>
        <v>3</v>
      </c>
      <c r="AL36" s="12">
        <f t="shared" si="9"/>
        <v>21</v>
      </c>
      <c r="AM36" s="14" t="str">
        <f t="shared" si="7"/>
        <v>Barrier</v>
      </c>
      <c r="AN36" s="85"/>
      <c r="AO36" s="87"/>
      <c r="AP36" s="10" t="s">
        <v>290</v>
      </c>
    </row>
    <row r="37" spans="1:42" ht="16">
      <c r="A37" s="59">
        <v>45178</v>
      </c>
      <c r="C37" s="10">
        <v>15600108</v>
      </c>
      <c r="D37" s="10" t="s">
        <v>99</v>
      </c>
      <c r="E37" s="11">
        <v>10</v>
      </c>
      <c r="F37" s="39">
        <v>429831</v>
      </c>
      <c r="G37" s="39">
        <v>5990320</v>
      </c>
      <c r="H37" s="11" t="s">
        <v>155</v>
      </c>
      <c r="I37" s="11" t="s">
        <v>158</v>
      </c>
      <c r="K37" s="11" t="s">
        <v>104</v>
      </c>
      <c r="L37" s="10" t="s">
        <v>243</v>
      </c>
      <c r="M37" s="10" t="s">
        <v>244</v>
      </c>
      <c r="N37" s="87">
        <v>2.2000000000000002</v>
      </c>
      <c r="O37" s="87">
        <v>15</v>
      </c>
      <c r="P37" s="85" t="s">
        <v>252</v>
      </c>
      <c r="Q37" s="89"/>
      <c r="R37" s="85" t="s">
        <v>252</v>
      </c>
      <c r="S37" s="85" t="s">
        <v>252</v>
      </c>
      <c r="T37" s="89"/>
      <c r="U37" s="87">
        <v>2</v>
      </c>
      <c r="V37" s="85">
        <v>0</v>
      </c>
      <c r="W37" s="87">
        <v>0.4</v>
      </c>
      <c r="X37" s="85" t="s">
        <v>252</v>
      </c>
      <c r="Y37" s="87">
        <v>0.5</v>
      </c>
      <c r="Z37" s="87">
        <v>2.1</v>
      </c>
      <c r="AA37" s="85">
        <v>1</v>
      </c>
      <c r="AB37" s="10" t="s">
        <v>252</v>
      </c>
      <c r="AC37" s="10" t="s">
        <v>252</v>
      </c>
      <c r="AD37" s="85" t="s">
        <v>254</v>
      </c>
      <c r="AE37" s="85" t="s">
        <v>256</v>
      </c>
      <c r="AF37" s="20">
        <f t="shared" si="8"/>
        <v>0.95454545454545447</v>
      </c>
      <c r="AG37" s="13">
        <f t="shared" si="1"/>
        <v>3</v>
      </c>
      <c r="AH37" s="7">
        <f t="shared" si="2"/>
        <v>10</v>
      </c>
      <c r="AI37" s="7">
        <f t="shared" si="3"/>
        <v>0</v>
      </c>
      <c r="AJ37" s="7">
        <f t="shared" si="4"/>
        <v>0</v>
      </c>
      <c r="AK37" s="7">
        <f t="shared" si="5"/>
        <v>0</v>
      </c>
      <c r="AL37" s="12">
        <f t="shared" si="9"/>
        <v>13</v>
      </c>
      <c r="AM37" s="14" t="str">
        <f t="shared" si="7"/>
        <v>Passable</v>
      </c>
      <c r="AN37" s="85"/>
      <c r="AO37" s="87"/>
      <c r="AP37" s="10" t="s">
        <v>291</v>
      </c>
    </row>
    <row r="38" spans="1:42" ht="16">
      <c r="A38" s="59">
        <v>45178</v>
      </c>
      <c r="C38" s="10">
        <v>15600467</v>
      </c>
      <c r="D38" s="10" t="s">
        <v>99</v>
      </c>
      <c r="E38" s="11">
        <v>10</v>
      </c>
      <c r="F38" s="39">
        <v>429905</v>
      </c>
      <c r="G38" s="39">
        <v>5990198</v>
      </c>
      <c r="H38" s="11" t="s">
        <v>155</v>
      </c>
      <c r="I38" s="11" t="s">
        <v>159</v>
      </c>
      <c r="K38" s="11" t="s">
        <v>119</v>
      </c>
      <c r="L38" s="10" t="s">
        <v>243</v>
      </c>
      <c r="M38" s="10" t="s">
        <v>244</v>
      </c>
      <c r="N38" s="87">
        <v>3.2</v>
      </c>
      <c r="O38" s="87">
        <v>16</v>
      </c>
      <c r="P38" s="85" t="s">
        <v>252</v>
      </c>
      <c r="Q38" s="89"/>
      <c r="R38" s="85" t="s">
        <v>252</v>
      </c>
      <c r="S38" s="85" t="s">
        <v>252</v>
      </c>
      <c r="T38" s="89"/>
      <c r="U38" s="87">
        <v>4</v>
      </c>
      <c r="V38" s="85">
        <v>0.3</v>
      </c>
      <c r="W38" s="87">
        <v>1</v>
      </c>
      <c r="X38" s="85" t="s">
        <v>252</v>
      </c>
      <c r="Y38" s="87">
        <v>2</v>
      </c>
      <c r="Z38" s="87">
        <v>2.2000000000000002</v>
      </c>
      <c r="AA38" s="85">
        <v>1</v>
      </c>
      <c r="AB38" s="10" t="s">
        <v>252</v>
      </c>
      <c r="AC38" s="10" t="s">
        <v>252</v>
      </c>
      <c r="AD38" s="85" t="s">
        <v>254</v>
      </c>
      <c r="AE38" s="85" t="s">
        <v>256</v>
      </c>
      <c r="AF38" s="20">
        <f t="shared" si="8"/>
        <v>0.6875</v>
      </c>
      <c r="AG38" s="13">
        <f t="shared" si="1"/>
        <v>3</v>
      </c>
      <c r="AH38" s="7">
        <f t="shared" si="2"/>
        <v>10</v>
      </c>
      <c r="AI38" s="7">
        <f t="shared" si="3"/>
        <v>10</v>
      </c>
      <c r="AJ38" s="7">
        <f t="shared" si="4"/>
        <v>5</v>
      </c>
      <c r="AK38" s="7">
        <f t="shared" si="5"/>
        <v>0</v>
      </c>
      <c r="AL38" s="12">
        <f t="shared" si="9"/>
        <v>28</v>
      </c>
      <c r="AM38" s="14" t="str">
        <f t="shared" si="7"/>
        <v>Barrier</v>
      </c>
      <c r="AN38" s="85"/>
      <c r="AO38" s="87"/>
      <c r="AP38" s="10" t="s">
        <v>292</v>
      </c>
    </row>
    <row r="39" spans="1:42" ht="16">
      <c r="A39" s="59">
        <v>45178</v>
      </c>
      <c r="C39" s="10">
        <v>15600468</v>
      </c>
      <c r="D39" s="10" t="s">
        <v>99</v>
      </c>
      <c r="E39" s="11">
        <v>10</v>
      </c>
      <c r="F39" s="39">
        <v>429073</v>
      </c>
      <c r="G39" s="39">
        <v>5991955</v>
      </c>
      <c r="H39" s="11" t="s">
        <v>155</v>
      </c>
      <c r="I39" s="11" t="s">
        <v>160</v>
      </c>
      <c r="K39" s="11" t="s">
        <v>104</v>
      </c>
      <c r="L39" s="10" t="s">
        <v>243</v>
      </c>
      <c r="M39" s="10" t="s">
        <v>244</v>
      </c>
      <c r="N39" s="87">
        <v>2.2000000000000002</v>
      </c>
      <c r="O39" s="87">
        <v>14</v>
      </c>
      <c r="P39" s="85" t="s">
        <v>252</v>
      </c>
      <c r="Q39" s="89"/>
      <c r="R39" s="85" t="s">
        <v>252</v>
      </c>
      <c r="S39" s="85" t="s">
        <v>253</v>
      </c>
      <c r="T39" s="87">
        <v>100</v>
      </c>
      <c r="U39" s="87">
        <v>1.5</v>
      </c>
      <c r="V39" s="85">
        <v>0</v>
      </c>
      <c r="W39" s="87">
        <v>0.5</v>
      </c>
      <c r="X39" s="85" t="s">
        <v>252</v>
      </c>
      <c r="Y39" s="87">
        <v>0.5</v>
      </c>
      <c r="Z39" s="87">
        <v>2.7</v>
      </c>
      <c r="AA39" s="85">
        <v>0</v>
      </c>
      <c r="AB39" s="10" t="s">
        <v>252</v>
      </c>
      <c r="AC39" s="10" t="s">
        <v>252</v>
      </c>
      <c r="AD39" s="85" t="s">
        <v>254</v>
      </c>
      <c r="AE39" s="85" t="s">
        <v>256</v>
      </c>
      <c r="AF39" s="20">
        <f t="shared" si="8"/>
        <v>1.2272727272727273</v>
      </c>
      <c r="AG39" s="13">
        <f t="shared" si="1"/>
        <v>0</v>
      </c>
      <c r="AH39" s="7">
        <f t="shared" si="2"/>
        <v>10</v>
      </c>
      <c r="AI39" s="7">
        <f t="shared" si="3"/>
        <v>0</v>
      </c>
      <c r="AJ39" s="7">
        <f t="shared" si="4"/>
        <v>0</v>
      </c>
      <c r="AK39" s="7">
        <f t="shared" si="5"/>
        <v>3</v>
      </c>
      <c r="AL39" s="12">
        <f t="shared" si="9"/>
        <v>13</v>
      </c>
      <c r="AM39" s="14" t="str">
        <f t="shared" si="7"/>
        <v>Passable</v>
      </c>
      <c r="AN39" s="85"/>
      <c r="AO39" s="87"/>
      <c r="AP39" s="10" t="s">
        <v>293</v>
      </c>
    </row>
    <row r="40" spans="1:42" ht="16">
      <c r="A40" s="59">
        <v>45178</v>
      </c>
      <c r="C40" s="10">
        <v>15600111</v>
      </c>
      <c r="D40" s="10" t="s">
        <v>99</v>
      </c>
      <c r="E40" s="11">
        <v>10</v>
      </c>
      <c r="F40" s="39">
        <v>429944</v>
      </c>
      <c r="G40" s="39">
        <v>5992722</v>
      </c>
      <c r="H40" s="11" t="s">
        <v>155</v>
      </c>
      <c r="I40" s="11" t="s">
        <v>161</v>
      </c>
      <c r="K40" s="11" t="s">
        <v>119</v>
      </c>
      <c r="L40" s="10" t="s">
        <v>243</v>
      </c>
      <c r="M40" s="10" t="s">
        <v>251</v>
      </c>
      <c r="N40" s="87">
        <v>3.1</v>
      </c>
      <c r="O40" s="87">
        <v>16</v>
      </c>
      <c r="P40" s="85" t="s">
        <v>252</v>
      </c>
      <c r="Q40" s="89"/>
      <c r="R40" s="85" t="s">
        <v>252</v>
      </c>
      <c r="S40" s="85" t="s">
        <v>253</v>
      </c>
      <c r="T40" s="87">
        <v>100</v>
      </c>
      <c r="U40" s="87">
        <v>0.5</v>
      </c>
      <c r="V40" s="85">
        <v>0</v>
      </c>
      <c r="W40" s="87">
        <v>0.1</v>
      </c>
      <c r="X40" s="85" t="s">
        <v>252</v>
      </c>
      <c r="Y40" s="87">
        <v>0</v>
      </c>
      <c r="Z40" s="87">
        <v>2.7</v>
      </c>
      <c r="AA40" s="85">
        <v>0.5</v>
      </c>
      <c r="AB40" s="10" t="s">
        <v>252</v>
      </c>
      <c r="AC40" s="10" t="s">
        <v>252</v>
      </c>
      <c r="AD40" s="85" t="s">
        <v>254</v>
      </c>
      <c r="AE40" s="85" t="s">
        <v>255</v>
      </c>
      <c r="AF40" s="20">
        <f t="shared" si="8"/>
        <v>0.87096774193548387</v>
      </c>
      <c r="AG40" s="13">
        <f t="shared" si="1"/>
        <v>3</v>
      </c>
      <c r="AH40" s="7">
        <f t="shared" si="2"/>
        <v>10</v>
      </c>
      <c r="AI40" s="7">
        <f t="shared" si="3"/>
        <v>0</v>
      </c>
      <c r="AJ40" s="7">
        <f t="shared" si="4"/>
        <v>0</v>
      </c>
      <c r="AK40" s="7">
        <f t="shared" si="5"/>
        <v>0</v>
      </c>
      <c r="AL40" s="12">
        <f t="shared" si="9"/>
        <v>13</v>
      </c>
      <c r="AM40" s="14" t="str">
        <f t="shared" si="7"/>
        <v>Passable</v>
      </c>
      <c r="AN40" s="85"/>
      <c r="AO40" s="87"/>
      <c r="AP40" s="10" t="s">
        <v>294</v>
      </c>
    </row>
    <row r="41" spans="1:42" ht="16">
      <c r="A41" s="59">
        <v>45178</v>
      </c>
      <c r="C41" s="10">
        <v>15600107</v>
      </c>
      <c r="D41" s="10" t="s">
        <v>99</v>
      </c>
      <c r="E41" s="11">
        <v>10</v>
      </c>
      <c r="F41" s="39">
        <v>430580</v>
      </c>
      <c r="G41" s="39">
        <v>5990313</v>
      </c>
      <c r="H41" s="11" t="s">
        <v>162</v>
      </c>
      <c r="I41" s="11" t="s">
        <v>158</v>
      </c>
      <c r="K41" s="11" t="s">
        <v>119</v>
      </c>
      <c r="L41" s="10" t="s">
        <v>243</v>
      </c>
      <c r="M41" s="10" t="s">
        <v>244</v>
      </c>
      <c r="N41" s="87">
        <v>2.5</v>
      </c>
      <c r="O41" s="87">
        <v>22</v>
      </c>
      <c r="P41" s="85" t="s">
        <v>252</v>
      </c>
      <c r="Q41" s="89"/>
      <c r="R41" s="85" t="s">
        <v>252</v>
      </c>
      <c r="S41" s="85" t="s">
        <v>252</v>
      </c>
      <c r="T41" s="89"/>
      <c r="U41" s="87">
        <v>0.5</v>
      </c>
      <c r="V41" s="85">
        <v>0</v>
      </c>
      <c r="W41" s="87">
        <v>0.5</v>
      </c>
      <c r="X41" s="85" t="s">
        <v>252</v>
      </c>
      <c r="Y41" s="87">
        <v>1</v>
      </c>
      <c r="Z41" s="87">
        <v>1.7</v>
      </c>
      <c r="AA41" s="85">
        <v>1</v>
      </c>
      <c r="AB41" s="10" t="s">
        <v>252</v>
      </c>
      <c r="AC41" s="10" t="s">
        <v>252</v>
      </c>
      <c r="AD41" s="85" t="s">
        <v>254</v>
      </c>
      <c r="AE41" s="85" t="s">
        <v>257</v>
      </c>
      <c r="AF41" s="20">
        <f t="shared" si="8"/>
        <v>0.67999999999999994</v>
      </c>
      <c r="AG41" s="13">
        <f t="shared" si="1"/>
        <v>3</v>
      </c>
      <c r="AH41" s="7">
        <f t="shared" si="2"/>
        <v>10</v>
      </c>
      <c r="AI41" s="7">
        <f t="shared" si="3"/>
        <v>0</v>
      </c>
      <c r="AJ41" s="7">
        <f t="shared" si="4"/>
        <v>5</v>
      </c>
      <c r="AK41" s="7">
        <f t="shared" si="5"/>
        <v>0</v>
      </c>
      <c r="AL41" s="12">
        <f t="shared" si="9"/>
        <v>18</v>
      </c>
      <c r="AM41" s="14" t="str">
        <f t="shared" si="7"/>
        <v>Potential</v>
      </c>
      <c r="AN41" s="85"/>
      <c r="AO41" s="87"/>
      <c r="AP41" s="10" t="s">
        <v>295</v>
      </c>
    </row>
    <row r="42" spans="1:42" ht="16">
      <c r="A42" s="59">
        <v>45178</v>
      </c>
      <c r="C42" s="10">
        <v>15600190</v>
      </c>
      <c r="D42" s="10" t="s">
        <v>99</v>
      </c>
      <c r="E42" s="11">
        <v>10</v>
      </c>
      <c r="F42" s="39">
        <v>431924</v>
      </c>
      <c r="G42" s="39">
        <v>5991893</v>
      </c>
      <c r="H42" s="11" t="s">
        <v>163</v>
      </c>
      <c r="I42" s="11" t="s">
        <v>164</v>
      </c>
      <c r="K42" s="11" t="s">
        <v>119</v>
      </c>
      <c r="L42" s="10" t="s">
        <v>243</v>
      </c>
      <c r="M42" s="10" t="s">
        <v>244</v>
      </c>
      <c r="N42" s="87">
        <v>1.8</v>
      </c>
      <c r="O42" s="87">
        <v>12</v>
      </c>
      <c r="P42" s="85" t="s">
        <v>252</v>
      </c>
      <c r="Q42" s="89"/>
      <c r="R42" s="85" t="s">
        <v>252</v>
      </c>
      <c r="S42" s="85" t="s">
        <v>252</v>
      </c>
      <c r="T42" s="89"/>
      <c r="U42" s="87">
        <v>0.5</v>
      </c>
      <c r="V42" s="85">
        <v>0</v>
      </c>
      <c r="W42" s="87">
        <v>0.3</v>
      </c>
      <c r="X42" s="85" t="s">
        <v>252</v>
      </c>
      <c r="Y42" s="87">
        <v>1</v>
      </c>
      <c r="Z42" s="87">
        <v>1.6</v>
      </c>
      <c r="AA42" s="85">
        <v>1</v>
      </c>
      <c r="AB42" s="10" t="s">
        <v>252</v>
      </c>
      <c r="AC42" s="10" t="s">
        <v>252</v>
      </c>
      <c r="AD42" s="85" t="s">
        <v>254</v>
      </c>
      <c r="AE42" s="85" t="s">
        <v>257</v>
      </c>
      <c r="AF42" s="20">
        <f t="shared" si="8"/>
        <v>0.88888888888888895</v>
      </c>
      <c r="AG42" s="13">
        <f t="shared" si="1"/>
        <v>0</v>
      </c>
      <c r="AH42" s="7">
        <f t="shared" si="2"/>
        <v>10</v>
      </c>
      <c r="AI42" s="7">
        <f t="shared" si="3"/>
        <v>0</v>
      </c>
      <c r="AJ42" s="7">
        <f t="shared" si="4"/>
        <v>5</v>
      </c>
      <c r="AK42" s="7">
        <f t="shared" si="5"/>
        <v>0</v>
      </c>
      <c r="AL42" s="12">
        <f t="shared" si="9"/>
        <v>15</v>
      </c>
      <c r="AM42" s="14" t="str">
        <f t="shared" si="7"/>
        <v>Potential</v>
      </c>
      <c r="AN42" s="85"/>
      <c r="AO42" s="87"/>
      <c r="AP42" s="10" t="s">
        <v>296</v>
      </c>
    </row>
    <row r="43" spans="1:42" ht="16">
      <c r="A43" s="59">
        <v>45178</v>
      </c>
      <c r="C43" s="10">
        <v>15600106</v>
      </c>
      <c r="D43" s="10" t="s">
        <v>99</v>
      </c>
      <c r="E43" s="11">
        <v>10</v>
      </c>
      <c r="F43" s="39">
        <v>431487</v>
      </c>
      <c r="G43" s="39">
        <v>5990586</v>
      </c>
      <c r="H43" s="11" t="s">
        <v>162</v>
      </c>
      <c r="I43" s="11" t="s">
        <v>160</v>
      </c>
      <c r="K43" s="11" t="s">
        <v>104</v>
      </c>
      <c r="L43" s="10" t="s">
        <v>243</v>
      </c>
      <c r="M43" s="10" t="s">
        <v>244</v>
      </c>
      <c r="N43" s="87">
        <v>2.5</v>
      </c>
      <c r="O43" s="87">
        <v>18</v>
      </c>
      <c r="P43" s="85" t="s">
        <v>252</v>
      </c>
      <c r="Q43" s="89"/>
      <c r="R43" s="85" t="s">
        <v>252</v>
      </c>
      <c r="S43" s="85" t="s">
        <v>253</v>
      </c>
      <c r="T43" s="87">
        <v>100</v>
      </c>
      <c r="U43" s="87">
        <v>3</v>
      </c>
      <c r="V43" s="85">
        <v>0</v>
      </c>
      <c r="W43" s="87">
        <v>1.5</v>
      </c>
      <c r="X43" s="85" t="s">
        <v>253</v>
      </c>
      <c r="Y43" s="87">
        <v>1</v>
      </c>
      <c r="Z43" s="87">
        <v>2.5</v>
      </c>
      <c r="AA43" s="85">
        <v>1</v>
      </c>
      <c r="AB43" s="10" t="s">
        <v>253</v>
      </c>
      <c r="AC43" s="10" t="s">
        <v>252</v>
      </c>
      <c r="AD43" s="85" t="s">
        <v>254</v>
      </c>
      <c r="AE43" s="85" t="s">
        <v>257</v>
      </c>
      <c r="AF43" s="20">
        <f t="shared" si="8"/>
        <v>1</v>
      </c>
      <c r="AG43" s="13">
        <f t="shared" si="1"/>
        <v>3</v>
      </c>
      <c r="AH43" s="7">
        <f t="shared" si="2"/>
        <v>10</v>
      </c>
      <c r="AI43" s="7">
        <f t="shared" si="3"/>
        <v>0</v>
      </c>
      <c r="AJ43" s="7">
        <f t="shared" si="4"/>
        <v>5</v>
      </c>
      <c r="AK43" s="7">
        <f t="shared" si="5"/>
        <v>3</v>
      </c>
      <c r="AL43" s="12">
        <f t="shared" si="9"/>
        <v>21</v>
      </c>
      <c r="AM43" s="14" t="str">
        <f t="shared" si="7"/>
        <v>Barrier</v>
      </c>
      <c r="AN43" s="85"/>
      <c r="AO43" s="87"/>
      <c r="AP43" s="10" t="s">
        <v>297</v>
      </c>
    </row>
    <row r="44" spans="1:42" ht="16">
      <c r="A44" s="59">
        <v>45178</v>
      </c>
      <c r="C44" s="10">
        <v>15603995</v>
      </c>
      <c r="D44" s="10" t="s">
        <v>99</v>
      </c>
      <c r="E44" s="11">
        <v>10</v>
      </c>
      <c r="F44" s="39">
        <v>431910</v>
      </c>
      <c r="G44" s="39">
        <v>5995592</v>
      </c>
      <c r="H44" s="11" t="s">
        <v>163</v>
      </c>
      <c r="I44" s="11" t="s">
        <v>165</v>
      </c>
      <c r="K44" s="11" t="s">
        <v>119</v>
      </c>
      <c r="L44" s="10" t="s">
        <v>243</v>
      </c>
      <c r="M44" s="10" t="s">
        <v>244</v>
      </c>
      <c r="N44" s="87">
        <v>0.5</v>
      </c>
      <c r="O44" s="87">
        <v>10</v>
      </c>
      <c r="P44" s="85" t="s">
        <v>252</v>
      </c>
      <c r="Q44" s="89"/>
      <c r="R44" s="85" t="s">
        <v>252</v>
      </c>
      <c r="S44" s="85" t="s">
        <v>252</v>
      </c>
      <c r="T44" s="89"/>
      <c r="U44" s="87">
        <v>1</v>
      </c>
      <c r="V44" s="85">
        <v>0</v>
      </c>
      <c r="W44" s="87">
        <v>0</v>
      </c>
      <c r="X44" s="85" t="s">
        <v>252</v>
      </c>
      <c r="Y44" s="87">
        <v>1</v>
      </c>
      <c r="Z44" s="87">
        <v>0.7</v>
      </c>
      <c r="AA44" s="85">
        <v>1.5</v>
      </c>
      <c r="AB44" s="10" t="s">
        <v>252</v>
      </c>
      <c r="AC44" s="10" t="s">
        <v>252</v>
      </c>
      <c r="AD44" s="85" t="s">
        <v>254</v>
      </c>
      <c r="AE44" s="85" t="s">
        <v>257</v>
      </c>
      <c r="AF44" s="20">
        <f t="shared" si="8"/>
        <v>1.4</v>
      </c>
      <c r="AG44" s="13">
        <f t="shared" si="1"/>
        <v>0</v>
      </c>
      <c r="AH44" s="7">
        <f t="shared" si="2"/>
        <v>10</v>
      </c>
      <c r="AI44" s="7">
        <f t="shared" si="3"/>
        <v>0</v>
      </c>
      <c r="AJ44" s="7">
        <f t="shared" si="4"/>
        <v>5</v>
      </c>
      <c r="AK44" s="7">
        <f t="shared" si="5"/>
        <v>6</v>
      </c>
      <c r="AL44" s="12">
        <f t="shared" si="9"/>
        <v>21</v>
      </c>
      <c r="AM44" s="14" t="str">
        <f t="shared" si="7"/>
        <v>Barrier</v>
      </c>
      <c r="AN44" s="85"/>
      <c r="AO44" s="87"/>
      <c r="AP44" s="10" t="s">
        <v>298</v>
      </c>
    </row>
    <row r="45" spans="1:42" ht="16">
      <c r="A45" s="59">
        <v>45178</v>
      </c>
      <c r="C45" s="10">
        <v>15600147</v>
      </c>
      <c r="D45" s="10" t="s">
        <v>99</v>
      </c>
      <c r="E45" s="11">
        <v>10</v>
      </c>
      <c r="F45" s="39">
        <v>438071</v>
      </c>
      <c r="G45" s="39">
        <v>5986296</v>
      </c>
      <c r="H45" s="11" t="s">
        <v>166</v>
      </c>
      <c r="I45" s="11" t="s">
        <v>167</v>
      </c>
      <c r="K45" s="11" t="s">
        <v>157</v>
      </c>
      <c r="L45" s="10" t="s">
        <v>243</v>
      </c>
      <c r="M45" s="10" t="s">
        <v>244</v>
      </c>
      <c r="N45" s="87">
        <v>2.7</v>
      </c>
      <c r="O45" s="87">
        <v>16</v>
      </c>
      <c r="P45" s="85" t="s">
        <v>253</v>
      </c>
      <c r="Q45" s="87">
        <v>0.3</v>
      </c>
      <c r="R45" s="85" t="s">
        <v>252</v>
      </c>
      <c r="S45" s="85" t="s">
        <v>252</v>
      </c>
      <c r="T45" s="89"/>
      <c r="U45" s="87">
        <v>0.5</v>
      </c>
      <c r="V45" s="85">
        <v>0</v>
      </c>
      <c r="W45" s="87">
        <v>0</v>
      </c>
      <c r="X45" s="85" t="s">
        <v>252</v>
      </c>
      <c r="Y45" s="87">
        <v>1</v>
      </c>
      <c r="Z45" s="87">
        <v>1.9</v>
      </c>
      <c r="AA45" s="85">
        <v>2</v>
      </c>
      <c r="AB45" s="10" t="s">
        <v>252</v>
      </c>
      <c r="AC45" s="10" t="s">
        <v>252</v>
      </c>
      <c r="AD45" s="85" t="s">
        <v>254</v>
      </c>
      <c r="AE45" s="85" t="s">
        <v>256</v>
      </c>
      <c r="AF45" s="20">
        <f t="shared" si="8"/>
        <v>0.70370370370370361</v>
      </c>
      <c r="AG45" s="13">
        <f t="shared" si="1"/>
        <v>3</v>
      </c>
      <c r="AH45" s="7">
        <f t="shared" si="2"/>
        <v>5</v>
      </c>
      <c r="AI45" s="7">
        <f t="shared" si="3"/>
        <v>0</v>
      </c>
      <c r="AJ45" s="7">
        <f t="shared" si="4"/>
        <v>5</v>
      </c>
      <c r="AK45" s="7">
        <f t="shared" si="5"/>
        <v>0</v>
      </c>
      <c r="AL45" s="12">
        <f t="shared" si="9"/>
        <v>13</v>
      </c>
      <c r="AM45" s="14" t="str">
        <f t="shared" si="7"/>
        <v>Passable</v>
      </c>
      <c r="AN45" s="85"/>
      <c r="AO45" s="87"/>
      <c r="AP45" s="10" t="s">
        <v>299</v>
      </c>
    </row>
    <row r="46" spans="1:42" ht="16">
      <c r="A46" s="59">
        <v>45178</v>
      </c>
      <c r="C46" s="10">
        <v>15600011</v>
      </c>
      <c r="D46" s="10" t="s">
        <v>99</v>
      </c>
      <c r="E46" s="11">
        <v>10</v>
      </c>
      <c r="F46" s="39">
        <v>439543</v>
      </c>
      <c r="G46" s="39">
        <v>5988470</v>
      </c>
      <c r="H46" s="11" t="s">
        <v>166</v>
      </c>
      <c r="I46" s="11" t="s">
        <v>168</v>
      </c>
      <c r="K46" s="11" t="s">
        <v>119</v>
      </c>
      <c r="L46" s="10" t="s">
        <v>243</v>
      </c>
      <c r="M46" s="10" t="s">
        <v>244</v>
      </c>
      <c r="N46" s="87">
        <v>1.7</v>
      </c>
      <c r="O46" s="87">
        <v>14</v>
      </c>
      <c r="P46" s="85" t="s">
        <v>252</v>
      </c>
      <c r="Q46" s="89"/>
      <c r="R46" s="85" t="s">
        <v>252</v>
      </c>
      <c r="S46" s="85" t="s">
        <v>252</v>
      </c>
      <c r="T46" s="89"/>
      <c r="U46" s="87">
        <v>1.5</v>
      </c>
      <c r="V46" s="85">
        <v>0</v>
      </c>
      <c r="W46" s="87">
        <v>2</v>
      </c>
      <c r="X46" s="85" t="s">
        <v>252</v>
      </c>
      <c r="Y46" s="87">
        <v>1</v>
      </c>
      <c r="Z46" s="87">
        <v>1.7</v>
      </c>
      <c r="AA46" s="85">
        <v>1.5</v>
      </c>
      <c r="AB46" s="10" t="s">
        <v>252</v>
      </c>
      <c r="AC46" s="10" t="s">
        <v>252</v>
      </c>
      <c r="AD46" s="85" t="s">
        <v>254</v>
      </c>
      <c r="AE46" s="85" t="s">
        <v>256</v>
      </c>
      <c r="AF46" s="20">
        <f t="shared" si="8"/>
        <v>1</v>
      </c>
      <c r="AG46" s="13">
        <f t="shared" si="1"/>
        <v>0</v>
      </c>
      <c r="AH46" s="7">
        <f t="shared" si="2"/>
        <v>10</v>
      </c>
      <c r="AI46" s="7">
        <f t="shared" si="3"/>
        <v>0</v>
      </c>
      <c r="AJ46" s="7">
        <f t="shared" si="4"/>
        <v>5</v>
      </c>
      <c r="AK46" s="7">
        <f t="shared" si="5"/>
        <v>3</v>
      </c>
      <c r="AL46" s="12">
        <f t="shared" si="9"/>
        <v>18</v>
      </c>
      <c r="AM46" s="14" t="str">
        <f t="shared" si="7"/>
        <v>Potential</v>
      </c>
      <c r="AN46" s="85"/>
      <c r="AO46" s="87"/>
      <c r="AP46" s="10" t="s">
        <v>300</v>
      </c>
    </row>
    <row r="47" spans="1:42" ht="16">
      <c r="A47" s="59">
        <v>45178</v>
      </c>
      <c r="C47" s="10">
        <v>15600572</v>
      </c>
      <c r="D47" s="10" t="s">
        <v>99</v>
      </c>
      <c r="E47" s="11">
        <v>10</v>
      </c>
      <c r="F47" s="39">
        <v>449681</v>
      </c>
      <c r="G47" s="39">
        <v>5990078</v>
      </c>
      <c r="H47" s="11" t="s">
        <v>169</v>
      </c>
      <c r="I47" s="11" t="s">
        <v>170</v>
      </c>
      <c r="K47" s="11" t="s">
        <v>104</v>
      </c>
      <c r="L47" s="10" t="s">
        <v>243</v>
      </c>
      <c r="M47" s="10" t="s">
        <v>244</v>
      </c>
      <c r="N47" s="87">
        <v>3</v>
      </c>
      <c r="O47" s="87">
        <v>16</v>
      </c>
      <c r="P47" s="85" t="s">
        <v>252</v>
      </c>
      <c r="Q47" s="89"/>
      <c r="R47" s="85" t="s">
        <v>252</v>
      </c>
      <c r="S47" s="85" t="s">
        <v>252</v>
      </c>
      <c r="T47" s="89"/>
      <c r="U47" s="87">
        <v>1</v>
      </c>
      <c r="V47" s="85">
        <v>0</v>
      </c>
      <c r="W47" s="87">
        <v>0</v>
      </c>
      <c r="X47" s="85" t="s">
        <v>252</v>
      </c>
      <c r="Y47" s="87">
        <v>1.5</v>
      </c>
      <c r="Z47" s="87">
        <v>3</v>
      </c>
      <c r="AA47" s="85">
        <v>1</v>
      </c>
      <c r="AB47" s="10" t="s">
        <v>252</v>
      </c>
      <c r="AC47" s="10" t="s">
        <v>252</v>
      </c>
      <c r="AD47" s="85" t="s">
        <v>254</v>
      </c>
      <c r="AE47" s="85" t="s">
        <v>257</v>
      </c>
      <c r="AF47" s="20">
        <f t="shared" si="8"/>
        <v>1</v>
      </c>
      <c r="AG47" s="13">
        <f t="shared" si="1"/>
        <v>3</v>
      </c>
      <c r="AH47" s="7">
        <f t="shared" si="2"/>
        <v>10</v>
      </c>
      <c r="AI47" s="7">
        <f t="shared" si="3"/>
        <v>0</v>
      </c>
      <c r="AJ47" s="7">
        <f t="shared" si="4"/>
        <v>5</v>
      </c>
      <c r="AK47" s="7">
        <f t="shared" si="5"/>
        <v>3</v>
      </c>
      <c r="AL47" s="12">
        <f t="shared" si="9"/>
        <v>21</v>
      </c>
      <c r="AM47" s="14" t="str">
        <f t="shared" si="7"/>
        <v>Barrier</v>
      </c>
      <c r="AN47" s="85"/>
      <c r="AO47" s="87"/>
      <c r="AP47" s="10" t="s">
        <v>301</v>
      </c>
    </row>
    <row r="48" spans="1:42" ht="16">
      <c r="A48" s="59">
        <v>45179</v>
      </c>
      <c r="C48" s="10">
        <v>15600483</v>
      </c>
      <c r="D48" s="10" t="s">
        <v>99</v>
      </c>
      <c r="E48" s="11">
        <v>10</v>
      </c>
      <c r="F48" s="39">
        <v>425343</v>
      </c>
      <c r="G48" s="39">
        <v>5991993</v>
      </c>
      <c r="H48" s="11" t="s">
        <v>171</v>
      </c>
      <c r="I48" s="11" t="s">
        <v>172</v>
      </c>
      <c r="K48" s="11" t="s">
        <v>104</v>
      </c>
      <c r="L48" s="10" t="s">
        <v>243</v>
      </c>
      <c r="M48" s="10" t="s">
        <v>248</v>
      </c>
      <c r="N48" s="87">
        <v>3.9</v>
      </c>
      <c r="O48" s="87">
        <v>17</v>
      </c>
      <c r="P48" s="85" t="s">
        <v>252</v>
      </c>
      <c r="Q48" s="89"/>
      <c r="R48" s="85" t="s">
        <v>252</v>
      </c>
      <c r="S48" s="85" t="s">
        <v>252</v>
      </c>
      <c r="T48" s="89"/>
      <c r="U48" s="87">
        <v>2</v>
      </c>
      <c r="V48" s="85">
        <v>0</v>
      </c>
      <c r="W48" s="87">
        <v>0.6</v>
      </c>
      <c r="X48" s="85" t="s">
        <v>252</v>
      </c>
      <c r="Y48" s="87">
        <v>1.5</v>
      </c>
      <c r="Z48" s="87">
        <v>4.7</v>
      </c>
      <c r="AA48" s="85">
        <v>0.5</v>
      </c>
      <c r="AB48" s="10" t="s">
        <v>252</v>
      </c>
      <c r="AC48" s="10" t="s">
        <v>252</v>
      </c>
      <c r="AD48" s="85" t="s">
        <v>254</v>
      </c>
      <c r="AE48" s="85" t="s">
        <v>255</v>
      </c>
      <c r="AF48" s="20">
        <f t="shared" si="8"/>
        <v>1.2051282051282053</v>
      </c>
      <c r="AG48" s="13">
        <f t="shared" si="1"/>
        <v>3</v>
      </c>
      <c r="AH48" s="7">
        <f t="shared" si="2"/>
        <v>10</v>
      </c>
      <c r="AI48" s="7">
        <f t="shared" si="3"/>
        <v>0</v>
      </c>
      <c r="AJ48" s="7">
        <f t="shared" si="4"/>
        <v>5</v>
      </c>
      <c r="AK48" s="7">
        <f t="shared" si="5"/>
        <v>3</v>
      </c>
      <c r="AL48" s="12">
        <f t="shared" si="9"/>
        <v>21</v>
      </c>
      <c r="AM48" s="14" t="str">
        <f t="shared" si="7"/>
        <v>Barrier</v>
      </c>
      <c r="AN48" s="85"/>
      <c r="AO48" s="87"/>
      <c r="AP48" s="10" t="s">
        <v>302</v>
      </c>
    </row>
    <row r="49" spans="1:42" ht="32">
      <c r="A49" s="59">
        <v>45179</v>
      </c>
      <c r="C49" s="10">
        <v>15600488</v>
      </c>
      <c r="D49" s="10" t="s">
        <v>99</v>
      </c>
      <c r="E49" s="11">
        <v>10</v>
      </c>
      <c r="F49" s="39">
        <v>427033</v>
      </c>
      <c r="G49" s="39">
        <v>5994538</v>
      </c>
      <c r="H49" s="11" t="s">
        <v>173</v>
      </c>
      <c r="I49" s="11" t="s">
        <v>174</v>
      </c>
      <c r="K49" s="11" t="s">
        <v>104</v>
      </c>
      <c r="L49" s="10" t="s">
        <v>243</v>
      </c>
      <c r="M49" s="10" t="s">
        <v>244</v>
      </c>
      <c r="N49" s="87">
        <v>1.3</v>
      </c>
      <c r="O49" s="87">
        <v>20</v>
      </c>
      <c r="P49" s="85" t="s">
        <v>252</v>
      </c>
      <c r="Q49" s="89"/>
      <c r="R49" s="85" t="s">
        <v>252</v>
      </c>
      <c r="S49" s="85" t="s">
        <v>253</v>
      </c>
      <c r="T49" s="87">
        <v>100</v>
      </c>
      <c r="U49" s="87">
        <v>2.5</v>
      </c>
      <c r="V49" s="85">
        <v>0</v>
      </c>
      <c r="W49" s="87">
        <v>0.8</v>
      </c>
      <c r="X49" s="85" t="s">
        <v>252</v>
      </c>
      <c r="Y49" s="87">
        <v>1</v>
      </c>
      <c r="Z49" s="87">
        <v>1.3</v>
      </c>
      <c r="AA49" s="85">
        <v>1</v>
      </c>
      <c r="AB49" s="10" t="s">
        <v>253</v>
      </c>
      <c r="AC49" s="10" t="s">
        <v>252</v>
      </c>
      <c r="AD49" s="85" t="s">
        <v>254</v>
      </c>
      <c r="AE49" s="85" t="s">
        <v>256</v>
      </c>
      <c r="AF49" s="20">
        <f t="shared" si="8"/>
        <v>1</v>
      </c>
      <c r="AG49" s="13">
        <f t="shared" si="1"/>
        <v>3</v>
      </c>
      <c r="AH49" s="7">
        <f t="shared" si="2"/>
        <v>10</v>
      </c>
      <c r="AI49" s="7">
        <f t="shared" si="3"/>
        <v>0</v>
      </c>
      <c r="AJ49" s="7">
        <f t="shared" si="4"/>
        <v>5</v>
      </c>
      <c r="AK49" s="7">
        <f t="shared" si="5"/>
        <v>3</v>
      </c>
      <c r="AL49" s="12">
        <f t="shared" si="9"/>
        <v>21</v>
      </c>
      <c r="AM49" s="14" t="str">
        <f t="shared" si="7"/>
        <v>Barrier</v>
      </c>
      <c r="AN49" s="85"/>
      <c r="AO49" s="87"/>
      <c r="AP49" s="10" t="s">
        <v>303</v>
      </c>
    </row>
    <row r="50" spans="1:42" ht="32">
      <c r="A50" s="59">
        <v>45179</v>
      </c>
      <c r="C50" s="10">
        <v>15600493</v>
      </c>
      <c r="D50" s="10" t="s">
        <v>99</v>
      </c>
      <c r="E50" s="11">
        <v>10</v>
      </c>
      <c r="F50" s="39">
        <v>425987</v>
      </c>
      <c r="G50" s="39">
        <v>5997655</v>
      </c>
      <c r="H50" s="11" t="s">
        <v>173</v>
      </c>
      <c r="I50" s="11" t="s">
        <v>175</v>
      </c>
      <c r="K50" s="11" t="s">
        <v>119</v>
      </c>
      <c r="L50" s="10" t="s">
        <v>243</v>
      </c>
      <c r="M50" s="10" t="s">
        <v>244</v>
      </c>
      <c r="N50" s="87">
        <v>0.95</v>
      </c>
      <c r="O50" s="87">
        <v>10</v>
      </c>
      <c r="P50" s="85" t="s">
        <v>252</v>
      </c>
      <c r="Q50" s="89"/>
      <c r="R50" s="85" t="s">
        <v>252</v>
      </c>
      <c r="S50" s="85" t="s">
        <v>252</v>
      </c>
      <c r="T50" s="89"/>
      <c r="U50" s="87">
        <v>1</v>
      </c>
      <c r="V50" s="85">
        <v>0.7</v>
      </c>
      <c r="W50" s="87">
        <v>0.7</v>
      </c>
      <c r="X50" s="85" t="s">
        <v>252</v>
      </c>
      <c r="Y50" s="87">
        <v>1</v>
      </c>
      <c r="Z50" s="87">
        <v>1.1000000000000001</v>
      </c>
      <c r="AA50" s="85">
        <v>4</v>
      </c>
      <c r="AB50" s="10" t="s">
        <v>252</v>
      </c>
      <c r="AC50" s="10" t="s">
        <v>252</v>
      </c>
      <c r="AD50" s="85" t="s">
        <v>254</v>
      </c>
      <c r="AE50" s="85" t="s">
        <v>256</v>
      </c>
      <c r="AF50" s="20">
        <f t="shared" si="8"/>
        <v>1.1578947368421053</v>
      </c>
      <c r="AG50" s="13">
        <f t="shared" si="1"/>
        <v>0</v>
      </c>
      <c r="AH50" s="7">
        <f t="shared" si="2"/>
        <v>10</v>
      </c>
      <c r="AI50" s="7">
        <f t="shared" si="3"/>
        <v>10</v>
      </c>
      <c r="AJ50" s="7">
        <f t="shared" si="4"/>
        <v>5</v>
      </c>
      <c r="AK50" s="7">
        <f t="shared" si="5"/>
        <v>3</v>
      </c>
      <c r="AL50" s="12">
        <f t="shared" si="9"/>
        <v>28</v>
      </c>
      <c r="AM50" s="14" t="str">
        <f t="shared" si="7"/>
        <v>Barrier</v>
      </c>
      <c r="AN50" s="85"/>
      <c r="AO50" s="87"/>
      <c r="AP50" s="10" t="s">
        <v>304</v>
      </c>
    </row>
    <row r="51" spans="1:42" ht="16">
      <c r="A51" s="59">
        <v>45179</v>
      </c>
      <c r="C51" s="10">
        <v>15600120</v>
      </c>
      <c r="D51" s="10" t="s">
        <v>99</v>
      </c>
      <c r="E51" s="11">
        <v>10</v>
      </c>
      <c r="F51" s="39">
        <v>426006</v>
      </c>
      <c r="G51" s="39">
        <v>5998858</v>
      </c>
      <c r="H51" s="11" t="s">
        <v>171</v>
      </c>
      <c r="I51" s="11" t="s">
        <v>176</v>
      </c>
      <c r="K51" s="11" t="s">
        <v>119</v>
      </c>
      <c r="L51" s="10" t="s">
        <v>243</v>
      </c>
      <c r="M51" s="10" t="s">
        <v>244</v>
      </c>
      <c r="N51" s="87">
        <v>2.35</v>
      </c>
      <c r="O51" s="87">
        <v>10</v>
      </c>
      <c r="P51" s="85" t="s">
        <v>252</v>
      </c>
      <c r="Q51" s="89"/>
      <c r="R51" s="85" t="s">
        <v>252</v>
      </c>
      <c r="S51" s="85" t="s">
        <v>253</v>
      </c>
      <c r="T51" s="87">
        <v>100</v>
      </c>
      <c r="U51" s="87">
        <v>0.3</v>
      </c>
      <c r="V51" s="85">
        <v>0</v>
      </c>
      <c r="W51" s="87">
        <v>0.4</v>
      </c>
      <c r="X51" s="85" t="s">
        <v>252</v>
      </c>
      <c r="Y51" s="87">
        <v>1</v>
      </c>
      <c r="Z51" s="87">
        <v>2.5</v>
      </c>
      <c r="AA51" s="85">
        <v>4</v>
      </c>
      <c r="AB51" s="10" t="s">
        <v>253</v>
      </c>
      <c r="AC51" s="10" t="s">
        <v>252</v>
      </c>
      <c r="AD51" s="85" t="s">
        <v>254</v>
      </c>
      <c r="AE51" s="85" t="s">
        <v>256</v>
      </c>
      <c r="AF51" s="20">
        <f t="shared" si="8"/>
        <v>1.0638297872340425</v>
      </c>
      <c r="AG51" s="13">
        <f t="shared" si="1"/>
        <v>0</v>
      </c>
      <c r="AH51" s="7">
        <f t="shared" si="2"/>
        <v>10</v>
      </c>
      <c r="AI51" s="7">
        <f t="shared" si="3"/>
        <v>0</v>
      </c>
      <c r="AJ51" s="7">
        <f t="shared" si="4"/>
        <v>5</v>
      </c>
      <c r="AK51" s="7">
        <f t="shared" si="5"/>
        <v>3</v>
      </c>
      <c r="AL51" s="12">
        <f t="shared" si="9"/>
        <v>18</v>
      </c>
      <c r="AM51" s="14" t="str">
        <f t="shared" si="7"/>
        <v>Potential</v>
      </c>
      <c r="AN51" s="85"/>
      <c r="AO51" s="87"/>
      <c r="AP51" s="10" t="s">
        <v>305</v>
      </c>
    </row>
    <row r="52" spans="1:42" ht="16">
      <c r="A52" s="59">
        <v>45179</v>
      </c>
      <c r="C52" s="10">
        <v>15600520</v>
      </c>
      <c r="D52" s="10" t="s">
        <v>99</v>
      </c>
      <c r="E52" s="11">
        <v>10</v>
      </c>
      <c r="F52" s="39">
        <v>424104</v>
      </c>
      <c r="G52" s="39">
        <v>6000564</v>
      </c>
      <c r="H52" s="11" t="s">
        <v>171</v>
      </c>
      <c r="I52" s="11" t="s">
        <v>177</v>
      </c>
      <c r="K52" s="11" t="s">
        <v>104</v>
      </c>
      <c r="L52" s="10" t="s">
        <v>243</v>
      </c>
      <c r="M52" s="10" t="s">
        <v>244</v>
      </c>
      <c r="N52" s="87">
        <v>1.6</v>
      </c>
      <c r="O52" s="87">
        <v>20</v>
      </c>
      <c r="P52" s="85" t="s">
        <v>252</v>
      </c>
      <c r="Q52" s="89"/>
      <c r="R52" s="85" t="s">
        <v>252</v>
      </c>
      <c r="S52" s="85" t="s">
        <v>252</v>
      </c>
      <c r="T52" s="89"/>
      <c r="U52" s="87">
        <v>2</v>
      </c>
      <c r="V52" s="85">
        <v>0.1</v>
      </c>
      <c r="W52" s="87">
        <v>0.6</v>
      </c>
      <c r="X52" s="85" t="s">
        <v>252</v>
      </c>
      <c r="Y52" s="87">
        <v>0</v>
      </c>
      <c r="Z52" s="87">
        <v>2.2000000000000002</v>
      </c>
      <c r="AA52" s="85">
        <v>0</v>
      </c>
      <c r="AB52" s="10" t="s">
        <v>252</v>
      </c>
      <c r="AC52" s="10" t="s">
        <v>252</v>
      </c>
      <c r="AD52" s="85" t="s">
        <v>254</v>
      </c>
      <c r="AE52" s="85" t="s">
        <v>256</v>
      </c>
      <c r="AF52" s="20">
        <f t="shared" si="8"/>
        <v>1.375</v>
      </c>
      <c r="AG52" s="13">
        <f t="shared" si="1"/>
        <v>3</v>
      </c>
      <c r="AH52" s="7">
        <f t="shared" si="2"/>
        <v>10</v>
      </c>
      <c r="AI52" s="7">
        <f t="shared" si="3"/>
        <v>0</v>
      </c>
      <c r="AJ52" s="7">
        <f t="shared" si="4"/>
        <v>0</v>
      </c>
      <c r="AK52" s="7">
        <f t="shared" si="5"/>
        <v>6</v>
      </c>
      <c r="AL52" s="12">
        <f t="shared" si="9"/>
        <v>19</v>
      </c>
      <c r="AM52" s="14" t="str">
        <f t="shared" si="7"/>
        <v>Potential</v>
      </c>
      <c r="AN52" s="85"/>
      <c r="AO52" s="87"/>
      <c r="AP52" s="10" t="s">
        <v>306</v>
      </c>
    </row>
    <row r="53" spans="1:42" ht="16">
      <c r="A53" s="59">
        <v>45179</v>
      </c>
      <c r="C53" s="10">
        <v>15600119</v>
      </c>
      <c r="D53" s="10" t="s">
        <v>99</v>
      </c>
      <c r="E53" s="11">
        <v>10</v>
      </c>
      <c r="F53" s="39">
        <v>425557</v>
      </c>
      <c r="G53" s="39">
        <v>5996141</v>
      </c>
      <c r="H53" s="11" t="s">
        <v>171</v>
      </c>
      <c r="I53" s="11" t="s">
        <v>177</v>
      </c>
      <c r="K53" s="11" t="s">
        <v>104</v>
      </c>
      <c r="L53" s="10" t="s">
        <v>243</v>
      </c>
      <c r="M53" s="10" t="s">
        <v>244</v>
      </c>
      <c r="N53" s="87">
        <v>1.7</v>
      </c>
      <c r="O53" s="87">
        <v>22</v>
      </c>
      <c r="P53" s="85" t="s">
        <v>252</v>
      </c>
      <c r="Q53" s="89"/>
      <c r="R53" s="85" t="s">
        <v>252</v>
      </c>
      <c r="S53" s="85" t="s">
        <v>252</v>
      </c>
      <c r="T53" s="89"/>
      <c r="U53" s="87">
        <v>2.5</v>
      </c>
      <c r="V53" s="85">
        <v>0.3</v>
      </c>
      <c r="W53" s="87">
        <v>0.4</v>
      </c>
      <c r="X53" s="85" t="s">
        <v>252</v>
      </c>
      <c r="Y53" s="87">
        <v>7</v>
      </c>
      <c r="Z53" s="87">
        <v>2.5</v>
      </c>
      <c r="AA53" s="85">
        <v>5</v>
      </c>
      <c r="AB53" s="10" t="s">
        <v>252</v>
      </c>
      <c r="AC53" s="10" t="s">
        <v>252</v>
      </c>
      <c r="AD53" s="85" t="s">
        <v>254</v>
      </c>
      <c r="AE53" s="85" t="s">
        <v>255</v>
      </c>
      <c r="AF53" s="20">
        <f t="shared" si="8"/>
        <v>1.4705882352941178</v>
      </c>
      <c r="AG53" s="13">
        <f t="shared" si="1"/>
        <v>3</v>
      </c>
      <c r="AH53" s="7">
        <f t="shared" si="2"/>
        <v>10</v>
      </c>
      <c r="AI53" s="7">
        <f t="shared" si="3"/>
        <v>10</v>
      </c>
      <c r="AJ53" s="7">
        <f t="shared" si="4"/>
        <v>10</v>
      </c>
      <c r="AK53" s="7">
        <f t="shared" si="5"/>
        <v>6</v>
      </c>
      <c r="AL53" s="12">
        <f t="shared" si="9"/>
        <v>39</v>
      </c>
      <c r="AM53" s="14" t="str">
        <f t="shared" si="7"/>
        <v>Barrier</v>
      </c>
      <c r="AN53" s="85"/>
      <c r="AO53" s="87"/>
      <c r="AP53" s="10" t="s">
        <v>307</v>
      </c>
    </row>
    <row r="54" spans="1:42" ht="16">
      <c r="A54" s="59">
        <v>45179</v>
      </c>
      <c r="C54" s="10">
        <v>24716705</v>
      </c>
      <c r="D54" s="10" t="s">
        <v>99</v>
      </c>
      <c r="E54" s="11">
        <v>10</v>
      </c>
      <c r="F54" s="39">
        <v>422841</v>
      </c>
      <c r="G54" s="39">
        <v>5993387</v>
      </c>
      <c r="H54" s="11" t="s">
        <v>178</v>
      </c>
      <c r="I54" s="11" t="s">
        <v>172</v>
      </c>
      <c r="K54" s="11" t="s">
        <v>104</v>
      </c>
      <c r="L54" s="10" t="s">
        <v>243</v>
      </c>
      <c r="M54" s="10" t="s">
        <v>244</v>
      </c>
      <c r="N54" s="87">
        <v>1.6</v>
      </c>
      <c r="O54" s="87">
        <v>18</v>
      </c>
      <c r="P54" s="85" t="s">
        <v>252</v>
      </c>
      <c r="Q54" s="89"/>
      <c r="R54" s="85" t="s">
        <v>252</v>
      </c>
      <c r="S54" s="85" t="s">
        <v>252</v>
      </c>
      <c r="T54" s="89"/>
      <c r="U54" s="87">
        <v>2.5</v>
      </c>
      <c r="V54" s="85">
        <v>0</v>
      </c>
      <c r="W54" s="87">
        <v>0.2</v>
      </c>
      <c r="X54" s="85" t="s">
        <v>252</v>
      </c>
      <c r="Y54" s="87">
        <v>1</v>
      </c>
      <c r="Z54" s="87">
        <v>2.2000000000000002</v>
      </c>
      <c r="AA54" s="85">
        <v>1</v>
      </c>
      <c r="AB54" s="10" t="s">
        <v>253</v>
      </c>
      <c r="AC54" s="10" t="s">
        <v>252</v>
      </c>
      <c r="AD54" s="85" t="s">
        <v>254</v>
      </c>
      <c r="AE54" s="85" t="s">
        <v>258</v>
      </c>
      <c r="AF54" s="20">
        <f t="shared" si="8"/>
        <v>1.375</v>
      </c>
      <c r="AG54" s="13">
        <f t="shared" si="1"/>
        <v>3</v>
      </c>
      <c r="AH54" s="7">
        <f t="shared" si="2"/>
        <v>10</v>
      </c>
      <c r="AI54" s="7">
        <f t="shared" si="3"/>
        <v>0</v>
      </c>
      <c r="AJ54" s="7">
        <f t="shared" si="4"/>
        <v>5</v>
      </c>
      <c r="AK54" s="7">
        <f t="shared" si="5"/>
        <v>6</v>
      </c>
      <c r="AL54" s="12">
        <f t="shared" si="9"/>
        <v>24</v>
      </c>
      <c r="AM54" s="14" t="str">
        <f t="shared" si="7"/>
        <v>Barrier</v>
      </c>
      <c r="AN54" s="85"/>
      <c r="AO54" s="87"/>
      <c r="AP54" s="10" t="s">
        <v>308</v>
      </c>
    </row>
    <row r="55" spans="1:42" ht="16">
      <c r="A55" s="59">
        <v>45179</v>
      </c>
      <c r="C55" s="10">
        <v>15600122</v>
      </c>
      <c r="D55" s="10" t="s">
        <v>99</v>
      </c>
      <c r="E55" s="11">
        <v>10</v>
      </c>
      <c r="F55" s="39">
        <v>420920</v>
      </c>
      <c r="G55" s="39">
        <v>5993688</v>
      </c>
      <c r="H55" s="11" t="s">
        <v>179</v>
      </c>
      <c r="I55" s="11" t="s">
        <v>172</v>
      </c>
      <c r="K55" s="11" t="s">
        <v>104</v>
      </c>
      <c r="L55" s="10" t="s">
        <v>243</v>
      </c>
      <c r="M55" s="10" t="s">
        <v>244</v>
      </c>
      <c r="N55" s="87">
        <v>1.5</v>
      </c>
      <c r="O55" s="87">
        <v>30</v>
      </c>
      <c r="P55" s="85" t="s">
        <v>252</v>
      </c>
      <c r="Q55" s="89"/>
      <c r="R55" s="85" t="s">
        <v>252</v>
      </c>
      <c r="S55" s="85" t="s">
        <v>252</v>
      </c>
      <c r="T55" s="89"/>
      <c r="U55" s="87">
        <v>6</v>
      </c>
      <c r="V55" s="85">
        <v>0.5</v>
      </c>
      <c r="W55" s="87">
        <v>1</v>
      </c>
      <c r="X55" s="85" t="s">
        <v>252</v>
      </c>
      <c r="Y55" s="87">
        <v>2.5</v>
      </c>
      <c r="Z55" s="87">
        <v>1.9</v>
      </c>
      <c r="AA55" s="85">
        <v>3</v>
      </c>
      <c r="AB55" s="10" t="s">
        <v>252</v>
      </c>
      <c r="AC55" s="10" t="s">
        <v>252</v>
      </c>
      <c r="AD55" s="85" t="s">
        <v>254</v>
      </c>
      <c r="AE55" s="85" t="s">
        <v>255</v>
      </c>
      <c r="AF55" s="20">
        <f t="shared" si="8"/>
        <v>1.2666666666666666</v>
      </c>
      <c r="AG55" s="13">
        <f t="shared" si="1"/>
        <v>6</v>
      </c>
      <c r="AH55" s="7">
        <f t="shared" si="2"/>
        <v>10</v>
      </c>
      <c r="AI55" s="7">
        <f t="shared" si="3"/>
        <v>10</v>
      </c>
      <c r="AJ55" s="7">
        <f t="shared" si="4"/>
        <v>5</v>
      </c>
      <c r="AK55" s="7">
        <f t="shared" si="5"/>
        <v>3</v>
      </c>
      <c r="AL55" s="12">
        <f t="shared" si="9"/>
        <v>34</v>
      </c>
      <c r="AM55" s="14" t="str">
        <f t="shared" si="7"/>
        <v>Barrier</v>
      </c>
      <c r="AN55" s="85"/>
      <c r="AO55" s="87"/>
      <c r="AP55" s="10" t="s">
        <v>309</v>
      </c>
    </row>
    <row r="56" spans="1:42" ht="16">
      <c r="A56" s="59">
        <v>45179</v>
      </c>
      <c r="C56" s="10">
        <v>15600154</v>
      </c>
      <c r="D56" s="10" t="s">
        <v>99</v>
      </c>
      <c r="E56" s="11">
        <v>10</v>
      </c>
      <c r="F56" s="39">
        <v>416009</v>
      </c>
      <c r="G56" s="39">
        <v>5993732</v>
      </c>
      <c r="H56" s="11" t="s">
        <v>180</v>
      </c>
      <c r="I56" s="11" t="s">
        <v>172</v>
      </c>
      <c r="K56" s="11" t="s">
        <v>104</v>
      </c>
      <c r="L56" s="10" t="s">
        <v>243</v>
      </c>
      <c r="M56" s="10" t="s">
        <v>244</v>
      </c>
      <c r="N56" s="87">
        <v>1</v>
      </c>
      <c r="O56" s="87">
        <v>16</v>
      </c>
      <c r="P56" s="85" t="s">
        <v>253</v>
      </c>
      <c r="Q56" s="87">
        <v>0.1</v>
      </c>
      <c r="R56" s="85" t="s">
        <v>252</v>
      </c>
      <c r="S56" s="85" t="s">
        <v>252</v>
      </c>
      <c r="T56" s="89"/>
      <c r="U56" s="87">
        <v>1</v>
      </c>
      <c r="V56" s="85">
        <v>0</v>
      </c>
      <c r="W56" s="87">
        <v>0</v>
      </c>
      <c r="X56" s="85" t="s">
        <v>252</v>
      </c>
      <c r="Y56" s="87">
        <v>1</v>
      </c>
      <c r="Z56" s="87">
        <v>1</v>
      </c>
      <c r="AA56" s="85">
        <v>2</v>
      </c>
      <c r="AB56" s="10" t="s">
        <v>252</v>
      </c>
      <c r="AC56" s="10" t="s">
        <v>252</v>
      </c>
      <c r="AD56" s="85" t="s">
        <v>254</v>
      </c>
      <c r="AE56" s="85" t="s">
        <v>257</v>
      </c>
      <c r="AF56" s="20">
        <f t="shared" si="8"/>
        <v>1</v>
      </c>
      <c r="AG56" s="13">
        <f t="shared" si="1"/>
        <v>3</v>
      </c>
      <c r="AH56" s="7">
        <f t="shared" si="2"/>
        <v>5</v>
      </c>
      <c r="AI56" s="7">
        <f t="shared" si="3"/>
        <v>0</v>
      </c>
      <c r="AJ56" s="7">
        <f t="shared" si="4"/>
        <v>5</v>
      </c>
      <c r="AK56" s="7">
        <f t="shared" si="5"/>
        <v>3</v>
      </c>
      <c r="AL56" s="12">
        <f t="shared" si="9"/>
        <v>16</v>
      </c>
      <c r="AM56" s="14" t="str">
        <f t="shared" si="7"/>
        <v>Potential</v>
      </c>
      <c r="AN56" s="85"/>
      <c r="AO56" s="87"/>
      <c r="AP56" s="10" t="s">
        <v>310</v>
      </c>
    </row>
    <row r="57" spans="1:42" ht="16">
      <c r="A57" s="59">
        <v>45179</v>
      </c>
      <c r="C57" s="10">
        <v>15600124</v>
      </c>
      <c r="D57" s="10" t="s">
        <v>99</v>
      </c>
      <c r="E57" s="11">
        <v>10</v>
      </c>
      <c r="F57" s="39">
        <v>419953</v>
      </c>
      <c r="G57" s="39">
        <v>5995257</v>
      </c>
      <c r="H57" s="11" t="s">
        <v>179</v>
      </c>
      <c r="I57" s="11" t="s">
        <v>181</v>
      </c>
      <c r="K57" s="11" t="s">
        <v>119</v>
      </c>
      <c r="L57" s="10" t="s">
        <v>243</v>
      </c>
      <c r="M57" s="10" t="s">
        <v>244</v>
      </c>
      <c r="N57" s="87">
        <v>0.6</v>
      </c>
      <c r="O57" s="87">
        <v>10</v>
      </c>
      <c r="P57" s="85" t="s">
        <v>252</v>
      </c>
      <c r="Q57" s="89"/>
      <c r="R57" s="85" t="s">
        <v>252</v>
      </c>
      <c r="S57" s="85" t="s">
        <v>252</v>
      </c>
      <c r="T57" s="89"/>
      <c r="U57" s="87">
        <v>1</v>
      </c>
      <c r="V57" s="85">
        <v>0.5</v>
      </c>
      <c r="W57" s="87">
        <v>0.3</v>
      </c>
      <c r="X57" s="85" t="s">
        <v>252</v>
      </c>
      <c r="Y57" s="87">
        <v>0</v>
      </c>
      <c r="Z57" s="87">
        <v>0.9</v>
      </c>
      <c r="AA57" s="85">
        <v>1</v>
      </c>
      <c r="AB57" s="10" t="s">
        <v>252</v>
      </c>
      <c r="AC57" s="10" t="s">
        <v>252</v>
      </c>
      <c r="AD57" s="85" t="s">
        <v>254</v>
      </c>
      <c r="AE57" s="85" t="s">
        <v>256</v>
      </c>
      <c r="AF57" s="20">
        <f t="shared" si="8"/>
        <v>1.5</v>
      </c>
      <c r="AG57" s="13">
        <f t="shared" si="1"/>
        <v>0</v>
      </c>
      <c r="AH57" s="7">
        <f t="shared" si="2"/>
        <v>10</v>
      </c>
      <c r="AI57" s="7">
        <f t="shared" si="3"/>
        <v>10</v>
      </c>
      <c r="AJ57" s="7">
        <f t="shared" si="4"/>
        <v>0</v>
      </c>
      <c r="AK57" s="7">
        <f t="shared" si="5"/>
        <v>6</v>
      </c>
      <c r="AL57" s="12">
        <f t="shared" si="9"/>
        <v>26</v>
      </c>
      <c r="AM57" s="14" t="str">
        <f t="shared" si="7"/>
        <v>Barrier</v>
      </c>
      <c r="AN57" s="85"/>
      <c r="AO57" s="87"/>
      <c r="AP57" s="10" t="s">
        <v>311</v>
      </c>
    </row>
    <row r="58" spans="1:42" ht="16">
      <c r="A58" s="59">
        <v>45179</v>
      </c>
      <c r="C58" s="10">
        <v>15600486</v>
      </c>
      <c r="D58" s="10" t="s">
        <v>99</v>
      </c>
      <c r="E58" s="11">
        <v>10</v>
      </c>
      <c r="F58" s="39">
        <v>420111</v>
      </c>
      <c r="G58" s="39">
        <v>5994723</v>
      </c>
      <c r="H58" s="11" t="s">
        <v>179</v>
      </c>
      <c r="I58" s="11" t="s">
        <v>182</v>
      </c>
      <c r="K58" s="11" t="s">
        <v>183</v>
      </c>
      <c r="L58" s="10" t="s">
        <v>249</v>
      </c>
      <c r="M58" s="10" t="s">
        <v>250</v>
      </c>
      <c r="N58" s="89"/>
      <c r="O58" s="89"/>
      <c r="P58" s="88"/>
      <c r="Q58" s="89"/>
      <c r="R58" s="88"/>
      <c r="S58" s="88"/>
      <c r="T58" s="89"/>
      <c r="U58" s="89"/>
      <c r="V58" s="88"/>
      <c r="W58" s="89"/>
      <c r="X58" s="88"/>
      <c r="Y58" s="89"/>
      <c r="Z58" s="89"/>
      <c r="AA58" s="88"/>
      <c r="AB58" s="10" t="s">
        <v>252</v>
      </c>
      <c r="AC58" s="10" t="s">
        <v>252</v>
      </c>
      <c r="AD58" s="88"/>
      <c r="AE58" s="88"/>
      <c r="AF58" s="20">
        <f t="shared" si="8"/>
        <v>0</v>
      </c>
      <c r="AG58" s="13">
        <f t="shared" si="1"/>
        <v>0</v>
      </c>
      <c r="AH58" s="7">
        <f t="shared" si="2"/>
        <v>0</v>
      </c>
      <c r="AI58" s="7">
        <f t="shared" si="3"/>
        <v>0</v>
      </c>
      <c r="AJ58" s="7">
        <f t="shared" si="4"/>
        <v>0</v>
      </c>
      <c r="AK58" s="7">
        <f t="shared" si="5"/>
        <v>0</v>
      </c>
      <c r="AL58" s="12">
        <f t="shared" si="9"/>
        <v>0</v>
      </c>
      <c r="AM58" s="14" t="str">
        <f t="shared" si="7"/>
        <v>Unknown</v>
      </c>
      <c r="AN58" s="85"/>
      <c r="AO58" s="87"/>
      <c r="AP58" s="10" t="s">
        <v>312</v>
      </c>
    </row>
    <row r="59" spans="1:42" ht="32">
      <c r="A59" s="59">
        <v>45179</v>
      </c>
      <c r="C59" s="10">
        <v>15600362</v>
      </c>
      <c r="D59" s="10" t="s">
        <v>99</v>
      </c>
      <c r="E59" s="11">
        <v>10</v>
      </c>
      <c r="F59" s="39">
        <v>449050</v>
      </c>
      <c r="G59" s="39">
        <v>5977312</v>
      </c>
      <c r="H59" s="11" t="s">
        <v>184</v>
      </c>
      <c r="I59" s="11" t="s">
        <v>185</v>
      </c>
      <c r="K59" s="11" t="s">
        <v>119</v>
      </c>
      <c r="L59" s="10" t="s">
        <v>243</v>
      </c>
      <c r="M59" s="10" t="s">
        <v>244</v>
      </c>
      <c r="N59" s="87">
        <v>0.8</v>
      </c>
      <c r="O59" s="87">
        <v>9</v>
      </c>
      <c r="P59" s="85" t="s">
        <v>252</v>
      </c>
      <c r="Q59" s="89"/>
      <c r="R59" s="85" t="s">
        <v>252</v>
      </c>
      <c r="S59" s="85" t="s">
        <v>252</v>
      </c>
      <c r="T59" s="89"/>
      <c r="U59" s="87">
        <v>0.5</v>
      </c>
      <c r="V59" s="85">
        <v>0</v>
      </c>
      <c r="W59" s="87">
        <v>0</v>
      </c>
      <c r="X59" s="85" t="s">
        <v>252</v>
      </c>
      <c r="Y59" s="87">
        <v>1</v>
      </c>
      <c r="Z59" s="87">
        <v>0.8</v>
      </c>
      <c r="AA59" s="85">
        <v>1</v>
      </c>
      <c r="AB59" s="10" t="s">
        <v>252</v>
      </c>
      <c r="AC59" s="10" t="s">
        <v>252</v>
      </c>
      <c r="AD59" s="85" t="s">
        <v>254</v>
      </c>
      <c r="AE59" s="85" t="s">
        <v>257</v>
      </c>
      <c r="AF59" s="20">
        <f t="shared" si="8"/>
        <v>1</v>
      </c>
      <c r="AG59" s="13">
        <f t="shared" si="1"/>
        <v>0</v>
      </c>
      <c r="AH59" s="7">
        <f t="shared" si="2"/>
        <v>10</v>
      </c>
      <c r="AI59" s="7">
        <f t="shared" si="3"/>
        <v>0</v>
      </c>
      <c r="AJ59" s="7">
        <f t="shared" si="4"/>
        <v>5</v>
      </c>
      <c r="AK59" s="7">
        <f t="shared" si="5"/>
        <v>3</v>
      </c>
      <c r="AL59" s="12">
        <f t="shared" si="9"/>
        <v>18</v>
      </c>
      <c r="AM59" s="14" t="str">
        <f t="shared" si="7"/>
        <v>Potential</v>
      </c>
      <c r="AN59" s="85"/>
      <c r="AO59" s="87"/>
      <c r="AP59" s="10" t="s">
        <v>313</v>
      </c>
    </row>
    <row r="60" spans="1:42" ht="16">
      <c r="A60" s="59">
        <v>45180</v>
      </c>
      <c r="C60" s="10">
        <v>15600065</v>
      </c>
      <c r="D60" s="10" t="s">
        <v>99</v>
      </c>
      <c r="E60" s="11">
        <v>10</v>
      </c>
      <c r="F60" s="39">
        <v>441140</v>
      </c>
      <c r="G60" s="39">
        <v>5989596</v>
      </c>
      <c r="H60" s="11" t="s">
        <v>166</v>
      </c>
      <c r="I60" s="11" t="s">
        <v>182</v>
      </c>
      <c r="K60" s="11" t="s">
        <v>119</v>
      </c>
      <c r="L60" s="10" t="s">
        <v>245</v>
      </c>
      <c r="M60" s="10" t="s">
        <v>246</v>
      </c>
      <c r="N60" s="87">
        <v>13</v>
      </c>
      <c r="O60" s="87">
        <v>4.5</v>
      </c>
      <c r="P60" s="88"/>
      <c r="Q60" s="89"/>
      <c r="R60" s="88"/>
      <c r="S60" s="88"/>
      <c r="T60" s="89"/>
      <c r="U60" s="89"/>
      <c r="V60" s="88"/>
      <c r="W60" s="89"/>
      <c r="X60" s="88"/>
      <c r="Y60" s="89"/>
      <c r="Z60" s="89"/>
      <c r="AA60" s="88"/>
      <c r="AB60" s="10" t="s">
        <v>252</v>
      </c>
      <c r="AC60" s="10" t="s">
        <v>252</v>
      </c>
      <c r="AD60" s="88"/>
      <c r="AE60" s="88"/>
      <c r="AF60" s="20">
        <f t="shared" si="8"/>
        <v>0</v>
      </c>
      <c r="AG60" s="13">
        <f t="shared" si="1"/>
        <v>0</v>
      </c>
      <c r="AH60" s="7">
        <f t="shared" si="2"/>
        <v>0</v>
      </c>
      <c r="AI60" s="7">
        <f t="shared" si="3"/>
        <v>0</v>
      </c>
      <c r="AJ60" s="7">
        <f t="shared" si="4"/>
        <v>0</v>
      </c>
      <c r="AK60" s="7">
        <f t="shared" si="5"/>
        <v>0</v>
      </c>
      <c r="AL60" s="12">
        <f t="shared" si="9"/>
        <v>0</v>
      </c>
      <c r="AM60" s="14" t="str">
        <f t="shared" si="7"/>
        <v>Passable</v>
      </c>
      <c r="AN60" s="88"/>
      <c r="AO60" s="89"/>
      <c r="AP60" s="10" t="s">
        <v>314</v>
      </c>
    </row>
    <row r="61" spans="1:42" ht="16">
      <c r="A61" s="59">
        <v>45180</v>
      </c>
      <c r="C61" s="10">
        <v>15600434</v>
      </c>
      <c r="D61" s="10" t="s">
        <v>99</v>
      </c>
      <c r="E61" s="11">
        <v>10</v>
      </c>
      <c r="F61" s="39">
        <v>442800</v>
      </c>
      <c r="G61" s="39">
        <v>5991029</v>
      </c>
      <c r="H61" s="11" t="s">
        <v>186</v>
      </c>
      <c r="I61" s="11" t="s">
        <v>187</v>
      </c>
      <c r="K61" s="11" t="s">
        <v>119</v>
      </c>
      <c r="L61" s="10" t="s">
        <v>243</v>
      </c>
      <c r="M61" s="10" t="s">
        <v>244</v>
      </c>
      <c r="N61" s="87">
        <v>0.9</v>
      </c>
      <c r="O61" s="87">
        <v>10</v>
      </c>
      <c r="P61" s="85" t="s">
        <v>252</v>
      </c>
      <c r="Q61" s="89"/>
      <c r="R61" s="85" t="s">
        <v>252</v>
      </c>
      <c r="S61" s="85" t="s">
        <v>252</v>
      </c>
      <c r="T61" s="89"/>
      <c r="U61" s="87">
        <v>2</v>
      </c>
      <c r="V61" s="85">
        <v>0</v>
      </c>
      <c r="W61" s="87">
        <v>0</v>
      </c>
      <c r="X61" s="85" t="s">
        <v>252</v>
      </c>
      <c r="Y61" s="87">
        <v>1.5</v>
      </c>
      <c r="Z61" s="87">
        <v>1.9</v>
      </c>
      <c r="AA61" s="85">
        <v>2.5</v>
      </c>
      <c r="AB61" s="10" t="s">
        <v>252</v>
      </c>
      <c r="AC61" s="10" t="s">
        <v>252</v>
      </c>
      <c r="AD61" s="85" t="s">
        <v>254</v>
      </c>
      <c r="AE61" s="85" t="s">
        <v>257</v>
      </c>
      <c r="AF61" s="20">
        <f t="shared" si="8"/>
        <v>2.1111111111111112</v>
      </c>
      <c r="AG61" s="13">
        <f t="shared" si="1"/>
        <v>0</v>
      </c>
      <c r="AH61" s="7">
        <f t="shared" si="2"/>
        <v>10</v>
      </c>
      <c r="AI61" s="7">
        <f t="shared" si="3"/>
        <v>0</v>
      </c>
      <c r="AJ61" s="7">
        <f t="shared" si="4"/>
        <v>5</v>
      </c>
      <c r="AK61" s="7">
        <f t="shared" si="5"/>
        <v>6</v>
      </c>
      <c r="AL61" s="12">
        <f t="shared" si="9"/>
        <v>21</v>
      </c>
      <c r="AM61" s="14" t="str">
        <f t="shared" si="7"/>
        <v>Barrier</v>
      </c>
      <c r="AN61" s="85"/>
      <c r="AO61" s="87"/>
      <c r="AP61" s="10" t="s">
        <v>315</v>
      </c>
    </row>
    <row r="62" spans="1:42" ht="16">
      <c r="A62" s="59">
        <v>45180</v>
      </c>
      <c r="C62" s="10">
        <v>15600431</v>
      </c>
      <c r="D62" s="10" t="s">
        <v>99</v>
      </c>
      <c r="E62" s="11">
        <v>10</v>
      </c>
      <c r="F62" s="39">
        <v>441794</v>
      </c>
      <c r="G62" s="39">
        <v>5990161</v>
      </c>
      <c r="H62" s="11" t="s">
        <v>186</v>
      </c>
      <c r="I62" s="11" t="s">
        <v>188</v>
      </c>
      <c r="K62" s="11" t="s">
        <v>104</v>
      </c>
      <c r="L62" s="10" t="s">
        <v>243</v>
      </c>
      <c r="M62" s="10" t="s">
        <v>244</v>
      </c>
      <c r="N62" s="87">
        <v>0.9</v>
      </c>
      <c r="O62" s="87">
        <v>15</v>
      </c>
      <c r="P62" s="85" t="s">
        <v>252</v>
      </c>
      <c r="Q62" s="89"/>
      <c r="R62" s="85" t="s">
        <v>252</v>
      </c>
      <c r="S62" s="85" t="s">
        <v>252</v>
      </c>
      <c r="T62" s="89"/>
      <c r="U62" s="87">
        <v>1</v>
      </c>
      <c r="V62" s="85">
        <v>0.6</v>
      </c>
      <c r="W62" s="87">
        <v>0.2</v>
      </c>
      <c r="X62" s="85" t="s">
        <v>252</v>
      </c>
      <c r="Y62" s="87">
        <v>1</v>
      </c>
      <c r="Z62" s="87">
        <v>1.2</v>
      </c>
      <c r="AA62" s="85">
        <v>1</v>
      </c>
      <c r="AB62" s="10" t="s">
        <v>252</v>
      </c>
      <c r="AC62" s="10" t="s">
        <v>252</v>
      </c>
      <c r="AD62" s="85" t="s">
        <v>254</v>
      </c>
      <c r="AE62" s="85" t="s">
        <v>256</v>
      </c>
      <c r="AF62" s="20">
        <f t="shared" si="8"/>
        <v>1.3333333333333333</v>
      </c>
      <c r="AG62" s="13">
        <f t="shared" si="1"/>
        <v>3</v>
      </c>
      <c r="AH62" s="7">
        <f t="shared" si="2"/>
        <v>10</v>
      </c>
      <c r="AI62" s="7">
        <f t="shared" si="3"/>
        <v>10</v>
      </c>
      <c r="AJ62" s="7">
        <f t="shared" si="4"/>
        <v>5</v>
      </c>
      <c r="AK62" s="7">
        <f t="shared" si="5"/>
        <v>6</v>
      </c>
      <c r="AL62" s="12">
        <f t="shared" si="9"/>
        <v>34</v>
      </c>
      <c r="AM62" s="14" t="str">
        <f t="shared" si="7"/>
        <v>Barrier</v>
      </c>
      <c r="AN62" s="85"/>
      <c r="AO62" s="87"/>
      <c r="AP62" s="10" t="s">
        <v>316</v>
      </c>
    </row>
    <row r="63" spans="1:42" ht="16">
      <c r="A63" s="59">
        <v>45180</v>
      </c>
      <c r="C63" s="10">
        <v>15600311</v>
      </c>
      <c r="D63" s="10" t="s">
        <v>99</v>
      </c>
      <c r="E63" s="11">
        <v>10</v>
      </c>
      <c r="F63" s="39">
        <v>444371</v>
      </c>
      <c r="G63" s="39">
        <v>5989869</v>
      </c>
      <c r="H63" s="11" t="s">
        <v>166</v>
      </c>
      <c r="I63" s="11" t="s">
        <v>189</v>
      </c>
      <c r="K63" s="11" t="s">
        <v>119</v>
      </c>
      <c r="L63" s="10" t="s">
        <v>243</v>
      </c>
      <c r="M63" s="10" t="s">
        <v>244</v>
      </c>
      <c r="N63" s="87">
        <v>3</v>
      </c>
      <c r="O63" s="87">
        <v>14</v>
      </c>
      <c r="P63" s="85" t="s">
        <v>252</v>
      </c>
      <c r="Q63" s="89"/>
      <c r="R63" s="85" t="s">
        <v>252</v>
      </c>
      <c r="S63" s="85" t="s">
        <v>252</v>
      </c>
      <c r="T63" s="89"/>
      <c r="U63" s="87">
        <v>1.5</v>
      </c>
      <c r="V63" s="85">
        <v>0.6</v>
      </c>
      <c r="W63" s="87">
        <v>0</v>
      </c>
      <c r="X63" s="85" t="s">
        <v>252</v>
      </c>
      <c r="Y63" s="87">
        <v>1.5</v>
      </c>
      <c r="Z63" s="87">
        <v>1.3</v>
      </c>
      <c r="AA63" s="85">
        <v>1</v>
      </c>
      <c r="AB63" s="10" t="s">
        <v>252</v>
      </c>
      <c r="AC63" s="10" t="s">
        <v>252</v>
      </c>
      <c r="AD63" s="85" t="s">
        <v>254</v>
      </c>
      <c r="AE63" s="85" t="s">
        <v>256</v>
      </c>
      <c r="AF63" s="20">
        <f t="shared" si="8"/>
        <v>0.43333333333333335</v>
      </c>
      <c r="AG63" s="13">
        <f t="shared" si="1"/>
        <v>0</v>
      </c>
      <c r="AH63" s="7">
        <f t="shared" si="2"/>
        <v>10</v>
      </c>
      <c r="AI63" s="7">
        <f t="shared" si="3"/>
        <v>10</v>
      </c>
      <c r="AJ63" s="7">
        <f t="shared" si="4"/>
        <v>5</v>
      </c>
      <c r="AK63" s="7">
        <f t="shared" si="5"/>
        <v>0</v>
      </c>
      <c r="AL63" s="12">
        <f t="shared" si="9"/>
        <v>25</v>
      </c>
      <c r="AM63" s="14" t="str">
        <f t="shared" si="7"/>
        <v>Barrier</v>
      </c>
      <c r="AN63" s="85"/>
      <c r="AO63" s="87"/>
      <c r="AP63" s="10" t="s">
        <v>317</v>
      </c>
    </row>
    <row r="64" spans="1:42" ht="16">
      <c r="A64" s="59">
        <v>45180</v>
      </c>
      <c r="C64" s="10">
        <v>15600314</v>
      </c>
      <c r="D64" s="10" t="s">
        <v>99</v>
      </c>
      <c r="E64" s="11">
        <v>10</v>
      </c>
      <c r="F64" s="39">
        <v>446488</v>
      </c>
      <c r="G64" s="39">
        <v>5982434</v>
      </c>
      <c r="H64" s="11" t="s">
        <v>190</v>
      </c>
      <c r="I64" s="11" t="s">
        <v>191</v>
      </c>
      <c r="K64" s="11" t="s">
        <v>119</v>
      </c>
      <c r="L64" s="10" t="s">
        <v>243</v>
      </c>
      <c r="M64" s="10" t="s">
        <v>244</v>
      </c>
      <c r="N64" s="87">
        <v>1.45</v>
      </c>
      <c r="O64" s="87">
        <v>18</v>
      </c>
      <c r="P64" s="85" t="s">
        <v>252</v>
      </c>
      <c r="Q64" s="89"/>
      <c r="R64" s="85" t="s">
        <v>252</v>
      </c>
      <c r="S64" s="85" t="s">
        <v>252</v>
      </c>
      <c r="T64" s="89"/>
      <c r="U64" s="87">
        <v>5</v>
      </c>
      <c r="V64" s="85">
        <v>0</v>
      </c>
      <c r="W64" s="87">
        <v>0</v>
      </c>
      <c r="X64" s="85" t="s">
        <v>252</v>
      </c>
      <c r="Y64" s="87">
        <v>0</v>
      </c>
      <c r="Z64" s="87">
        <v>0.7</v>
      </c>
      <c r="AA64" s="85">
        <v>2</v>
      </c>
      <c r="AB64" s="10" t="s">
        <v>252</v>
      </c>
      <c r="AC64" s="10" t="s">
        <v>252</v>
      </c>
      <c r="AD64" s="85" t="s">
        <v>254</v>
      </c>
      <c r="AE64" s="85" t="s">
        <v>257</v>
      </c>
      <c r="AF64" s="20">
        <f t="shared" si="8"/>
        <v>0.48275862068965514</v>
      </c>
      <c r="AG64" s="13">
        <f t="shared" si="1"/>
        <v>3</v>
      </c>
      <c r="AH64" s="7">
        <f t="shared" si="2"/>
        <v>10</v>
      </c>
      <c r="AI64" s="7">
        <f t="shared" si="3"/>
        <v>0</v>
      </c>
      <c r="AJ64" s="7">
        <f t="shared" si="4"/>
        <v>0</v>
      </c>
      <c r="AK64" s="7">
        <f t="shared" si="5"/>
        <v>0</v>
      </c>
      <c r="AL64" s="12">
        <f t="shared" si="9"/>
        <v>13</v>
      </c>
      <c r="AM64" s="14" t="str">
        <f t="shared" si="7"/>
        <v>Passable</v>
      </c>
      <c r="AN64" s="85"/>
      <c r="AO64" s="87"/>
      <c r="AP64" s="10" t="s">
        <v>318</v>
      </c>
    </row>
    <row r="65" spans="1:42" ht="16">
      <c r="A65" s="59">
        <v>45180</v>
      </c>
      <c r="C65" s="10">
        <v>15600305</v>
      </c>
      <c r="D65" s="10" t="s">
        <v>99</v>
      </c>
      <c r="E65" s="11">
        <v>10</v>
      </c>
      <c r="F65" s="39">
        <v>442969</v>
      </c>
      <c r="G65" s="39">
        <v>5985328</v>
      </c>
      <c r="H65" s="11" t="s">
        <v>192</v>
      </c>
      <c r="I65" s="11" t="s">
        <v>191</v>
      </c>
      <c r="K65" s="11" t="s">
        <v>119</v>
      </c>
      <c r="L65" s="10" t="s">
        <v>243</v>
      </c>
      <c r="M65" s="10" t="s">
        <v>244</v>
      </c>
      <c r="N65" s="87">
        <v>1.4</v>
      </c>
      <c r="O65" s="87">
        <v>30</v>
      </c>
      <c r="P65" s="85" t="s">
        <v>252</v>
      </c>
      <c r="Q65" s="89"/>
      <c r="R65" s="85" t="s">
        <v>252</v>
      </c>
      <c r="S65" s="85" t="s">
        <v>252</v>
      </c>
      <c r="T65" s="89"/>
      <c r="U65" s="87">
        <v>4</v>
      </c>
      <c r="V65" s="85">
        <v>0</v>
      </c>
      <c r="W65" s="87">
        <v>0</v>
      </c>
      <c r="X65" s="85" t="s">
        <v>252</v>
      </c>
      <c r="Y65" s="87">
        <v>0.5</v>
      </c>
      <c r="Z65" s="87">
        <v>1</v>
      </c>
      <c r="AA65" s="85">
        <v>1</v>
      </c>
      <c r="AB65" s="10" t="s">
        <v>252</v>
      </c>
      <c r="AC65" s="10" t="s">
        <v>252</v>
      </c>
      <c r="AD65" s="85" t="s">
        <v>254</v>
      </c>
      <c r="AE65" s="85" t="s">
        <v>257</v>
      </c>
      <c r="AF65" s="20">
        <f t="shared" si="8"/>
        <v>0.7142857142857143</v>
      </c>
      <c r="AG65" s="13">
        <f t="shared" si="1"/>
        <v>6</v>
      </c>
      <c r="AH65" s="7">
        <f t="shared" si="2"/>
        <v>10</v>
      </c>
      <c r="AI65" s="7">
        <f t="shared" si="3"/>
        <v>0</v>
      </c>
      <c r="AJ65" s="7">
        <f t="shared" si="4"/>
        <v>0</v>
      </c>
      <c r="AK65" s="7">
        <f t="shared" si="5"/>
        <v>0</v>
      </c>
      <c r="AL65" s="12">
        <f t="shared" si="9"/>
        <v>16</v>
      </c>
      <c r="AM65" s="14" t="str">
        <f t="shared" si="7"/>
        <v>Potential</v>
      </c>
      <c r="AN65" s="85"/>
      <c r="AO65" s="87"/>
      <c r="AP65" s="10" t="s">
        <v>319</v>
      </c>
    </row>
    <row r="66" spans="1:42" ht="16">
      <c r="A66" s="59">
        <v>45180</v>
      </c>
      <c r="C66" s="10">
        <v>15600459</v>
      </c>
      <c r="D66" s="10" t="s">
        <v>99</v>
      </c>
      <c r="E66" s="11">
        <v>10</v>
      </c>
      <c r="F66" s="39">
        <v>433132</v>
      </c>
      <c r="G66" s="39">
        <v>5991214</v>
      </c>
      <c r="H66" s="11" t="s">
        <v>162</v>
      </c>
      <c r="I66" s="11" t="s">
        <v>193</v>
      </c>
      <c r="K66" s="11" t="s">
        <v>119</v>
      </c>
      <c r="L66" s="10" t="s">
        <v>243</v>
      </c>
      <c r="M66" s="10" t="s">
        <v>244</v>
      </c>
      <c r="N66" s="87">
        <v>3.6</v>
      </c>
      <c r="O66" s="87">
        <v>16</v>
      </c>
      <c r="P66" s="85" t="s">
        <v>252</v>
      </c>
      <c r="Q66" s="89"/>
      <c r="R66" s="85" t="s">
        <v>252</v>
      </c>
      <c r="S66" s="85" t="s">
        <v>252</v>
      </c>
      <c r="T66" s="89"/>
      <c r="U66" s="87">
        <v>0.5</v>
      </c>
      <c r="V66" s="85">
        <v>0</v>
      </c>
      <c r="W66" s="87">
        <v>0</v>
      </c>
      <c r="X66" s="85" t="s">
        <v>252</v>
      </c>
      <c r="Y66" s="87">
        <v>1</v>
      </c>
      <c r="Z66" s="87">
        <v>2.6</v>
      </c>
      <c r="AA66" s="85">
        <v>0</v>
      </c>
      <c r="AB66" s="10" t="s">
        <v>252</v>
      </c>
      <c r="AC66" s="10" t="s">
        <v>252</v>
      </c>
      <c r="AD66" s="85" t="s">
        <v>254</v>
      </c>
      <c r="AE66" s="85" t="s">
        <v>257</v>
      </c>
      <c r="AF66" s="20">
        <f t="shared" si="8"/>
        <v>0.72222222222222221</v>
      </c>
      <c r="AG66" s="13">
        <f t="shared" si="1"/>
        <v>3</v>
      </c>
      <c r="AH66" s="7">
        <f t="shared" si="2"/>
        <v>10</v>
      </c>
      <c r="AI66" s="7">
        <f t="shared" si="3"/>
        <v>0</v>
      </c>
      <c r="AJ66" s="7">
        <f t="shared" si="4"/>
        <v>5</v>
      </c>
      <c r="AK66" s="7">
        <f t="shared" si="5"/>
        <v>0</v>
      </c>
      <c r="AL66" s="12">
        <f t="shared" si="9"/>
        <v>18</v>
      </c>
      <c r="AM66" s="14" t="str">
        <f t="shared" si="7"/>
        <v>Potential</v>
      </c>
      <c r="AN66" s="85"/>
      <c r="AO66" s="87"/>
      <c r="AP66" s="10" t="s">
        <v>320</v>
      </c>
    </row>
    <row r="67" spans="1:42" ht="32">
      <c r="A67" s="59">
        <v>45180</v>
      </c>
      <c r="C67" s="10">
        <v>15600182</v>
      </c>
      <c r="D67" s="10" t="s">
        <v>99</v>
      </c>
      <c r="E67" s="11">
        <v>10</v>
      </c>
      <c r="F67" s="39">
        <v>435117</v>
      </c>
      <c r="G67" s="39">
        <v>5987010</v>
      </c>
      <c r="H67" s="11" t="s">
        <v>137</v>
      </c>
      <c r="I67" s="11" t="s">
        <v>191</v>
      </c>
      <c r="K67" s="11" t="s">
        <v>119</v>
      </c>
      <c r="L67" s="10" t="s">
        <v>243</v>
      </c>
      <c r="M67" s="10" t="s">
        <v>244</v>
      </c>
      <c r="N67" s="87">
        <v>1.2</v>
      </c>
      <c r="O67" s="87">
        <v>30</v>
      </c>
      <c r="P67" s="85" t="s">
        <v>252</v>
      </c>
      <c r="Q67" s="89"/>
      <c r="R67" s="85" t="s">
        <v>252</v>
      </c>
      <c r="S67" s="85" t="s">
        <v>252</v>
      </c>
      <c r="T67" s="89"/>
      <c r="U67" s="87">
        <v>9.9</v>
      </c>
      <c r="V67" s="85">
        <v>1.2</v>
      </c>
      <c r="W67" s="87">
        <v>1.6</v>
      </c>
      <c r="X67" s="85" t="s">
        <v>252</v>
      </c>
      <c r="Y67" s="87">
        <v>1</v>
      </c>
      <c r="Z67" s="87">
        <v>1.3</v>
      </c>
      <c r="AA67" s="85">
        <v>3</v>
      </c>
      <c r="AB67" s="10" t="s">
        <v>252</v>
      </c>
      <c r="AC67" s="10" t="s">
        <v>252</v>
      </c>
      <c r="AD67" s="85" t="s">
        <v>254</v>
      </c>
      <c r="AE67" s="85" t="s">
        <v>256</v>
      </c>
      <c r="AF67" s="20">
        <f t="shared" si="8"/>
        <v>1.0833333333333335</v>
      </c>
      <c r="AG67" s="13">
        <f t="shared" si="1"/>
        <v>6</v>
      </c>
      <c r="AH67" s="7">
        <f t="shared" si="2"/>
        <v>10</v>
      </c>
      <c r="AI67" s="7">
        <f t="shared" si="3"/>
        <v>10</v>
      </c>
      <c r="AJ67" s="7">
        <f t="shared" si="4"/>
        <v>5</v>
      </c>
      <c r="AK67" s="7">
        <f t="shared" si="5"/>
        <v>3</v>
      </c>
      <c r="AL67" s="12">
        <f t="shared" si="9"/>
        <v>34</v>
      </c>
      <c r="AM67" s="14" t="str">
        <f t="shared" si="7"/>
        <v>Barrier</v>
      </c>
      <c r="AN67" s="85"/>
      <c r="AO67" s="87"/>
      <c r="AP67" s="10" t="s">
        <v>321</v>
      </c>
    </row>
    <row r="68" spans="1:42" ht="32">
      <c r="A68" s="59">
        <v>45180</v>
      </c>
      <c r="C68" s="10">
        <v>15600158</v>
      </c>
      <c r="D68" s="10" t="s">
        <v>99</v>
      </c>
      <c r="E68" s="11">
        <v>10</v>
      </c>
      <c r="F68" s="39">
        <v>434160</v>
      </c>
      <c r="G68" s="39">
        <v>5985531</v>
      </c>
      <c r="H68" s="11" t="s">
        <v>137</v>
      </c>
      <c r="I68" s="11" t="s">
        <v>194</v>
      </c>
      <c r="K68" s="11" t="s">
        <v>157</v>
      </c>
      <c r="L68" s="10" t="s">
        <v>243</v>
      </c>
      <c r="M68" s="10" t="s">
        <v>244</v>
      </c>
      <c r="N68" s="87">
        <v>0.8</v>
      </c>
      <c r="O68" s="87">
        <v>16</v>
      </c>
      <c r="P68" s="85" t="s">
        <v>252</v>
      </c>
      <c r="Q68" s="89"/>
      <c r="R68" s="85" t="s">
        <v>252</v>
      </c>
      <c r="S68" s="85" t="s">
        <v>253</v>
      </c>
      <c r="T68" s="87">
        <v>100</v>
      </c>
      <c r="U68" s="87">
        <v>2</v>
      </c>
      <c r="V68" s="85">
        <v>0</v>
      </c>
      <c r="W68" s="87">
        <v>0</v>
      </c>
      <c r="X68" s="85" t="s">
        <v>252</v>
      </c>
      <c r="Y68" s="87">
        <v>0</v>
      </c>
      <c r="Z68" s="87">
        <v>1.5</v>
      </c>
      <c r="AA68" s="85">
        <v>1</v>
      </c>
      <c r="AB68" s="10" t="s">
        <v>252</v>
      </c>
      <c r="AC68" s="10" t="s">
        <v>252</v>
      </c>
      <c r="AD68" s="85" t="s">
        <v>254</v>
      </c>
      <c r="AE68" s="85" t="s">
        <v>256</v>
      </c>
      <c r="AF68" s="20">
        <f t="shared" si="8"/>
        <v>1.875</v>
      </c>
      <c r="AG68" s="13">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0</v>
      </c>
      <c r="AK68" s="7">
        <f t="shared" ref="AK68:AK131" si="14">IF(AF68&lt;1,0,IF(AND(AF68&gt;=1,AF68&lt;1.3),3,IF(AF68&gt;=1.3,6,0)))</f>
        <v>6</v>
      </c>
      <c r="AL68" s="12">
        <f t="shared" si="9"/>
        <v>19</v>
      </c>
      <c r="AM68" s="14" t="str">
        <f t="shared" ref="AM68:AM131" si="15">IF(ISBLANK(L68), "", IF(L68 = "Open Bottom Structure", "Passable", IF(L68 = "Other", "Unknown", IF(AL68 &lt; 15, "Passable", IF(AND(AL68 &gt;= 15,AL68 &lt;= 19), "Potential", IF(AL68 &gt; 19, "Barrier", ""))))))</f>
        <v>Potential</v>
      </c>
      <c r="AN68" s="85"/>
      <c r="AO68" s="87"/>
      <c r="AP68" s="10" t="s">
        <v>322</v>
      </c>
    </row>
    <row r="69" spans="1:42" ht="32">
      <c r="A69" s="59">
        <v>45180</v>
      </c>
      <c r="C69" s="10">
        <v>15605366</v>
      </c>
      <c r="D69" s="10" t="s">
        <v>99</v>
      </c>
      <c r="E69" s="11">
        <v>10</v>
      </c>
      <c r="F69" s="39">
        <v>434208</v>
      </c>
      <c r="G69" s="39">
        <v>5985603</v>
      </c>
      <c r="H69" s="11" t="s">
        <v>137</v>
      </c>
      <c r="I69" s="11" t="s">
        <v>195</v>
      </c>
      <c r="K69" s="11" t="s">
        <v>196</v>
      </c>
      <c r="L69" s="10" t="s">
        <v>243</v>
      </c>
      <c r="M69" s="10" t="s">
        <v>244</v>
      </c>
      <c r="N69" s="87">
        <v>0.9</v>
      </c>
      <c r="O69" s="87">
        <v>18</v>
      </c>
      <c r="P69" s="85" t="s">
        <v>252</v>
      </c>
      <c r="Q69" s="89"/>
      <c r="R69" s="85" t="s">
        <v>252</v>
      </c>
      <c r="S69" s="85" t="s">
        <v>253</v>
      </c>
      <c r="T69" s="87">
        <v>100</v>
      </c>
      <c r="U69" s="87">
        <v>2</v>
      </c>
      <c r="V69" s="85">
        <v>0</v>
      </c>
      <c r="W69" s="87">
        <v>0.5</v>
      </c>
      <c r="X69" s="85" t="s">
        <v>252</v>
      </c>
      <c r="Y69" s="87">
        <v>0</v>
      </c>
      <c r="Z69" s="87">
        <v>1.3</v>
      </c>
      <c r="AA69" s="85">
        <v>0</v>
      </c>
      <c r="AB69" s="10" t="s">
        <v>252</v>
      </c>
      <c r="AC69" s="10" t="s">
        <v>252</v>
      </c>
      <c r="AD69" s="85" t="s">
        <v>254</v>
      </c>
      <c r="AE69" s="85" t="s">
        <v>257</v>
      </c>
      <c r="AF69" s="20">
        <f t="shared" si="8"/>
        <v>1.4444444444444444</v>
      </c>
      <c r="AG69" s="13">
        <f t="shared" si="10"/>
        <v>3</v>
      </c>
      <c r="AH69" s="7">
        <f t="shared" si="11"/>
        <v>10</v>
      </c>
      <c r="AI69" s="7">
        <f t="shared" si="12"/>
        <v>0</v>
      </c>
      <c r="AJ69" s="7">
        <f t="shared" si="13"/>
        <v>0</v>
      </c>
      <c r="AK69" s="7">
        <f t="shared" si="14"/>
        <v>6</v>
      </c>
      <c r="AL69" s="12">
        <f t="shared" si="9"/>
        <v>19</v>
      </c>
      <c r="AM69" s="14" t="str">
        <f t="shared" si="15"/>
        <v>Potential</v>
      </c>
      <c r="AN69" s="85"/>
      <c r="AO69" s="87"/>
      <c r="AP69" s="10" t="s">
        <v>323</v>
      </c>
    </row>
    <row r="70" spans="1:42" ht="32">
      <c r="A70" s="59">
        <v>45180</v>
      </c>
      <c r="C70" s="10">
        <v>15600490</v>
      </c>
      <c r="D70" s="10" t="s">
        <v>99</v>
      </c>
      <c r="E70" s="11">
        <v>10</v>
      </c>
      <c r="F70" s="39">
        <v>426233</v>
      </c>
      <c r="G70" s="39">
        <v>5995486</v>
      </c>
      <c r="H70" s="11" t="s">
        <v>173</v>
      </c>
      <c r="I70" s="11" t="s">
        <v>177</v>
      </c>
      <c r="K70" s="11" t="s">
        <v>104</v>
      </c>
      <c r="L70" s="10" t="s">
        <v>243</v>
      </c>
      <c r="M70" s="10" t="s">
        <v>244</v>
      </c>
      <c r="N70" s="87">
        <v>0.9</v>
      </c>
      <c r="O70" s="87">
        <v>20</v>
      </c>
      <c r="P70" s="85" t="s">
        <v>252</v>
      </c>
      <c r="Q70" s="89"/>
      <c r="R70" s="85" t="s">
        <v>252</v>
      </c>
      <c r="S70" s="85" t="s">
        <v>252</v>
      </c>
      <c r="T70" s="89"/>
      <c r="U70" s="87">
        <v>3</v>
      </c>
      <c r="V70" s="85">
        <v>0.9</v>
      </c>
      <c r="W70" s="87">
        <v>0.5</v>
      </c>
      <c r="X70" s="85" t="s">
        <v>252</v>
      </c>
      <c r="Y70" s="87">
        <v>4</v>
      </c>
      <c r="Z70" s="87">
        <v>1.1000000000000001</v>
      </c>
      <c r="AA70" s="85">
        <v>3</v>
      </c>
      <c r="AB70" s="10" t="s">
        <v>252</v>
      </c>
      <c r="AC70" s="10" t="s">
        <v>252</v>
      </c>
      <c r="AD70" s="85" t="s">
        <v>254</v>
      </c>
      <c r="AE70" s="85" t="s">
        <v>256</v>
      </c>
      <c r="AF70" s="20">
        <f t="shared" si="8"/>
        <v>1.2222222222222223</v>
      </c>
      <c r="AG70" s="13">
        <f t="shared" si="10"/>
        <v>3</v>
      </c>
      <c r="AH70" s="7">
        <f t="shared" si="11"/>
        <v>10</v>
      </c>
      <c r="AI70" s="7">
        <f t="shared" si="12"/>
        <v>10</v>
      </c>
      <c r="AJ70" s="7">
        <f t="shared" si="13"/>
        <v>10</v>
      </c>
      <c r="AK70" s="7">
        <f t="shared" si="14"/>
        <v>3</v>
      </c>
      <c r="AL70" s="12">
        <f t="shared" si="9"/>
        <v>36</v>
      </c>
      <c r="AM70" s="14" t="str">
        <f t="shared" si="15"/>
        <v>Barrier</v>
      </c>
      <c r="AN70" s="85"/>
      <c r="AO70" s="87"/>
      <c r="AP70" s="10" t="s">
        <v>324</v>
      </c>
    </row>
    <row r="71" spans="1:42" ht="32">
      <c r="A71" s="59">
        <v>45180</v>
      </c>
      <c r="C71" s="10">
        <v>15604176</v>
      </c>
      <c r="D71" s="10" t="s">
        <v>99</v>
      </c>
      <c r="E71" s="11">
        <v>10</v>
      </c>
      <c r="F71" s="39">
        <v>412266</v>
      </c>
      <c r="G71" s="39">
        <v>6001835</v>
      </c>
      <c r="H71" s="11" t="s">
        <v>137</v>
      </c>
      <c r="I71" s="11" t="s">
        <v>182</v>
      </c>
      <c r="K71" s="11" t="s">
        <v>197</v>
      </c>
      <c r="L71" s="10" t="s">
        <v>249</v>
      </c>
      <c r="M71" s="10" t="s">
        <v>250</v>
      </c>
      <c r="N71" s="89"/>
      <c r="O71" s="89"/>
      <c r="P71" s="88"/>
      <c r="Q71" s="89"/>
      <c r="R71" s="88"/>
      <c r="S71" s="88"/>
      <c r="T71" s="89"/>
      <c r="U71" s="89"/>
      <c r="V71" s="88"/>
      <c r="W71" s="89"/>
      <c r="X71" s="88"/>
      <c r="Y71" s="89"/>
      <c r="Z71" s="89"/>
      <c r="AA71" s="88"/>
      <c r="AB71" s="10" t="s">
        <v>252</v>
      </c>
      <c r="AC71" s="10" t="s">
        <v>252</v>
      </c>
      <c r="AD71" s="88"/>
      <c r="AE71" s="88"/>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Unknown</v>
      </c>
      <c r="AN71" s="85"/>
      <c r="AO71" s="87"/>
      <c r="AP71" s="10" t="s">
        <v>325</v>
      </c>
    </row>
    <row r="72" spans="1:42" ht="32">
      <c r="A72" s="59">
        <v>45180</v>
      </c>
      <c r="C72" s="10">
        <v>15603729</v>
      </c>
      <c r="D72" s="10" t="s">
        <v>99</v>
      </c>
      <c r="E72" s="11">
        <v>10</v>
      </c>
      <c r="F72" s="39">
        <v>403775</v>
      </c>
      <c r="G72" s="39">
        <v>6000768</v>
      </c>
      <c r="H72" s="11" t="s">
        <v>198</v>
      </c>
      <c r="I72" s="11" t="s">
        <v>199</v>
      </c>
      <c r="J72" s="22">
        <v>3.5</v>
      </c>
      <c r="K72" s="11" t="s">
        <v>200</v>
      </c>
      <c r="L72" s="10" t="s">
        <v>243</v>
      </c>
      <c r="M72" s="10" t="s">
        <v>244</v>
      </c>
      <c r="N72" s="87">
        <v>2.6</v>
      </c>
      <c r="O72" s="87">
        <v>12</v>
      </c>
      <c r="P72" s="85" t="s">
        <v>252</v>
      </c>
      <c r="Q72" s="89"/>
      <c r="R72" s="85" t="s">
        <v>252</v>
      </c>
      <c r="S72" s="85" t="s">
        <v>252</v>
      </c>
      <c r="T72" s="89"/>
      <c r="U72" s="87">
        <v>0.5</v>
      </c>
      <c r="V72" s="85">
        <v>0</v>
      </c>
      <c r="W72" s="87">
        <v>0.5</v>
      </c>
      <c r="X72" s="85" t="s">
        <v>252</v>
      </c>
      <c r="Y72" s="87">
        <v>1</v>
      </c>
      <c r="Z72" s="87">
        <v>2.4</v>
      </c>
      <c r="AA72" s="85">
        <v>1</v>
      </c>
      <c r="AB72" s="10" t="s">
        <v>252</v>
      </c>
      <c r="AC72" s="10" t="s">
        <v>252</v>
      </c>
      <c r="AD72" s="85" t="s">
        <v>254</v>
      </c>
      <c r="AE72" s="85" t="s">
        <v>255</v>
      </c>
      <c r="AF72" s="20">
        <f t="shared" si="8"/>
        <v>0.92307692307692302</v>
      </c>
      <c r="AG72" s="13">
        <f t="shared" si="10"/>
        <v>0</v>
      </c>
      <c r="AH72" s="7">
        <f t="shared" si="11"/>
        <v>10</v>
      </c>
      <c r="AI72" s="7">
        <f t="shared" si="12"/>
        <v>0</v>
      </c>
      <c r="AJ72" s="7">
        <f t="shared" si="13"/>
        <v>5</v>
      </c>
      <c r="AK72" s="7">
        <f t="shared" si="14"/>
        <v>0</v>
      </c>
      <c r="AL72" s="12">
        <f t="shared" si="16"/>
        <v>15</v>
      </c>
      <c r="AM72" s="14" t="str">
        <f t="shared" si="15"/>
        <v>Potential</v>
      </c>
      <c r="AN72" s="85"/>
      <c r="AO72" s="87"/>
      <c r="AP72" s="10" t="s">
        <v>326</v>
      </c>
    </row>
    <row r="73" spans="1:42" ht="16">
      <c r="A73" s="59">
        <v>45180</v>
      </c>
      <c r="C73" s="10">
        <v>15600285</v>
      </c>
      <c r="D73" s="10" t="s">
        <v>99</v>
      </c>
      <c r="E73" s="11">
        <v>10</v>
      </c>
      <c r="F73" s="39">
        <v>403897</v>
      </c>
      <c r="G73" s="39">
        <v>5998780</v>
      </c>
      <c r="H73" s="11" t="s">
        <v>198</v>
      </c>
      <c r="I73" s="11" t="s">
        <v>201</v>
      </c>
      <c r="K73" s="11" t="s">
        <v>119</v>
      </c>
      <c r="L73" s="10" t="s">
        <v>243</v>
      </c>
      <c r="M73" s="10" t="s">
        <v>244</v>
      </c>
      <c r="N73" s="87">
        <v>3</v>
      </c>
      <c r="O73" s="87">
        <v>9</v>
      </c>
      <c r="P73" s="85" t="s">
        <v>252</v>
      </c>
      <c r="Q73" s="89"/>
      <c r="R73" s="85" t="s">
        <v>252</v>
      </c>
      <c r="S73" s="85" t="s">
        <v>252</v>
      </c>
      <c r="T73" s="89"/>
      <c r="U73" s="87">
        <v>0.5</v>
      </c>
      <c r="V73" s="85">
        <v>0.5</v>
      </c>
      <c r="W73" s="87">
        <v>2</v>
      </c>
      <c r="X73" s="85" t="s">
        <v>252</v>
      </c>
      <c r="Y73" s="87">
        <v>1</v>
      </c>
      <c r="Z73" s="87">
        <v>3</v>
      </c>
      <c r="AA73" s="85">
        <v>2</v>
      </c>
      <c r="AB73" s="10" t="s">
        <v>253</v>
      </c>
      <c r="AC73" s="10" t="s">
        <v>252</v>
      </c>
      <c r="AD73" s="85" t="s">
        <v>254</v>
      </c>
      <c r="AE73" s="85" t="s">
        <v>256</v>
      </c>
      <c r="AF73" s="20">
        <f t="shared" ref="AF73:AF136" si="17">IF(ISBLANK(Z73), 0, IF(ISBLANK(N73) &lt; 0, 0,Z73 / N73))</f>
        <v>1</v>
      </c>
      <c r="AG73" s="13">
        <f t="shared" si="10"/>
        <v>0</v>
      </c>
      <c r="AH73" s="7">
        <f t="shared" si="11"/>
        <v>10</v>
      </c>
      <c r="AI73" s="7">
        <f t="shared" si="12"/>
        <v>10</v>
      </c>
      <c r="AJ73" s="7">
        <f t="shared" si="13"/>
        <v>5</v>
      </c>
      <c r="AK73" s="7">
        <f t="shared" si="14"/>
        <v>3</v>
      </c>
      <c r="AL73" s="12">
        <f t="shared" si="16"/>
        <v>28</v>
      </c>
      <c r="AM73" s="14" t="str">
        <f t="shared" si="15"/>
        <v>Barrier</v>
      </c>
      <c r="AN73" s="85"/>
      <c r="AO73" s="87"/>
      <c r="AP73" s="10" t="s">
        <v>327</v>
      </c>
    </row>
    <row r="74" spans="1:42" ht="16">
      <c r="A74" s="59">
        <v>45181</v>
      </c>
      <c r="C74" s="10">
        <v>15600112</v>
      </c>
      <c r="D74" s="10" t="s">
        <v>99</v>
      </c>
      <c r="E74" s="11">
        <v>10</v>
      </c>
      <c r="F74" s="39">
        <v>426644</v>
      </c>
      <c r="G74" s="39">
        <v>5985671</v>
      </c>
      <c r="H74" s="11" t="s">
        <v>202</v>
      </c>
      <c r="I74" s="11" t="s">
        <v>177</v>
      </c>
      <c r="K74" s="11" t="s">
        <v>104</v>
      </c>
      <c r="L74" s="10" t="s">
        <v>243</v>
      </c>
      <c r="M74" s="10" t="s">
        <v>244</v>
      </c>
      <c r="N74" s="87">
        <v>2.2000000000000002</v>
      </c>
      <c r="O74" s="87">
        <v>30</v>
      </c>
      <c r="P74" s="85" t="s">
        <v>252</v>
      </c>
      <c r="Q74" s="89"/>
      <c r="R74" s="85" t="s">
        <v>252</v>
      </c>
      <c r="S74" s="85" t="s">
        <v>253</v>
      </c>
      <c r="T74" s="87">
        <v>100</v>
      </c>
      <c r="U74" s="87">
        <v>4</v>
      </c>
      <c r="V74" s="85">
        <v>0</v>
      </c>
      <c r="W74" s="87">
        <v>0.5</v>
      </c>
      <c r="X74" s="85" t="s">
        <v>252</v>
      </c>
      <c r="Y74" s="87">
        <v>1</v>
      </c>
      <c r="Z74" s="87">
        <v>2.2000000000000002</v>
      </c>
      <c r="AA74" s="85">
        <v>1.5</v>
      </c>
      <c r="AB74" s="10" t="s">
        <v>252</v>
      </c>
      <c r="AC74" s="10" t="s">
        <v>252</v>
      </c>
      <c r="AD74" s="85" t="s">
        <v>254</v>
      </c>
      <c r="AE74" s="85" t="s">
        <v>256</v>
      </c>
      <c r="AF74" s="20">
        <f t="shared" si="17"/>
        <v>1</v>
      </c>
      <c r="AG74" s="13">
        <f t="shared" si="10"/>
        <v>6</v>
      </c>
      <c r="AH74" s="7">
        <f t="shared" si="11"/>
        <v>10</v>
      </c>
      <c r="AI74" s="7">
        <f t="shared" si="12"/>
        <v>0</v>
      </c>
      <c r="AJ74" s="7">
        <f t="shared" si="13"/>
        <v>5</v>
      </c>
      <c r="AK74" s="7">
        <f t="shared" si="14"/>
        <v>3</v>
      </c>
      <c r="AL74" s="12">
        <f t="shared" si="16"/>
        <v>24</v>
      </c>
      <c r="AM74" s="14" t="str">
        <f t="shared" si="15"/>
        <v>Barrier</v>
      </c>
      <c r="AN74" s="85"/>
      <c r="AO74" s="87"/>
      <c r="AP74" s="10" t="s">
        <v>328</v>
      </c>
    </row>
    <row r="75" spans="1:42" ht="16">
      <c r="A75" s="59">
        <v>45181</v>
      </c>
      <c r="C75" s="10">
        <v>15600427</v>
      </c>
      <c r="D75" s="10" t="s">
        <v>99</v>
      </c>
      <c r="E75" s="11">
        <v>10</v>
      </c>
      <c r="F75" s="39">
        <v>424186</v>
      </c>
      <c r="G75" s="39">
        <v>5985604</v>
      </c>
      <c r="H75" s="11" t="s">
        <v>202</v>
      </c>
      <c r="I75" s="11" t="s">
        <v>103</v>
      </c>
      <c r="K75" s="11" t="s">
        <v>104</v>
      </c>
      <c r="L75" s="10" t="s">
        <v>243</v>
      </c>
      <c r="M75" s="10" t="s">
        <v>244</v>
      </c>
      <c r="N75" s="87">
        <v>2</v>
      </c>
      <c r="O75" s="87">
        <v>26</v>
      </c>
      <c r="P75" s="85" t="s">
        <v>252</v>
      </c>
      <c r="Q75" s="89"/>
      <c r="R75" s="85" t="s">
        <v>252</v>
      </c>
      <c r="S75" s="85" t="s">
        <v>252</v>
      </c>
      <c r="T75" s="89"/>
      <c r="U75" s="87">
        <v>1</v>
      </c>
      <c r="V75" s="85">
        <v>0</v>
      </c>
      <c r="W75" s="87">
        <v>0.4</v>
      </c>
      <c r="X75" s="85" t="s">
        <v>252</v>
      </c>
      <c r="Y75" s="87">
        <v>2</v>
      </c>
      <c r="Z75" s="87">
        <v>3.1</v>
      </c>
      <c r="AA75" s="85">
        <v>0.5</v>
      </c>
      <c r="AB75" s="10" t="s">
        <v>252</v>
      </c>
      <c r="AC75" s="10" t="s">
        <v>252</v>
      </c>
      <c r="AD75" s="85" t="s">
        <v>254</v>
      </c>
      <c r="AE75" s="85" t="s">
        <v>256</v>
      </c>
      <c r="AF75" s="20">
        <f t="shared" si="17"/>
        <v>1.55</v>
      </c>
      <c r="AG75" s="13">
        <f t="shared" si="10"/>
        <v>3</v>
      </c>
      <c r="AH75" s="7">
        <f t="shared" si="11"/>
        <v>10</v>
      </c>
      <c r="AI75" s="7">
        <f t="shared" si="12"/>
        <v>0</v>
      </c>
      <c r="AJ75" s="7">
        <f t="shared" si="13"/>
        <v>5</v>
      </c>
      <c r="AK75" s="7">
        <f t="shared" si="14"/>
        <v>6</v>
      </c>
      <c r="AL75" s="12">
        <f t="shared" si="16"/>
        <v>24</v>
      </c>
      <c r="AM75" s="14" t="str">
        <f t="shared" si="15"/>
        <v>Barrier</v>
      </c>
      <c r="AN75" s="85"/>
      <c r="AO75" s="87"/>
      <c r="AP75" s="10" t="s">
        <v>329</v>
      </c>
    </row>
    <row r="76" spans="1:42" ht="16">
      <c r="A76" s="59">
        <v>45181</v>
      </c>
      <c r="C76" s="10">
        <v>15600478</v>
      </c>
      <c r="D76" s="10" t="s">
        <v>99</v>
      </c>
      <c r="E76" s="11">
        <v>10</v>
      </c>
      <c r="F76" s="39">
        <v>418610</v>
      </c>
      <c r="G76" s="39">
        <v>5987801</v>
      </c>
      <c r="H76" s="11" t="s">
        <v>203</v>
      </c>
      <c r="I76" s="11" t="s">
        <v>204</v>
      </c>
      <c r="K76" s="11" t="s">
        <v>119</v>
      </c>
      <c r="L76" s="10" t="s">
        <v>243</v>
      </c>
      <c r="M76" s="10" t="s">
        <v>244</v>
      </c>
      <c r="N76" s="87">
        <v>0.9</v>
      </c>
      <c r="O76" s="87">
        <v>10</v>
      </c>
      <c r="P76" s="85" t="s">
        <v>252</v>
      </c>
      <c r="Q76" s="89"/>
      <c r="R76" s="85" t="s">
        <v>252</v>
      </c>
      <c r="S76" s="85" t="s">
        <v>252</v>
      </c>
      <c r="T76" s="89"/>
      <c r="U76" s="87">
        <v>0.5</v>
      </c>
      <c r="V76" s="85">
        <v>0</v>
      </c>
      <c r="W76" s="87">
        <v>0</v>
      </c>
      <c r="X76" s="85" t="s">
        <v>252</v>
      </c>
      <c r="Y76" s="87">
        <v>1</v>
      </c>
      <c r="Z76" s="87">
        <v>0.9</v>
      </c>
      <c r="AA76" s="85">
        <v>0</v>
      </c>
      <c r="AB76" s="10" t="s">
        <v>252</v>
      </c>
      <c r="AC76" s="10" t="s">
        <v>252</v>
      </c>
      <c r="AD76" s="85" t="s">
        <v>254</v>
      </c>
      <c r="AE76" s="85" t="s">
        <v>256</v>
      </c>
      <c r="AF76" s="20">
        <f t="shared" si="17"/>
        <v>1</v>
      </c>
      <c r="AG76" s="13">
        <f t="shared" si="10"/>
        <v>0</v>
      </c>
      <c r="AH76" s="7">
        <f t="shared" si="11"/>
        <v>10</v>
      </c>
      <c r="AI76" s="7">
        <f t="shared" si="12"/>
        <v>0</v>
      </c>
      <c r="AJ76" s="7">
        <f t="shared" si="13"/>
        <v>5</v>
      </c>
      <c r="AK76" s="7">
        <f t="shared" si="14"/>
        <v>3</v>
      </c>
      <c r="AL76" s="12">
        <f t="shared" si="16"/>
        <v>18</v>
      </c>
      <c r="AM76" s="14" t="str">
        <f t="shared" si="15"/>
        <v>Potential</v>
      </c>
      <c r="AN76" s="85"/>
      <c r="AO76" s="87"/>
      <c r="AP76" s="10" t="s">
        <v>330</v>
      </c>
    </row>
    <row r="77" spans="1:42" ht="16">
      <c r="A77" s="59">
        <v>45197</v>
      </c>
      <c r="C77" s="10">
        <v>5400448</v>
      </c>
      <c r="D77" s="10" t="s">
        <v>99</v>
      </c>
      <c r="E77" s="11">
        <v>10</v>
      </c>
      <c r="F77" s="39">
        <v>306137</v>
      </c>
      <c r="G77" s="39">
        <v>6031749</v>
      </c>
      <c r="H77" s="11" t="s">
        <v>205</v>
      </c>
      <c r="I77" s="11" t="s">
        <v>103</v>
      </c>
      <c r="K77" s="11" t="s">
        <v>104</v>
      </c>
      <c r="L77" s="10" t="s">
        <v>243</v>
      </c>
      <c r="M77" s="10" t="s">
        <v>244</v>
      </c>
      <c r="N77" s="87">
        <v>2.1</v>
      </c>
      <c r="O77" s="87">
        <v>44</v>
      </c>
      <c r="P77" s="85" t="s">
        <v>252</v>
      </c>
      <c r="Q77" s="89"/>
      <c r="R77" s="85" t="s">
        <v>252</v>
      </c>
      <c r="S77" s="85" t="s">
        <v>253</v>
      </c>
      <c r="T77" s="87">
        <v>25</v>
      </c>
      <c r="U77" s="87">
        <v>4</v>
      </c>
      <c r="V77" s="85">
        <v>0</v>
      </c>
      <c r="W77" s="87">
        <v>0.5</v>
      </c>
      <c r="X77" s="85" t="s">
        <v>252</v>
      </c>
      <c r="Y77" s="87">
        <v>3</v>
      </c>
      <c r="Z77" s="87">
        <v>2.4</v>
      </c>
      <c r="AA77" s="85">
        <v>3</v>
      </c>
      <c r="AB77" s="10" t="s">
        <v>252</v>
      </c>
      <c r="AC77" s="10" t="s">
        <v>253</v>
      </c>
      <c r="AD77" s="85" t="s">
        <v>254</v>
      </c>
      <c r="AE77" s="85" t="s">
        <v>255</v>
      </c>
      <c r="AF77" s="20">
        <f t="shared" si="17"/>
        <v>1.1428571428571428</v>
      </c>
      <c r="AG77" s="13">
        <f t="shared" si="10"/>
        <v>6</v>
      </c>
      <c r="AH77" s="7">
        <f t="shared" si="11"/>
        <v>10</v>
      </c>
      <c r="AI77" s="7">
        <f t="shared" si="12"/>
        <v>0</v>
      </c>
      <c r="AJ77" s="7">
        <f t="shared" si="13"/>
        <v>10</v>
      </c>
      <c r="AK77" s="7">
        <f t="shared" si="14"/>
        <v>3</v>
      </c>
      <c r="AL77" s="12">
        <f t="shared" si="16"/>
        <v>29</v>
      </c>
      <c r="AM77" s="14" t="str">
        <f t="shared" si="15"/>
        <v>Barrier</v>
      </c>
      <c r="AN77" s="85"/>
      <c r="AO77" s="87"/>
      <c r="AP77" s="10" t="s">
        <v>331</v>
      </c>
    </row>
    <row r="78" spans="1:42" ht="16">
      <c r="A78" s="59">
        <v>45197</v>
      </c>
      <c r="C78" s="10">
        <v>5400445</v>
      </c>
      <c r="D78" s="10" t="s">
        <v>99</v>
      </c>
      <c r="E78" s="11">
        <v>10</v>
      </c>
      <c r="F78" s="39">
        <v>309133</v>
      </c>
      <c r="G78" s="39">
        <v>6028926</v>
      </c>
      <c r="H78" s="11" t="s">
        <v>206</v>
      </c>
      <c r="I78" s="11" t="s">
        <v>103</v>
      </c>
      <c r="K78" s="11" t="s">
        <v>104</v>
      </c>
      <c r="L78" s="10" t="s">
        <v>243</v>
      </c>
      <c r="M78" s="10" t="s">
        <v>248</v>
      </c>
      <c r="N78" s="87">
        <v>2.6</v>
      </c>
      <c r="O78" s="87">
        <v>16</v>
      </c>
      <c r="P78" s="85" t="s">
        <v>252</v>
      </c>
      <c r="Q78" s="89"/>
      <c r="R78" s="85" t="s">
        <v>252</v>
      </c>
      <c r="S78" s="85" t="s">
        <v>252</v>
      </c>
      <c r="T78" s="89"/>
      <c r="U78" s="87">
        <v>0.4</v>
      </c>
      <c r="V78" s="85">
        <v>0</v>
      </c>
      <c r="W78" s="87">
        <v>0</v>
      </c>
      <c r="X78" s="85" t="s">
        <v>252</v>
      </c>
      <c r="Y78" s="87">
        <v>3</v>
      </c>
      <c r="Z78" s="87">
        <v>3.4</v>
      </c>
      <c r="AA78" s="85">
        <v>1</v>
      </c>
      <c r="AB78" s="10" t="s">
        <v>252</v>
      </c>
      <c r="AC78" s="10" t="s">
        <v>252</v>
      </c>
      <c r="AD78" s="85" t="s">
        <v>254</v>
      </c>
      <c r="AE78" s="85" t="s">
        <v>256</v>
      </c>
      <c r="AF78" s="20">
        <f t="shared" si="17"/>
        <v>1.3076923076923077</v>
      </c>
      <c r="AG78" s="13">
        <f t="shared" si="10"/>
        <v>3</v>
      </c>
      <c r="AH78" s="7">
        <f t="shared" si="11"/>
        <v>10</v>
      </c>
      <c r="AI78" s="7">
        <f t="shared" si="12"/>
        <v>0</v>
      </c>
      <c r="AJ78" s="7">
        <f t="shared" si="13"/>
        <v>10</v>
      </c>
      <c r="AK78" s="7">
        <f t="shared" si="14"/>
        <v>6</v>
      </c>
      <c r="AL78" s="12">
        <f t="shared" si="16"/>
        <v>29</v>
      </c>
      <c r="AM78" s="14" t="str">
        <f t="shared" si="15"/>
        <v>Barrier</v>
      </c>
      <c r="AN78" s="85"/>
      <c r="AO78" s="87"/>
      <c r="AP78" s="10" t="s">
        <v>332</v>
      </c>
    </row>
    <row r="79" spans="1:42" ht="16">
      <c r="A79" s="59">
        <v>45197</v>
      </c>
      <c r="C79" s="10">
        <v>5400440</v>
      </c>
      <c r="D79" s="10" t="s">
        <v>99</v>
      </c>
      <c r="E79" s="11">
        <v>10</v>
      </c>
      <c r="F79" s="39">
        <v>313583</v>
      </c>
      <c r="G79" s="39">
        <v>6022421</v>
      </c>
      <c r="H79" s="11" t="s">
        <v>207</v>
      </c>
      <c r="I79" s="11" t="s">
        <v>103</v>
      </c>
      <c r="K79" s="11" t="s">
        <v>104</v>
      </c>
      <c r="L79" s="10" t="s">
        <v>243</v>
      </c>
      <c r="M79" s="10" t="s">
        <v>248</v>
      </c>
      <c r="N79" s="87">
        <v>2.2999999999999998</v>
      </c>
      <c r="O79" s="87">
        <v>20</v>
      </c>
      <c r="P79" s="85" t="s">
        <v>252</v>
      </c>
      <c r="Q79" s="89"/>
      <c r="R79" s="85" t="s">
        <v>252</v>
      </c>
      <c r="S79" s="85" t="s">
        <v>252</v>
      </c>
      <c r="T79" s="89"/>
      <c r="U79" s="87">
        <v>1</v>
      </c>
      <c r="V79" s="85">
        <v>0.2</v>
      </c>
      <c r="W79" s="87">
        <v>0</v>
      </c>
      <c r="X79" s="85" t="s">
        <v>253</v>
      </c>
      <c r="Y79" s="87">
        <v>5</v>
      </c>
      <c r="Z79" s="87">
        <v>3.5</v>
      </c>
      <c r="AA79" s="85">
        <v>4</v>
      </c>
      <c r="AB79" s="10" t="s">
        <v>252</v>
      </c>
      <c r="AC79" s="10" t="s">
        <v>252</v>
      </c>
      <c r="AD79" s="85" t="s">
        <v>254</v>
      </c>
      <c r="AE79" s="85" t="s">
        <v>256</v>
      </c>
      <c r="AF79" s="20">
        <f t="shared" si="17"/>
        <v>1.5217391304347827</v>
      </c>
      <c r="AG79" s="13">
        <f t="shared" si="10"/>
        <v>3</v>
      </c>
      <c r="AH79" s="7">
        <f t="shared" si="11"/>
        <v>10</v>
      </c>
      <c r="AI79" s="7">
        <f t="shared" si="12"/>
        <v>5</v>
      </c>
      <c r="AJ79" s="7">
        <f t="shared" si="13"/>
        <v>10</v>
      </c>
      <c r="AK79" s="7">
        <f t="shared" si="14"/>
        <v>6</v>
      </c>
      <c r="AL79" s="12">
        <f t="shared" si="16"/>
        <v>34</v>
      </c>
      <c r="AM79" s="14" t="str">
        <f t="shared" si="15"/>
        <v>Barrier</v>
      </c>
      <c r="AN79" s="85"/>
      <c r="AO79" s="87"/>
      <c r="AP79" s="10" t="s">
        <v>333</v>
      </c>
    </row>
    <row r="80" spans="1:42" ht="16">
      <c r="A80" s="59">
        <v>45197</v>
      </c>
      <c r="C80" s="10">
        <v>5406295</v>
      </c>
      <c r="D80" s="10" t="s">
        <v>99</v>
      </c>
      <c r="E80" s="11">
        <v>10</v>
      </c>
      <c r="F80" s="39">
        <v>313514</v>
      </c>
      <c r="G80" s="39">
        <v>6022401</v>
      </c>
      <c r="H80" s="11" t="s">
        <v>207</v>
      </c>
      <c r="I80" s="11" t="s">
        <v>195</v>
      </c>
      <c r="K80" s="11" t="s">
        <v>196</v>
      </c>
      <c r="L80" s="10" t="s">
        <v>243</v>
      </c>
      <c r="M80" s="10" t="s">
        <v>244</v>
      </c>
      <c r="N80" s="87">
        <v>2.2000000000000002</v>
      </c>
      <c r="O80" s="87">
        <v>12</v>
      </c>
      <c r="P80" s="85" t="s">
        <v>252</v>
      </c>
      <c r="Q80" s="89"/>
      <c r="R80" s="85" t="s">
        <v>252</v>
      </c>
      <c r="S80" s="85" t="s">
        <v>252</v>
      </c>
      <c r="T80" s="89"/>
      <c r="U80" s="87">
        <v>1.2</v>
      </c>
      <c r="V80" s="85">
        <v>0.5</v>
      </c>
      <c r="W80" s="87">
        <v>0</v>
      </c>
      <c r="X80" s="85" t="s">
        <v>252</v>
      </c>
      <c r="Y80" s="87">
        <v>5</v>
      </c>
      <c r="Z80" s="87">
        <v>4.0999999999999996</v>
      </c>
      <c r="AA80" s="85">
        <v>2</v>
      </c>
      <c r="AB80" s="10" t="s">
        <v>252</v>
      </c>
      <c r="AC80" s="10" t="s">
        <v>252</v>
      </c>
      <c r="AD80" s="85" t="s">
        <v>254</v>
      </c>
      <c r="AE80" s="85" t="s">
        <v>256</v>
      </c>
      <c r="AF80" s="20">
        <f t="shared" si="17"/>
        <v>1.8636363636363633</v>
      </c>
      <c r="AG80" s="13">
        <f t="shared" si="10"/>
        <v>0</v>
      </c>
      <c r="AH80" s="7">
        <f t="shared" si="11"/>
        <v>10</v>
      </c>
      <c r="AI80" s="7">
        <f t="shared" si="12"/>
        <v>10</v>
      </c>
      <c r="AJ80" s="7">
        <f t="shared" si="13"/>
        <v>10</v>
      </c>
      <c r="AK80" s="7">
        <f t="shared" si="14"/>
        <v>6</v>
      </c>
      <c r="AL80" s="12">
        <f t="shared" si="16"/>
        <v>36</v>
      </c>
      <c r="AM80" s="14" t="str">
        <f t="shared" si="15"/>
        <v>Barrier</v>
      </c>
      <c r="AN80" s="85"/>
      <c r="AO80" s="87"/>
      <c r="AP80" s="10" t="s">
        <v>334</v>
      </c>
    </row>
    <row r="81" spans="1:42" ht="16">
      <c r="A81" s="59">
        <v>45197</v>
      </c>
      <c r="C81" s="10">
        <v>5400044</v>
      </c>
      <c r="D81" s="10" t="s">
        <v>99</v>
      </c>
      <c r="E81" s="11">
        <v>10</v>
      </c>
      <c r="F81" s="39">
        <v>316235</v>
      </c>
      <c r="G81" s="39">
        <v>6018694</v>
      </c>
      <c r="H81" s="11" t="s">
        <v>208</v>
      </c>
      <c r="I81" s="11" t="s">
        <v>103</v>
      </c>
      <c r="K81" s="11" t="s">
        <v>104</v>
      </c>
      <c r="L81" s="10" t="s">
        <v>243</v>
      </c>
      <c r="M81" s="10" t="s">
        <v>244</v>
      </c>
      <c r="N81" s="87">
        <v>2.6</v>
      </c>
      <c r="O81" s="87">
        <v>32</v>
      </c>
      <c r="P81" s="85" t="s">
        <v>252</v>
      </c>
      <c r="Q81" s="89"/>
      <c r="R81" s="85" t="s">
        <v>252</v>
      </c>
      <c r="S81" s="85" t="s">
        <v>252</v>
      </c>
      <c r="T81" s="89"/>
      <c r="U81" s="87">
        <v>1.3</v>
      </c>
      <c r="V81" s="85">
        <v>0.6</v>
      </c>
      <c r="W81" s="87">
        <v>0</v>
      </c>
      <c r="X81" s="85" t="s">
        <v>252</v>
      </c>
      <c r="Y81" s="87">
        <v>2</v>
      </c>
      <c r="Z81" s="87">
        <v>4.3</v>
      </c>
      <c r="AA81" s="85">
        <v>4</v>
      </c>
      <c r="AB81" s="10" t="s">
        <v>252</v>
      </c>
      <c r="AC81" s="10" t="s">
        <v>252</v>
      </c>
      <c r="AD81" s="85" t="s">
        <v>254</v>
      </c>
      <c r="AE81" s="85" t="s">
        <v>256</v>
      </c>
      <c r="AF81" s="20">
        <f t="shared" si="17"/>
        <v>1.6538461538461537</v>
      </c>
      <c r="AG81" s="13">
        <f t="shared" si="10"/>
        <v>6</v>
      </c>
      <c r="AH81" s="7">
        <f t="shared" si="11"/>
        <v>10</v>
      </c>
      <c r="AI81" s="7">
        <f t="shared" si="12"/>
        <v>10</v>
      </c>
      <c r="AJ81" s="7">
        <f t="shared" si="13"/>
        <v>5</v>
      </c>
      <c r="AK81" s="7">
        <f t="shared" si="14"/>
        <v>6</v>
      </c>
      <c r="AL81" s="12">
        <f t="shared" si="16"/>
        <v>37</v>
      </c>
      <c r="AM81" s="14" t="str">
        <f t="shared" si="15"/>
        <v>Barrier</v>
      </c>
      <c r="AN81" s="85"/>
      <c r="AO81" s="87"/>
      <c r="AP81" s="10" t="s">
        <v>335</v>
      </c>
    </row>
    <row r="82" spans="1:42" ht="16">
      <c r="A82" s="59">
        <v>45197</v>
      </c>
      <c r="C82" s="10">
        <v>5400227</v>
      </c>
      <c r="D82" s="10" t="s">
        <v>99</v>
      </c>
      <c r="E82" s="11">
        <v>10</v>
      </c>
      <c r="F82" s="39">
        <v>317315</v>
      </c>
      <c r="G82" s="39">
        <v>6016973</v>
      </c>
      <c r="H82" s="11" t="s">
        <v>209</v>
      </c>
      <c r="I82" s="11" t="s">
        <v>103</v>
      </c>
      <c r="K82" s="11" t="s">
        <v>104</v>
      </c>
      <c r="L82" s="10" t="s">
        <v>243</v>
      </c>
      <c r="M82" s="10" t="s">
        <v>244</v>
      </c>
      <c r="N82" s="87">
        <v>1.2</v>
      </c>
      <c r="O82" s="87">
        <v>48</v>
      </c>
      <c r="P82" s="85" t="s">
        <v>252</v>
      </c>
      <c r="Q82" s="89"/>
      <c r="R82" s="85" t="s">
        <v>252</v>
      </c>
      <c r="S82" s="85" t="s">
        <v>252</v>
      </c>
      <c r="T82" s="89"/>
      <c r="U82" s="87">
        <v>4</v>
      </c>
      <c r="V82" s="85">
        <v>0.2</v>
      </c>
      <c r="W82" s="87">
        <v>0</v>
      </c>
      <c r="X82" s="85" t="s">
        <v>252</v>
      </c>
      <c r="Y82" s="87">
        <v>2</v>
      </c>
      <c r="Z82" s="87">
        <v>1.1000000000000001</v>
      </c>
      <c r="AA82" s="85">
        <v>2</v>
      </c>
      <c r="AB82" s="10" t="s">
        <v>252</v>
      </c>
      <c r="AC82" s="10" t="s">
        <v>252</v>
      </c>
      <c r="AD82" s="85" t="s">
        <v>254</v>
      </c>
      <c r="AE82" s="85" t="s">
        <v>257</v>
      </c>
      <c r="AF82" s="20">
        <f t="shared" si="17"/>
        <v>0.91666666666666674</v>
      </c>
      <c r="AG82" s="13">
        <f t="shared" si="10"/>
        <v>6</v>
      </c>
      <c r="AH82" s="7">
        <f t="shared" si="11"/>
        <v>10</v>
      </c>
      <c r="AI82" s="7">
        <f t="shared" si="12"/>
        <v>5</v>
      </c>
      <c r="AJ82" s="7">
        <f t="shared" si="13"/>
        <v>5</v>
      </c>
      <c r="AK82" s="7">
        <f t="shared" si="14"/>
        <v>0</v>
      </c>
      <c r="AL82" s="12">
        <f t="shared" si="16"/>
        <v>26</v>
      </c>
      <c r="AM82" s="14" t="str">
        <f t="shared" si="15"/>
        <v>Barrier</v>
      </c>
      <c r="AN82" s="85"/>
      <c r="AO82" s="87"/>
      <c r="AP82" s="10" t="s">
        <v>336</v>
      </c>
    </row>
    <row r="83" spans="1:42" ht="16">
      <c r="A83" s="59">
        <v>45197</v>
      </c>
      <c r="C83" s="10">
        <v>5400286</v>
      </c>
      <c r="D83" s="10" t="s">
        <v>99</v>
      </c>
      <c r="E83" s="11">
        <v>10</v>
      </c>
      <c r="F83" s="39">
        <v>320733</v>
      </c>
      <c r="G83" s="39">
        <v>6009596</v>
      </c>
      <c r="H83" s="11" t="s">
        <v>210</v>
      </c>
      <c r="I83" s="11" t="s">
        <v>211</v>
      </c>
      <c r="K83" s="11" t="s">
        <v>104</v>
      </c>
      <c r="L83" s="10" t="s">
        <v>243</v>
      </c>
      <c r="M83" s="10" t="s">
        <v>248</v>
      </c>
      <c r="N83" s="87">
        <v>4</v>
      </c>
      <c r="O83" s="87">
        <v>22</v>
      </c>
      <c r="P83" s="85" t="s">
        <v>252</v>
      </c>
      <c r="Q83" s="89"/>
      <c r="R83" s="85" t="s">
        <v>252</v>
      </c>
      <c r="S83" s="85" t="s">
        <v>252</v>
      </c>
      <c r="T83" s="89"/>
      <c r="U83" s="87">
        <v>0.1</v>
      </c>
      <c r="V83" s="85">
        <v>0.6</v>
      </c>
      <c r="W83" s="87">
        <v>0.5</v>
      </c>
      <c r="X83" s="85" t="s">
        <v>252</v>
      </c>
      <c r="Y83" s="87">
        <v>2</v>
      </c>
      <c r="Z83" s="87">
        <v>2.8</v>
      </c>
      <c r="AA83" s="85">
        <v>3</v>
      </c>
      <c r="AB83" s="10" t="s">
        <v>252</v>
      </c>
      <c r="AC83" s="10" t="s">
        <v>253</v>
      </c>
      <c r="AD83" s="85" t="s">
        <v>254</v>
      </c>
      <c r="AE83" s="85" t="s">
        <v>255</v>
      </c>
      <c r="AF83" s="20">
        <f t="shared" si="17"/>
        <v>0.7</v>
      </c>
      <c r="AG83" s="13">
        <f t="shared" si="10"/>
        <v>3</v>
      </c>
      <c r="AH83" s="7">
        <f t="shared" si="11"/>
        <v>10</v>
      </c>
      <c r="AI83" s="7">
        <f t="shared" si="12"/>
        <v>10</v>
      </c>
      <c r="AJ83" s="7">
        <f t="shared" si="13"/>
        <v>5</v>
      </c>
      <c r="AK83" s="7">
        <f t="shared" si="14"/>
        <v>0</v>
      </c>
      <c r="AL83" s="12">
        <f t="shared" si="16"/>
        <v>28</v>
      </c>
      <c r="AM83" s="14" t="str">
        <f t="shared" si="15"/>
        <v>Barrier</v>
      </c>
      <c r="AN83" s="85"/>
      <c r="AO83" s="87"/>
      <c r="AP83" s="10" t="s">
        <v>337</v>
      </c>
    </row>
    <row r="84" spans="1:42" ht="16">
      <c r="A84" s="59">
        <v>45197</v>
      </c>
      <c r="C84" s="10">
        <v>5400042</v>
      </c>
      <c r="D84" s="10" t="s">
        <v>99</v>
      </c>
      <c r="E84" s="11">
        <v>10</v>
      </c>
      <c r="F84" s="39">
        <v>322424</v>
      </c>
      <c r="G84" s="39">
        <v>6011731</v>
      </c>
      <c r="H84" s="11" t="s">
        <v>212</v>
      </c>
      <c r="I84" s="11" t="s">
        <v>106</v>
      </c>
      <c r="K84" s="11" t="s">
        <v>104</v>
      </c>
      <c r="L84" s="10" t="s">
        <v>243</v>
      </c>
      <c r="M84" s="10" t="s">
        <v>244</v>
      </c>
      <c r="N84" s="87">
        <v>3.5</v>
      </c>
      <c r="O84" s="87">
        <v>30</v>
      </c>
      <c r="P84" s="85" t="s">
        <v>252</v>
      </c>
      <c r="Q84" s="89"/>
      <c r="R84" s="85" t="s">
        <v>252</v>
      </c>
      <c r="S84" s="85" t="s">
        <v>252</v>
      </c>
      <c r="T84" s="89"/>
      <c r="U84" s="87">
        <v>4</v>
      </c>
      <c r="V84" s="85">
        <v>0</v>
      </c>
      <c r="W84" s="87">
        <v>0</v>
      </c>
      <c r="X84" s="85" t="s">
        <v>252</v>
      </c>
      <c r="Y84" s="87">
        <v>4</v>
      </c>
      <c r="Z84" s="87">
        <v>2.4</v>
      </c>
      <c r="AA84" s="85">
        <v>3</v>
      </c>
      <c r="AB84" s="10" t="s">
        <v>252</v>
      </c>
      <c r="AC84" s="10" t="s">
        <v>253</v>
      </c>
      <c r="AD84" s="85" t="s">
        <v>254</v>
      </c>
      <c r="AE84" s="85" t="s">
        <v>255</v>
      </c>
      <c r="AF84" s="20">
        <f t="shared" si="17"/>
        <v>0.68571428571428572</v>
      </c>
      <c r="AG84" s="13">
        <f t="shared" si="10"/>
        <v>6</v>
      </c>
      <c r="AH84" s="7">
        <f t="shared" si="11"/>
        <v>10</v>
      </c>
      <c r="AI84" s="7">
        <f t="shared" si="12"/>
        <v>0</v>
      </c>
      <c r="AJ84" s="7">
        <f t="shared" si="13"/>
        <v>10</v>
      </c>
      <c r="AK84" s="7">
        <f t="shared" si="14"/>
        <v>0</v>
      </c>
      <c r="AL84" s="12">
        <f t="shared" si="16"/>
        <v>26</v>
      </c>
      <c r="AM84" s="14" t="str">
        <f t="shared" si="15"/>
        <v>Barrier</v>
      </c>
      <c r="AN84" s="85"/>
      <c r="AO84" s="87"/>
      <c r="AP84" s="10" t="s">
        <v>338</v>
      </c>
    </row>
    <row r="85" spans="1:42" ht="16">
      <c r="A85" s="59">
        <v>45197</v>
      </c>
      <c r="C85" s="10">
        <v>5400181</v>
      </c>
      <c r="D85" s="10" t="s">
        <v>99</v>
      </c>
      <c r="E85" s="11">
        <v>10</v>
      </c>
      <c r="F85" s="39">
        <v>321873</v>
      </c>
      <c r="G85" s="39">
        <v>6012125</v>
      </c>
      <c r="H85" s="11" t="s">
        <v>212</v>
      </c>
      <c r="I85" s="11" t="s">
        <v>213</v>
      </c>
      <c r="K85" s="11" t="s">
        <v>113</v>
      </c>
      <c r="L85" s="10" t="s">
        <v>243</v>
      </c>
      <c r="M85" s="10" t="s">
        <v>244</v>
      </c>
      <c r="N85" s="87">
        <v>0.8</v>
      </c>
      <c r="O85" s="87">
        <v>28</v>
      </c>
      <c r="P85" s="85" t="s">
        <v>252</v>
      </c>
      <c r="Q85" s="89"/>
      <c r="R85" s="85" t="s">
        <v>252</v>
      </c>
      <c r="S85" s="85" t="s">
        <v>253</v>
      </c>
      <c r="T85" s="87">
        <v>100</v>
      </c>
      <c r="U85" s="87">
        <v>3</v>
      </c>
      <c r="V85" s="85">
        <v>0</v>
      </c>
      <c r="W85" s="87">
        <v>0.5</v>
      </c>
      <c r="X85" s="85" t="s">
        <v>252</v>
      </c>
      <c r="Y85" s="87">
        <v>2</v>
      </c>
      <c r="Z85" s="87">
        <v>0.8</v>
      </c>
      <c r="AA85" s="85">
        <v>1</v>
      </c>
      <c r="AB85" s="10" t="s">
        <v>253</v>
      </c>
      <c r="AC85" s="10" t="s">
        <v>252</v>
      </c>
      <c r="AD85" s="85" t="s">
        <v>254</v>
      </c>
      <c r="AE85" s="85" t="s">
        <v>256</v>
      </c>
      <c r="AF85" s="20">
        <f t="shared" si="17"/>
        <v>1</v>
      </c>
      <c r="AG85" s="13">
        <f t="shared" si="10"/>
        <v>3</v>
      </c>
      <c r="AH85" s="7">
        <f t="shared" si="11"/>
        <v>10</v>
      </c>
      <c r="AI85" s="7">
        <f t="shared" si="12"/>
        <v>0</v>
      </c>
      <c r="AJ85" s="7">
        <f t="shared" si="13"/>
        <v>5</v>
      </c>
      <c r="AK85" s="7">
        <f t="shared" si="14"/>
        <v>3</v>
      </c>
      <c r="AL85" s="12">
        <f t="shared" si="16"/>
        <v>21</v>
      </c>
      <c r="AM85" s="14" t="str">
        <f t="shared" si="15"/>
        <v>Barrier</v>
      </c>
      <c r="AN85" s="85"/>
      <c r="AO85" s="87"/>
      <c r="AP85" s="10" t="s">
        <v>339</v>
      </c>
    </row>
    <row r="86" spans="1:42" ht="16">
      <c r="A86" s="59">
        <v>45198</v>
      </c>
      <c r="C86" s="10">
        <v>5403082</v>
      </c>
      <c r="D86" s="10" t="s">
        <v>99</v>
      </c>
      <c r="E86" s="11">
        <v>10</v>
      </c>
      <c r="F86" s="39">
        <v>327620</v>
      </c>
      <c r="G86" s="39">
        <v>6010443</v>
      </c>
      <c r="H86" s="11" t="s">
        <v>214</v>
      </c>
      <c r="I86" s="11" t="s">
        <v>106</v>
      </c>
      <c r="K86" s="11" t="s">
        <v>104</v>
      </c>
      <c r="L86" s="10" t="s">
        <v>243</v>
      </c>
      <c r="M86" s="10" t="s">
        <v>244</v>
      </c>
      <c r="N86" s="87">
        <v>1.7</v>
      </c>
      <c r="O86" s="87">
        <v>22</v>
      </c>
      <c r="P86" s="85" t="s">
        <v>252</v>
      </c>
      <c r="Q86" s="89"/>
      <c r="R86" s="85" t="s">
        <v>252</v>
      </c>
      <c r="S86" s="85" t="s">
        <v>253</v>
      </c>
      <c r="T86" s="87">
        <v>100</v>
      </c>
      <c r="U86" s="87">
        <v>1.8</v>
      </c>
      <c r="V86" s="85">
        <v>0</v>
      </c>
      <c r="W86" s="87">
        <v>0</v>
      </c>
      <c r="X86" s="85" t="s">
        <v>252</v>
      </c>
      <c r="Y86" s="87">
        <v>2.5</v>
      </c>
      <c r="Z86" s="87">
        <v>3.1</v>
      </c>
      <c r="AA86" s="85">
        <v>2</v>
      </c>
      <c r="AB86" s="10" t="s">
        <v>252</v>
      </c>
      <c r="AC86" s="10" t="s">
        <v>252</v>
      </c>
      <c r="AD86" s="85" t="s">
        <v>254</v>
      </c>
      <c r="AE86" s="85" t="s">
        <v>255</v>
      </c>
      <c r="AF86" s="20">
        <f t="shared" si="17"/>
        <v>1.8235294117647061</v>
      </c>
      <c r="AG86" s="13">
        <f t="shared" si="10"/>
        <v>3</v>
      </c>
      <c r="AH86" s="7">
        <f t="shared" si="11"/>
        <v>10</v>
      </c>
      <c r="AI86" s="7">
        <f t="shared" si="12"/>
        <v>0</v>
      </c>
      <c r="AJ86" s="7">
        <f t="shared" si="13"/>
        <v>5</v>
      </c>
      <c r="AK86" s="7">
        <f t="shared" si="14"/>
        <v>6</v>
      </c>
      <c r="AL86" s="12">
        <f t="shared" si="16"/>
        <v>24</v>
      </c>
      <c r="AM86" s="14" t="str">
        <f t="shared" si="15"/>
        <v>Barrier</v>
      </c>
      <c r="AN86" s="85"/>
      <c r="AO86" s="87"/>
      <c r="AP86" s="10" t="s">
        <v>340</v>
      </c>
    </row>
    <row r="87" spans="1:42" ht="16">
      <c r="A87" s="59">
        <v>45198</v>
      </c>
      <c r="C87" s="10">
        <v>5400028</v>
      </c>
      <c r="D87" s="10" t="s">
        <v>99</v>
      </c>
      <c r="E87" s="11">
        <v>10</v>
      </c>
      <c r="F87" s="39">
        <v>330232</v>
      </c>
      <c r="G87" s="39">
        <v>6009362</v>
      </c>
      <c r="H87" s="11" t="s">
        <v>215</v>
      </c>
      <c r="I87" s="11" t="s">
        <v>106</v>
      </c>
      <c r="K87" s="11" t="s">
        <v>104</v>
      </c>
      <c r="L87" s="10" t="s">
        <v>243</v>
      </c>
      <c r="M87" s="10" t="s">
        <v>244</v>
      </c>
      <c r="N87" s="87">
        <v>3.8</v>
      </c>
      <c r="O87" s="87">
        <v>44</v>
      </c>
      <c r="P87" s="85" t="s">
        <v>253</v>
      </c>
      <c r="Q87" s="87">
        <v>0.2</v>
      </c>
      <c r="R87" s="85" t="s">
        <v>252</v>
      </c>
      <c r="S87" s="85" t="s">
        <v>252</v>
      </c>
      <c r="T87" s="89"/>
      <c r="U87" s="87">
        <v>2</v>
      </c>
      <c r="V87" s="85">
        <v>0</v>
      </c>
      <c r="W87" s="87">
        <v>0</v>
      </c>
      <c r="X87" s="85" t="s">
        <v>252</v>
      </c>
      <c r="Y87" s="87">
        <v>2</v>
      </c>
      <c r="Z87" s="87">
        <v>3.6</v>
      </c>
      <c r="AA87" s="85">
        <v>1</v>
      </c>
      <c r="AB87" s="10" t="s">
        <v>252</v>
      </c>
      <c r="AC87" s="10" t="s">
        <v>252</v>
      </c>
      <c r="AD87" s="85" t="s">
        <v>254</v>
      </c>
      <c r="AE87" s="85" t="s">
        <v>255</v>
      </c>
      <c r="AF87" s="20">
        <f t="shared" si="17"/>
        <v>0.94736842105263164</v>
      </c>
      <c r="AG87" s="13">
        <f t="shared" si="10"/>
        <v>6</v>
      </c>
      <c r="AH87" s="7">
        <f t="shared" si="11"/>
        <v>5</v>
      </c>
      <c r="AI87" s="7">
        <f t="shared" si="12"/>
        <v>0</v>
      </c>
      <c r="AJ87" s="7">
        <f t="shared" si="13"/>
        <v>5</v>
      </c>
      <c r="AK87" s="7">
        <f t="shared" si="14"/>
        <v>0</v>
      </c>
      <c r="AL87" s="12">
        <f t="shared" si="16"/>
        <v>16</v>
      </c>
      <c r="AM87" s="14" t="str">
        <f t="shared" si="15"/>
        <v>Potential</v>
      </c>
      <c r="AN87" s="85"/>
      <c r="AO87" s="87"/>
      <c r="AP87" s="10" t="s">
        <v>341</v>
      </c>
    </row>
    <row r="88" spans="1:42" ht="16">
      <c r="A88" s="59">
        <v>45198</v>
      </c>
      <c r="C88" s="10">
        <v>5401513</v>
      </c>
      <c r="D88" s="10" t="s">
        <v>99</v>
      </c>
      <c r="E88" s="11">
        <v>10</v>
      </c>
      <c r="F88" s="39">
        <v>330328</v>
      </c>
      <c r="G88" s="39">
        <v>6009420</v>
      </c>
      <c r="H88" s="11" t="s">
        <v>215</v>
      </c>
      <c r="I88" s="11" t="s">
        <v>216</v>
      </c>
      <c r="K88" s="11" t="s">
        <v>183</v>
      </c>
      <c r="L88" s="10" t="s">
        <v>249</v>
      </c>
      <c r="M88" s="10" t="s">
        <v>250</v>
      </c>
      <c r="N88" s="89"/>
      <c r="O88" s="89"/>
      <c r="P88" s="88"/>
      <c r="Q88" s="89"/>
      <c r="R88" s="88"/>
      <c r="S88" s="88"/>
      <c r="T88" s="89"/>
      <c r="U88" s="89"/>
      <c r="V88" s="88"/>
      <c r="W88" s="89"/>
      <c r="X88" s="88"/>
      <c r="Y88" s="89"/>
      <c r="Z88" s="89"/>
      <c r="AA88" s="88"/>
      <c r="AB88" s="10" t="s">
        <v>252</v>
      </c>
      <c r="AC88" s="10" t="s">
        <v>252</v>
      </c>
      <c r="AD88" s="88"/>
      <c r="AE88" s="88"/>
      <c r="AF88" s="20">
        <f t="shared" si="17"/>
        <v>0</v>
      </c>
      <c r="AG88" s="13">
        <f t="shared" si="10"/>
        <v>0</v>
      </c>
      <c r="AH88" s="7">
        <f t="shared" si="11"/>
        <v>0</v>
      </c>
      <c r="AI88" s="7">
        <f t="shared" si="12"/>
        <v>0</v>
      </c>
      <c r="AJ88" s="7">
        <f t="shared" si="13"/>
        <v>0</v>
      </c>
      <c r="AK88" s="7">
        <f t="shared" si="14"/>
        <v>0</v>
      </c>
      <c r="AL88" s="12">
        <f t="shared" si="16"/>
        <v>0</v>
      </c>
      <c r="AM88" s="14" t="str">
        <f t="shared" si="15"/>
        <v>Unknown</v>
      </c>
      <c r="AN88" s="85"/>
      <c r="AO88" s="87"/>
      <c r="AP88" s="10" t="s">
        <v>342</v>
      </c>
    </row>
    <row r="89" spans="1:42" ht="16">
      <c r="A89" s="59">
        <v>45198</v>
      </c>
      <c r="C89" s="10">
        <v>5400157</v>
      </c>
      <c r="D89" s="10" t="s">
        <v>99</v>
      </c>
      <c r="E89" s="11">
        <v>10</v>
      </c>
      <c r="F89" s="39">
        <v>337777</v>
      </c>
      <c r="G89" s="39">
        <v>6007094</v>
      </c>
      <c r="H89" s="11" t="s">
        <v>217</v>
      </c>
      <c r="I89" s="11" t="s">
        <v>106</v>
      </c>
      <c r="K89" s="11" t="s">
        <v>104</v>
      </c>
      <c r="L89" s="10" t="s">
        <v>243</v>
      </c>
      <c r="M89" s="10" t="s">
        <v>244</v>
      </c>
      <c r="N89" s="87">
        <v>2.6</v>
      </c>
      <c r="O89" s="87">
        <v>52</v>
      </c>
      <c r="P89" s="85" t="s">
        <v>252</v>
      </c>
      <c r="Q89" s="89"/>
      <c r="R89" s="85" t="s">
        <v>252</v>
      </c>
      <c r="S89" s="85" t="s">
        <v>252</v>
      </c>
      <c r="T89" s="89"/>
      <c r="U89" s="87">
        <v>4</v>
      </c>
      <c r="V89" s="85">
        <v>1.8</v>
      </c>
      <c r="W89" s="87">
        <v>1.5</v>
      </c>
      <c r="X89" s="85" t="s">
        <v>252</v>
      </c>
      <c r="Y89" s="87">
        <v>3</v>
      </c>
      <c r="Z89" s="87">
        <v>6.5</v>
      </c>
      <c r="AA89" s="85">
        <v>4</v>
      </c>
      <c r="AB89" s="10" t="s">
        <v>252</v>
      </c>
      <c r="AC89" s="10" t="s">
        <v>253</v>
      </c>
      <c r="AD89" s="85" t="s">
        <v>254</v>
      </c>
      <c r="AE89" s="85" t="s">
        <v>255</v>
      </c>
      <c r="AF89" s="20">
        <f t="shared" si="17"/>
        <v>2.5</v>
      </c>
      <c r="AG89" s="13">
        <f t="shared" si="10"/>
        <v>6</v>
      </c>
      <c r="AH89" s="7">
        <f t="shared" si="11"/>
        <v>10</v>
      </c>
      <c r="AI89" s="7">
        <f t="shared" si="12"/>
        <v>10</v>
      </c>
      <c r="AJ89" s="7">
        <f t="shared" si="13"/>
        <v>10</v>
      </c>
      <c r="AK89" s="7">
        <f t="shared" si="14"/>
        <v>6</v>
      </c>
      <c r="AL89" s="12">
        <f t="shared" si="16"/>
        <v>42</v>
      </c>
      <c r="AM89" s="14" t="str">
        <f t="shared" si="15"/>
        <v>Barrier</v>
      </c>
      <c r="AN89" s="85"/>
      <c r="AO89" s="87"/>
      <c r="AP89" s="10" t="s">
        <v>343</v>
      </c>
    </row>
    <row r="90" spans="1:42" ht="16">
      <c r="A90" s="59">
        <v>45198</v>
      </c>
      <c r="C90" s="10">
        <v>5401774</v>
      </c>
      <c r="D90" s="10" t="s">
        <v>99</v>
      </c>
      <c r="E90" s="11">
        <v>10</v>
      </c>
      <c r="F90" s="39">
        <v>337850</v>
      </c>
      <c r="G90" s="39">
        <v>6006827</v>
      </c>
      <c r="H90" s="11" t="s">
        <v>217</v>
      </c>
      <c r="I90" s="11" t="s">
        <v>216</v>
      </c>
      <c r="K90" s="11" t="s">
        <v>113</v>
      </c>
      <c r="L90" s="10" t="s">
        <v>243</v>
      </c>
      <c r="M90" s="10" t="s">
        <v>244</v>
      </c>
      <c r="N90" s="87">
        <v>2.5</v>
      </c>
      <c r="O90" s="87">
        <v>14</v>
      </c>
      <c r="P90" s="85" t="s">
        <v>252</v>
      </c>
      <c r="Q90" s="89"/>
      <c r="R90" s="85" t="s">
        <v>252</v>
      </c>
      <c r="S90" s="85" t="s">
        <v>252</v>
      </c>
      <c r="T90" s="89"/>
      <c r="U90" s="87">
        <v>1</v>
      </c>
      <c r="V90" s="85">
        <v>1.4</v>
      </c>
      <c r="W90" s="87">
        <v>2</v>
      </c>
      <c r="X90" s="85" t="s">
        <v>252</v>
      </c>
      <c r="Y90" s="87">
        <v>3</v>
      </c>
      <c r="Z90" s="87">
        <v>5.6</v>
      </c>
      <c r="AA90" s="85">
        <v>3</v>
      </c>
      <c r="AB90" s="10" t="s">
        <v>252</v>
      </c>
      <c r="AC90" s="10" t="s">
        <v>252</v>
      </c>
      <c r="AD90" s="85" t="s">
        <v>254</v>
      </c>
      <c r="AE90" s="85" t="s">
        <v>255</v>
      </c>
      <c r="AF90" s="20">
        <f t="shared" si="17"/>
        <v>2.2399999999999998</v>
      </c>
      <c r="AG90" s="13">
        <f t="shared" si="10"/>
        <v>0</v>
      </c>
      <c r="AH90" s="7">
        <f t="shared" si="11"/>
        <v>10</v>
      </c>
      <c r="AI90" s="7">
        <f t="shared" si="12"/>
        <v>10</v>
      </c>
      <c r="AJ90" s="7">
        <f t="shared" si="13"/>
        <v>10</v>
      </c>
      <c r="AK90" s="7">
        <f t="shared" si="14"/>
        <v>6</v>
      </c>
      <c r="AL90" s="12">
        <f t="shared" si="16"/>
        <v>36</v>
      </c>
      <c r="AM90" s="14" t="str">
        <f t="shared" si="15"/>
        <v>Barrier</v>
      </c>
      <c r="AN90" s="85"/>
      <c r="AO90" s="87"/>
      <c r="AP90" s="10" t="s">
        <v>344</v>
      </c>
    </row>
    <row r="91" spans="1:42" ht="16">
      <c r="A91" s="59">
        <v>45198</v>
      </c>
      <c r="C91" s="10">
        <v>5400193</v>
      </c>
      <c r="D91" s="10" t="s">
        <v>99</v>
      </c>
      <c r="E91" s="11">
        <v>10</v>
      </c>
      <c r="F91" s="39">
        <v>352357</v>
      </c>
      <c r="G91" s="39">
        <v>5996976</v>
      </c>
      <c r="H91" s="11" t="s">
        <v>218</v>
      </c>
      <c r="I91" s="11" t="s">
        <v>106</v>
      </c>
      <c r="K91" s="11" t="s">
        <v>104</v>
      </c>
      <c r="L91" s="10" t="s">
        <v>243</v>
      </c>
      <c r="M91" s="10" t="s">
        <v>244</v>
      </c>
      <c r="N91" s="87">
        <v>4</v>
      </c>
      <c r="O91" s="87">
        <v>32</v>
      </c>
      <c r="P91" s="85" t="s">
        <v>252</v>
      </c>
      <c r="Q91" s="89"/>
      <c r="R91" s="85" t="s">
        <v>252</v>
      </c>
      <c r="S91" s="85" t="s">
        <v>253</v>
      </c>
      <c r="T91" s="87">
        <v>100</v>
      </c>
      <c r="U91" s="87">
        <v>2.2000000000000002</v>
      </c>
      <c r="V91" s="85">
        <v>0</v>
      </c>
      <c r="W91" s="87">
        <v>0</v>
      </c>
      <c r="X91" s="85" t="s">
        <v>252</v>
      </c>
      <c r="Y91" s="87">
        <v>1</v>
      </c>
      <c r="Z91" s="87">
        <v>8.4</v>
      </c>
      <c r="AA91" s="85">
        <v>1</v>
      </c>
      <c r="AB91" s="10" t="s">
        <v>252</v>
      </c>
      <c r="AC91" s="10" t="s">
        <v>252</v>
      </c>
      <c r="AD91" s="85" t="s">
        <v>254</v>
      </c>
      <c r="AE91" s="85" t="s">
        <v>256</v>
      </c>
      <c r="AF91" s="20">
        <f t="shared" si="17"/>
        <v>2.1</v>
      </c>
      <c r="AG91" s="13">
        <f t="shared" si="10"/>
        <v>6</v>
      </c>
      <c r="AH91" s="7">
        <f t="shared" si="11"/>
        <v>10</v>
      </c>
      <c r="AI91" s="7">
        <f t="shared" si="12"/>
        <v>0</v>
      </c>
      <c r="AJ91" s="7">
        <f t="shared" si="13"/>
        <v>5</v>
      </c>
      <c r="AK91" s="7">
        <f t="shared" si="14"/>
        <v>6</v>
      </c>
      <c r="AL91" s="12">
        <f t="shared" si="16"/>
        <v>27</v>
      </c>
      <c r="AM91" s="14" t="str">
        <f t="shared" si="15"/>
        <v>Barrier</v>
      </c>
      <c r="AN91" s="85"/>
      <c r="AO91" s="87"/>
      <c r="AP91" s="10" t="s">
        <v>345</v>
      </c>
    </row>
    <row r="92" spans="1:42" ht="16">
      <c r="A92" s="59">
        <v>45198</v>
      </c>
      <c r="C92" s="10">
        <v>5400019</v>
      </c>
      <c r="D92" s="10" t="s">
        <v>99</v>
      </c>
      <c r="E92" s="11">
        <v>10</v>
      </c>
      <c r="F92" s="39">
        <v>366638</v>
      </c>
      <c r="G92" s="39">
        <v>5995282</v>
      </c>
      <c r="H92" s="11" t="s">
        <v>219</v>
      </c>
      <c r="I92" s="11" t="s">
        <v>106</v>
      </c>
      <c r="K92" s="11" t="s">
        <v>104</v>
      </c>
      <c r="L92" s="10" t="s">
        <v>243</v>
      </c>
      <c r="M92" s="10" t="s">
        <v>244</v>
      </c>
      <c r="N92" s="87">
        <v>1.2</v>
      </c>
      <c r="O92" s="87">
        <v>99.9</v>
      </c>
      <c r="P92" s="85" t="s">
        <v>252</v>
      </c>
      <c r="Q92" s="89"/>
      <c r="R92" s="85" t="s">
        <v>252</v>
      </c>
      <c r="S92" s="85" t="s">
        <v>252</v>
      </c>
      <c r="T92" s="89"/>
      <c r="U92" s="87">
        <v>6</v>
      </c>
      <c r="V92" s="85">
        <v>0</v>
      </c>
      <c r="W92" s="87">
        <v>0</v>
      </c>
      <c r="X92" s="85" t="s">
        <v>252</v>
      </c>
      <c r="Y92" s="87">
        <v>1</v>
      </c>
      <c r="Z92" s="87">
        <v>1.1000000000000001</v>
      </c>
      <c r="AA92" s="85">
        <v>3</v>
      </c>
      <c r="AB92" s="10" t="s">
        <v>252</v>
      </c>
      <c r="AC92" s="10" t="s">
        <v>252</v>
      </c>
      <c r="AD92" s="85" t="s">
        <v>254</v>
      </c>
      <c r="AE92" s="85" t="s">
        <v>257</v>
      </c>
      <c r="AF92" s="20">
        <f t="shared" si="17"/>
        <v>0.91666666666666674</v>
      </c>
      <c r="AG92" s="13">
        <f t="shared" si="10"/>
        <v>6</v>
      </c>
      <c r="AH92" s="7">
        <f t="shared" si="11"/>
        <v>10</v>
      </c>
      <c r="AI92" s="7">
        <f t="shared" si="12"/>
        <v>0</v>
      </c>
      <c r="AJ92" s="7">
        <f t="shared" si="13"/>
        <v>5</v>
      </c>
      <c r="AK92" s="7">
        <f t="shared" si="14"/>
        <v>0</v>
      </c>
      <c r="AL92" s="12">
        <f t="shared" si="16"/>
        <v>21</v>
      </c>
      <c r="AM92" s="14" t="str">
        <f t="shared" si="15"/>
        <v>Barrier</v>
      </c>
      <c r="AN92" s="85"/>
      <c r="AO92" s="87"/>
      <c r="AP92" s="10" t="s">
        <v>346</v>
      </c>
    </row>
    <row r="93" spans="1:42" ht="16">
      <c r="A93" s="59">
        <v>45198</v>
      </c>
      <c r="C93" s="10">
        <v>5400239</v>
      </c>
      <c r="D93" s="10" t="s">
        <v>99</v>
      </c>
      <c r="E93" s="11">
        <v>10</v>
      </c>
      <c r="F93" s="39">
        <v>381850</v>
      </c>
      <c r="G93" s="39">
        <v>5991183</v>
      </c>
      <c r="H93" s="11" t="s">
        <v>220</v>
      </c>
      <c r="I93" s="11" t="s">
        <v>106</v>
      </c>
      <c r="K93" s="11" t="s">
        <v>104</v>
      </c>
      <c r="L93" s="10" t="s">
        <v>243</v>
      </c>
      <c r="M93" s="10" t="s">
        <v>244</v>
      </c>
      <c r="N93" s="87">
        <v>1.5</v>
      </c>
      <c r="O93" s="87">
        <v>45</v>
      </c>
      <c r="P93" s="85" t="s">
        <v>252</v>
      </c>
      <c r="Q93" s="89"/>
      <c r="R93" s="85" t="s">
        <v>252</v>
      </c>
      <c r="S93" s="85" t="s">
        <v>252</v>
      </c>
      <c r="T93" s="89"/>
      <c r="U93" s="87">
        <v>5</v>
      </c>
      <c r="V93" s="85">
        <v>0.2</v>
      </c>
      <c r="W93" s="87">
        <v>0</v>
      </c>
      <c r="X93" s="85" t="s">
        <v>252</v>
      </c>
      <c r="Y93" s="87">
        <v>5</v>
      </c>
      <c r="Z93" s="87">
        <v>2.2999999999999998</v>
      </c>
      <c r="AA93" s="85">
        <v>2</v>
      </c>
      <c r="AB93" s="10" t="s">
        <v>252</v>
      </c>
      <c r="AC93" s="10" t="s">
        <v>252</v>
      </c>
      <c r="AD93" s="85" t="s">
        <v>254</v>
      </c>
      <c r="AE93" s="85" t="s">
        <v>257</v>
      </c>
      <c r="AF93" s="20">
        <f t="shared" si="17"/>
        <v>1.5333333333333332</v>
      </c>
      <c r="AG93" s="13">
        <f t="shared" si="10"/>
        <v>6</v>
      </c>
      <c r="AH93" s="7">
        <f t="shared" si="11"/>
        <v>10</v>
      </c>
      <c r="AI93" s="7">
        <f t="shared" si="12"/>
        <v>5</v>
      </c>
      <c r="AJ93" s="7">
        <f t="shared" si="13"/>
        <v>10</v>
      </c>
      <c r="AK93" s="7">
        <f t="shared" si="14"/>
        <v>6</v>
      </c>
      <c r="AL93" s="12">
        <f t="shared" si="16"/>
        <v>37</v>
      </c>
      <c r="AM93" s="14" t="str">
        <f t="shared" si="15"/>
        <v>Barrier</v>
      </c>
      <c r="AN93" s="85"/>
      <c r="AO93" s="87"/>
      <c r="AP93" s="10" t="s">
        <v>347</v>
      </c>
    </row>
    <row r="94" spans="1:42" ht="32">
      <c r="A94" s="59">
        <v>45198</v>
      </c>
      <c r="C94" s="10">
        <v>15600265</v>
      </c>
      <c r="D94" s="10" t="s">
        <v>99</v>
      </c>
      <c r="E94" s="11">
        <v>10</v>
      </c>
      <c r="F94" s="39">
        <v>399029</v>
      </c>
      <c r="G94" s="39">
        <v>5988757</v>
      </c>
      <c r="H94" s="11" t="s">
        <v>137</v>
      </c>
      <c r="I94" s="11" t="s">
        <v>221</v>
      </c>
      <c r="K94" s="11" t="s">
        <v>119</v>
      </c>
      <c r="L94" s="10" t="s">
        <v>243</v>
      </c>
      <c r="M94" s="10" t="s">
        <v>244</v>
      </c>
      <c r="N94" s="87">
        <v>1.4</v>
      </c>
      <c r="O94" s="87">
        <v>18</v>
      </c>
      <c r="P94" s="85" t="s">
        <v>252</v>
      </c>
      <c r="Q94" s="89"/>
      <c r="R94" s="85" t="s">
        <v>252</v>
      </c>
      <c r="S94" s="85" t="s">
        <v>252</v>
      </c>
      <c r="T94" s="89"/>
      <c r="U94" s="87">
        <v>1.5</v>
      </c>
      <c r="V94" s="85">
        <v>0.4</v>
      </c>
      <c r="W94" s="87">
        <v>0</v>
      </c>
      <c r="X94" s="85" t="s">
        <v>252</v>
      </c>
      <c r="Y94" s="87">
        <v>3</v>
      </c>
      <c r="Z94" s="87">
        <v>1.9</v>
      </c>
      <c r="AA94" s="85">
        <v>3</v>
      </c>
      <c r="AB94" s="10" t="s">
        <v>252</v>
      </c>
      <c r="AC94" s="10" t="s">
        <v>252</v>
      </c>
      <c r="AD94" s="85" t="s">
        <v>254</v>
      </c>
      <c r="AE94" s="85" t="s">
        <v>257</v>
      </c>
      <c r="AF94" s="20">
        <f t="shared" si="17"/>
        <v>1.3571428571428572</v>
      </c>
      <c r="AG94" s="13">
        <f t="shared" si="10"/>
        <v>3</v>
      </c>
      <c r="AH94" s="7">
        <f t="shared" si="11"/>
        <v>10</v>
      </c>
      <c r="AI94" s="7">
        <f t="shared" si="12"/>
        <v>10</v>
      </c>
      <c r="AJ94" s="7">
        <f t="shared" si="13"/>
        <v>10</v>
      </c>
      <c r="AK94" s="7">
        <f t="shared" si="14"/>
        <v>6</v>
      </c>
      <c r="AL94" s="12">
        <f t="shared" si="16"/>
        <v>39</v>
      </c>
      <c r="AM94" s="14" t="str">
        <f t="shared" si="15"/>
        <v>Barrier</v>
      </c>
      <c r="AN94" s="85"/>
      <c r="AO94" s="87"/>
      <c r="AP94" s="10" t="s">
        <v>348</v>
      </c>
    </row>
    <row r="95" spans="1:42" ht="32">
      <c r="A95" s="59">
        <v>45198</v>
      </c>
      <c r="C95" s="10">
        <v>15600301</v>
      </c>
      <c r="D95" s="10" t="s">
        <v>99</v>
      </c>
      <c r="E95" s="11">
        <v>10</v>
      </c>
      <c r="F95" s="39">
        <v>401104</v>
      </c>
      <c r="G95" s="39">
        <v>5983401</v>
      </c>
      <c r="H95" s="11" t="s">
        <v>222</v>
      </c>
      <c r="I95" s="11" t="s">
        <v>221</v>
      </c>
      <c r="K95" s="11" t="s">
        <v>119</v>
      </c>
      <c r="L95" s="10" t="s">
        <v>243</v>
      </c>
      <c r="M95" s="10" t="s">
        <v>244</v>
      </c>
      <c r="N95" s="87">
        <v>1.2</v>
      </c>
      <c r="O95" s="87">
        <v>24</v>
      </c>
      <c r="P95" s="85" t="s">
        <v>252</v>
      </c>
      <c r="Q95" s="89"/>
      <c r="R95" s="85" t="s">
        <v>252</v>
      </c>
      <c r="S95" s="85" t="s">
        <v>252</v>
      </c>
      <c r="T95" s="89"/>
      <c r="U95" s="87">
        <v>3</v>
      </c>
      <c r="V95" s="85">
        <v>0</v>
      </c>
      <c r="W95" s="87">
        <v>0</v>
      </c>
      <c r="X95" s="85" t="s">
        <v>252</v>
      </c>
      <c r="Y95" s="87">
        <v>2</v>
      </c>
      <c r="Z95" s="87">
        <v>1.2</v>
      </c>
      <c r="AA95" s="85">
        <v>1</v>
      </c>
      <c r="AB95" s="10" t="s">
        <v>253</v>
      </c>
      <c r="AC95" s="10" t="s">
        <v>252</v>
      </c>
      <c r="AD95" s="85" t="s">
        <v>254</v>
      </c>
      <c r="AE95" s="85" t="s">
        <v>256</v>
      </c>
      <c r="AF95" s="20">
        <f t="shared" si="17"/>
        <v>1</v>
      </c>
      <c r="AG95" s="13">
        <f t="shared" si="10"/>
        <v>3</v>
      </c>
      <c r="AH95" s="7">
        <f t="shared" si="11"/>
        <v>10</v>
      </c>
      <c r="AI95" s="7">
        <f t="shared" si="12"/>
        <v>0</v>
      </c>
      <c r="AJ95" s="7">
        <f t="shared" si="13"/>
        <v>5</v>
      </c>
      <c r="AK95" s="7">
        <f t="shared" si="14"/>
        <v>3</v>
      </c>
      <c r="AL95" s="12">
        <f t="shared" si="16"/>
        <v>21</v>
      </c>
      <c r="AM95" s="14" t="str">
        <f t="shared" si="15"/>
        <v>Barrier</v>
      </c>
      <c r="AN95" s="85"/>
      <c r="AO95" s="87"/>
      <c r="AP95" s="10" t="s">
        <v>349</v>
      </c>
    </row>
    <row r="96" spans="1:42" ht="16">
      <c r="A96" s="59">
        <v>45198</v>
      </c>
      <c r="C96" s="10">
        <v>15600302</v>
      </c>
      <c r="D96" s="10" t="s">
        <v>99</v>
      </c>
      <c r="E96" s="11">
        <v>10</v>
      </c>
      <c r="F96" s="39">
        <v>400866</v>
      </c>
      <c r="G96" s="39">
        <v>5982476</v>
      </c>
      <c r="H96" s="11" t="s">
        <v>223</v>
      </c>
      <c r="I96" s="11" t="s">
        <v>126</v>
      </c>
      <c r="K96" s="11" t="s">
        <v>119</v>
      </c>
      <c r="L96" s="10" t="s">
        <v>243</v>
      </c>
      <c r="M96" s="10" t="s">
        <v>248</v>
      </c>
      <c r="N96" s="87">
        <v>4</v>
      </c>
      <c r="O96" s="87">
        <v>30</v>
      </c>
      <c r="P96" s="85" t="s">
        <v>252</v>
      </c>
      <c r="Q96" s="89"/>
      <c r="R96" s="85" t="s">
        <v>252</v>
      </c>
      <c r="S96" s="85" t="s">
        <v>252</v>
      </c>
      <c r="T96" s="89"/>
      <c r="U96" s="87">
        <v>0.8</v>
      </c>
      <c r="V96" s="85">
        <v>0</v>
      </c>
      <c r="W96" s="87">
        <v>0</v>
      </c>
      <c r="X96" s="85" t="s">
        <v>252</v>
      </c>
      <c r="Y96" s="87">
        <v>2</v>
      </c>
      <c r="Z96" s="87">
        <v>6.1</v>
      </c>
      <c r="AA96" s="85">
        <v>2</v>
      </c>
      <c r="AB96" s="10" t="s">
        <v>252</v>
      </c>
      <c r="AC96" s="10" t="s">
        <v>252</v>
      </c>
      <c r="AD96" s="85" t="s">
        <v>254</v>
      </c>
      <c r="AE96" s="85" t="s">
        <v>256</v>
      </c>
      <c r="AF96" s="20">
        <f t="shared" si="17"/>
        <v>1.5249999999999999</v>
      </c>
      <c r="AG96" s="13">
        <f t="shared" si="10"/>
        <v>6</v>
      </c>
      <c r="AH96" s="7">
        <f t="shared" si="11"/>
        <v>10</v>
      </c>
      <c r="AI96" s="7">
        <f t="shared" si="12"/>
        <v>0</v>
      </c>
      <c r="AJ96" s="7">
        <f t="shared" si="13"/>
        <v>5</v>
      </c>
      <c r="AK96" s="7">
        <f t="shared" si="14"/>
        <v>6</v>
      </c>
      <c r="AL96" s="12">
        <f t="shared" si="16"/>
        <v>27</v>
      </c>
      <c r="AM96" s="14" t="str">
        <f t="shared" si="15"/>
        <v>Barrier</v>
      </c>
      <c r="AN96" s="85"/>
      <c r="AO96" s="87"/>
      <c r="AP96" s="10" t="s">
        <v>350</v>
      </c>
    </row>
    <row r="97" spans="1:42" ht="16">
      <c r="A97" s="59">
        <v>45199</v>
      </c>
      <c r="C97" s="10">
        <v>15600624</v>
      </c>
      <c r="D97" s="10" t="s">
        <v>99</v>
      </c>
      <c r="E97" s="11">
        <v>10</v>
      </c>
      <c r="F97" s="39">
        <v>438428</v>
      </c>
      <c r="G97" s="39">
        <v>5982155</v>
      </c>
      <c r="H97" s="11" t="s">
        <v>224</v>
      </c>
      <c r="I97" s="11" t="s">
        <v>225</v>
      </c>
      <c r="K97" s="11" t="s">
        <v>157</v>
      </c>
      <c r="L97" s="10" t="s">
        <v>243</v>
      </c>
      <c r="M97" s="10" t="s">
        <v>244</v>
      </c>
      <c r="N97" s="87">
        <v>0.9</v>
      </c>
      <c r="O97" s="87">
        <v>18</v>
      </c>
      <c r="P97" s="85" t="s">
        <v>252</v>
      </c>
      <c r="Q97" s="89"/>
      <c r="R97" s="85" t="s">
        <v>252</v>
      </c>
      <c r="S97" s="85" t="s">
        <v>252</v>
      </c>
      <c r="T97" s="89"/>
      <c r="U97" s="87">
        <v>2.2000000000000002</v>
      </c>
      <c r="V97" s="85">
        <v>0</v>
      </c>
      <c r="W97" s="87">
        <v>0</v>
      </c>
      <c r="X97" s="85" t="s">
        <v>252</v>
      </c>
      <c r="Y97" s="87">
        <v>2.5</v>
      </c>
      <c r="Z97" s="87">
        <v>0.9</v>
      </c>
      <c r="AA97" s="85">
        <v>1</v>
      </c>
      <c r="AB97" s="10" t="s">
        <v>252</v>
      </c>
      <c r="AC97" s="10" t="s">
        <v>252</v>
      </c>
      <c r="AD97" s="85" t="s">
        <v>254</v>
      </c>
      <c r="AE97" s="85" t="s">
        <v>257</v>
      </c>
      <c r="AF97" s="20">
        <f t="shared" si="17"/>
        <v>1</v>
      </c>
      <c r="AG97" s="13">
        <f t="shared" si="10"/>
        <v>3</v>
      </c>
      <c r="AH97" s="7">
        <f t="shared" si="11"/>
        <v>10</v>
      </c>
      <c r="AI97" s="7">
        <f t="shared" si="12"/>
        <v>0</v>
      </c>
      <c r="AJ97" s="7">
        <f t="shared" si="13"/>
        <v>5</v>
      </c>
      <c r="AK97" s="7">
        <f t="shared" si="14"/>
        <v>3</v>
      </c>
      <c r="AL97" s="12">
        <f t="shared" si="16"/>
        <v>21</v>
      </c>
      <c r="AM97" s="14" t="str">
        <f t="shared" si="15"/>
        <v>Barrier</v>
      </c>
      <c r="AN97" s="85"/>
      <c r="AO97" s="87"/>
      <c r="AP97" s="10" t="s">
        <v>351</v>
      </c>
    </row>
    <row r="98" spans="1:42" ht="32">
      <c r="A98" s="59">
        <v>45199</v>
      </c>
      <c r="C98" s="10">
        <v>15600626</v>
      </c>
      <c r="D98" s="10" t="s">
        <v>99</v>
      </c>
      <c r="E98" s="11">
        <v>10</v>
      </c>
      <c r="F98" s="39">
        <v>438529</v>
      </c>
      <c r="G98" s="39">
        <v>5982155</v>
      </c>
      <c r="H98" s="11" t="s">
        <v>226</v>
      </c>
      <c r="I98" s="11" t="s">
        <v>225</v>
      </c>
      <c r="K98" s="11" t="s">
        <v>157</v>
      </c>
      <c r="L98" s="10" t="s">
        <v>243</v>
      </c>
      <c r="M98" s="10" t="s">
        <v>244</v>
      </c>
      <c r="N98" s="87">
        <v>1.5</v>
      </c>
      <c r="O98" s="87">
        <v>20</v>
      </c>
      <c r="P98" s="85" t="s">
        <v>252</v>
      </c>
      <c r="Q98" s="89"/>
      <c r="R98" s="85" t="s">
        <v>252</v>
      </c>
      <c r="S98" s="85" t="s">
        <v>252</v>
      </c>
      <c r="T98" s="89"/>
      <c r="U98" s="87">
        <v>2</v>
      </c>
      <c r="V98" s="85">
        <v>0.6</v>
      </c>
      <c r="W98" s="87">
        <v>0</v>
      </c>
      <c r="X98" s="85" t="s">
        <v>252</v>
      </c>
      <c r="Y98" s="87">
        <v>1</v>
      </c>
      <c r="Z98" s="87">
        <v>1.6</v>
      </c>
      <c r="AA98" s="85">
        <v>0.5</v>
      </c>
      <c r="AB98" s="10" t="s">
        <v>252</v>
      </c>
      <c r="AC98" s="10" t="s">
        <v>252</v>
      </c>
      <c r="AD98" s="85" t="s">
        <v>254</v>
      </c>
      <c r="AE98" s="85" t="s">
        <v>257</v>
      </c>
      <c r="AF98" s="20">
        <f t="shared" si="17"/>
        <v>1.0666666666666667</v>
      </c>
      <c r="AG98" s="13">
        <f t="shared" si="10"/>
        <v>3</v>
      </c>
      <c r="AH98" s="7">
        <f t="shared" si="11"/>
        <v>10</v>
      </c>
      <c r="AI98" s="7">
        <f t="shared" si="12"/>
        <v>10</v>
      </c>
      <c r="AJ98" s="7">
        <f t="shared" si="13"/>
        <v>5</v>
      </c>
      <c r="AK98" s="7">
        <f t="shared" si="14"/>
        <v>3</v>
      </c>
      <c r="AL98" s="12">
        <f t="shared" si="16"/>
        <v>31</v>
      </c>
      <c r="AM98" s="14" t="str">
        <f t="shared" si="15"/>
        <v>Barrier</v>
      </c>
      <c r="AN98" s="85"/>
      <c r="AO98" s="87"/>
      <c r="AP98" s="10" t="s">
        <v>352</v>
      </c>
    </row>
    <row r="99" spans="1:42" ht="32">
      <c r="A99" s="59">
        <v>45199</v>
      </c>
      <c r="C99" s="10">
        <v>15600076</v>
      </c>
      <c r="D99" s="10" t="s">
        <v>99</v>
      </c>
      <c r="E99" s="11">
        <v>10</v>
      </c>
      <c r="F99" s="39">
        <v>449834</v>
      </c>
      <c r="G99" s="39">
        <v>5977830</v>
      </c>
      <c r="H99" s="11" t="s">
        <v>184</v>
      </c>
      <c r="I99" s="11" t="s">
        <v>106</v>
      </c>
      <c r="K99" s="11" t="s">
        <v>104</v>
      </c>
      <c r="L99" s="10" t="s">
        <v>243</v>
      </c>
      <c r="M99" s="10" t="s">
        <v>244</v>
      </c>
      <c r="N99" s="87">
        <v>1.8</v>
      </c>
      <c r="O99" s="87">
        <v>48</v>
      </c>
      <c r="P99" s="85" t="s">
        <v>252</v>
      </c>
      <c r="Q99" s="89"/>
      <c r="R99" s="85" t="s">
        <v>252</v>
      </c>
      <c r="S99" s="85" t="s">
        <v>252</v>
      </c>
      <c r="T99" s="89"/>
      <c r="U99" s="87">
        <v>5</v>
      </c>
      <c r="V99" s="85">
        <v>0</v>
      </c>
      <c r="W99" s="87">
        <v>0</v>
      </c>
      <c r="X99" s="85" t="s">
        <v>252</v>
      </c>
      <c r="Y99" s="87">
        <v>1</v>
      </c>
      <c r="Z99" s="87">
        <v>1.2</v>
      </c>
      <c r="AA99" s="85">
        <v>1</v>
      </c>
      <c r="AB99" s="10" t="s">
        <v>252</v>
      </c>
      <c r="AC99" s="10" t="s">
        <v>252</v>
      </c>
      <c r="AD99" s="85" t="s">
        <v>254</v>
      </c>
      <c r="AE99" s="85" t="s">
        <v>257</v>
      </c>
      <c r="AF99" s="20">
        <f t="shared" si="17"/>
        <v>0.66666666666666663</v>
      </c>
      <c r="AG99" s="13">
        <f t="shared" si="10"/>
        <v>6</v>
      </c>
      <c r="AH99" s="7">
        <f t="shared" si="11"/>
        <v>10</v>
      </c>
      <c r="AI99" s="7">
        <f t="shared" si="12"/>
        <v>0</v>
      </c>
      <c r="AJ99" s="7">
        <f t="shared" si="13"/>
        <v>5</v>
      </c>
      <c r="AK99" s="7">
        <f t="shared" si="14"/>
        <v>0</v>
      </c>
      <c r="AL99" s="12">
        <f t="shared" si="16"/>
        <v>21</v>
      </c>
      <c r="AM99" s="14" t="str">
        <f t="shared" si="15"/>
        <v>Barrier</v>
      </c>
      <c r="AN99" s="85"/>
      <c r="AO99" s="87"/>
      <c r="AP99" s="10" t="s">
        <v>353</v>
      </c>
    </row>
    <row r="100" spans="1:42" ht="16">
      <c r="A100" s="59">
        <v>45199</v>
      </c>
      <c r="C100" s="10">
        <v>15600629</v>
      </c>
      <c r="D100" s="10" t="s">
        <v>99</v>
      </c>
      <c r="E100" s="11">
        <v>10</v>
      </c>
      <c r="F100" s="39">
        <v>451599</v>
      </c>
      <c r="G100" s="39">
        <v>5975913</v>
      </c>
      <c r="H100" s="11" t="s">
        <v>227</v>
      </c>
      <c r="I100" s="11" t="s">
        <v>106</v>
      </c>
      <c r="K100" s="11" t="s">
        <v>104</v>
      </c>
      <c r="L100" s="10" t="s">
        <v>243</v>
      </c>
      <c r="M100" s="10" t="s">
        <v>244</v>
      </c>
      <c r="N100" s="87">
        <v>1.5</v>
      </c>
      <c r="O100" s="87">
        <v>90</v>
      </c>
      <c r="P100" s="85" t="s">
        <v>252</v>
      </c>
      <c r="Q100" s="89"/>
      <c r="R100" s="85" t="s">
        <v>252</v>
      </c>
      <c r="S100" s="85" t="s">
        <v>252</v>
      </c>
      <c r="T100" s="89"/>
      <c r="U100" s="87">
        <v>8</v>
      </c>
      <c r="V100" s="85">
        <v>0</v>
      </c>
      <c r="W100" s="87">
        <v>0</v>
      </c>
      <c r="X100" s="85" t="s">
        <v>252</v>
      </c>
      <c r="Y100" s="87">
        <v>3</v>
      </c>
      <c r="Z100" s="87">
        <v>3.3</v>
      </c>
      <c r="AA100" s="85">
        <v>2</v>
      </c>
      <c r="AB100" s="10" t="s">
        <v>252</v>
      </c>
      <c r="AC100" s="10" t="s">
        <v>252</v>
      </c>
      <c r="AD100" s="85" t="s">
        <v>254</v>
      </c>
      <c r="AE100" s="85" t="s">
        <v>257</v>
      </c>
      <c r="AF100" s="20">
        <f t="shared" si="17"/>
        <v>2.1999999999999997</v>
      </c>
      <c r="AG100" s="13">
        <f t="shared" si="10"/>
        <v>6</v>
      </c>
      <c r="AH100" s="7">
        <f t="shared" si="11"/>
        <v>10</v>
      </c>
      <c r="AI100" s="7">
        <f t="shared" si="12"/>
        <v>0</v>
      </c>
      <c r="AJ100" s="7">
        <f t="shared" si="13"/>
        <v>10</v>
      </c>
      <c r="AK100" s="7">
        <f t="shared" si="14"/>
        <v>6</v>
      </c>
      <c r="AL100" s="12">
        <f t="shared" si="16"/>
        <v>32</v>
      </c>
      <c r="AM100" s="14" t="str">
        <f t="shared" si="15"/>
        <v>Barrier</v>
      </c>
      <c r="AN100" s="85"/>
      <c r="AO100" s="87"/>
      <c r="AP100" s="10" t="s">
        <v>354</v>
      </c>
    </row>
    <row r="101" spans="1:42" ht="32">
      <c r="A101" s="59">
        <v>45199</v>
      </c>
      <c r="C101" s="10">
        <v>15600057</v>
      </c>
      <c r="D101" s="10" t="s">
        <v>99</v>
      </c>
      <c r="E101" s="11">
        <v>10</v>
      </c>
      <c r="F101" s="39">
        <v>464822</v>
      </c>
      <c r="G101" s="39">
        <v>5971609</v>
      </c>
      <c r="H101" s="11" t="s">
        <v>228</v>
      </c>
      <c r="I101" s="11" t="s">
        <v>106</v>
      </c>
      <c r="K101" s="11" t="s">
        <v>104</v>
      </c>
      <c r="L101" s="10" t="s">
        <v>243</v>
      </c>
      <c r="M101" s="10" t="s">
        <v>244</v>
      </c>
      <c r="N101" s="87">
        <v>2.4</v>
      </c>
      <c r="O101" s="87">
        <v>66</v>
      </c>
      <c r="P101" s="85" t="s">
        <v>252</v>
      </c>
      <c r="Q101" s="89"/>
      <c r="R101" s="85" t="s">
        <v>252</v>
      </c>
      <c r="S101" s="85" t="s">
        <v>252</v>
      </c>
      <c r="T101" s="89"/>
      <c r="U101" s="87">
        <v>5</v>
      </c>
      <c r="V101" s="85">
        <v>0</v>
      </c>
      <c r="W101" s="87">
        <v>0</v>
      </c>
      <c r="X101" s="85" t="s">
        <v>252</v>
      </c>
      <c r="Y101" s="87">
        <v>1</v>
      </c>
      <c r="Z101" s="87">
        <v>2.6</v>
      </c>
      <c r="AA101" s="85">
        <v>0</v>
      </c>
      <c r="AB101" s="10" t="s">
        <v>252</v>
      </c>
      <c r="AC101" s="10" t="s">
        <v>252</v>
      </c>
      <c r="AD101" s="85" t="s">
        <v>254</v>
      </c>
      <c r="AE101" s="85" t="s">
        <v>256</v>
      </c>
      <c r="AF101" s="20">
        <f t="shared" si="17"/>
        <v>1.0833333333333335</v>
      </c>
      <c r="AG101" s="13">
        <f t="shared" si="10"/>
        <v>6</v>
      </c>
      <c r="AH101" s="7">
        <f t="shared" si="11"/>
        <v>10</v>
      </c>
      <c r="AI101" s="7">
        <f t="shared" si="12"/>
        <v>0</v>
      </c>
      <c r="AJ101" s="7">
        <f t="shared" si="13"/>
        <v>5</v>
      </c>
      <c r="AK101" s="7">
        <f t="shared" si="14"/>
        <v>3</v>
      </c>
      <c r="AL101" s="12">
        <f t="shared" si="16"/>
        <v>24</v>
      </c>
      <c r="AM101" s="14" t="str">
        <f t="shared" si="15"/>
        <v>Barrier</v>
      </c>
      <c r="AN101" s="85"/>
      <c r="AO101" s="87"/>
      <c r="AP101" s="10" t="s">
        <v>355</v>
      </c>
    </row>
    <row r="102" spans="1:42" ht="16">
      <c r="A102" s="59">
        <v>45199</v>
      </c>
      <c r="C102" s="10">
        <v>15603872</v>
      </c>
      <c r="D102" s="10" t="s">
        <v>99</v>
      </c>
      <c r="E102" s="11">
        <v>10</v>
      </c>
      <c r="F102" s="39">
        <v>462928</v>
      </c>
      <c r="G102" s="39">
        <v>5969213</v>
      </c>
      <c r="H102" s="11" t="s">
        <v>229</v>
      </c>
      <c r="I102" s="11" t="s">
        <v>230</v>
      </c>
      <c r="K102" s="11" t="s">
        <v>119</v>
      </c>
      <c r="L102" s="10" t="s">
        <v>243</v>
      </c>
      <c r="M102" s="10" t="s">
        <v>244</v>
      </c>
      <c r="N102" s="87">
        <v>2.5</v>
      </c>
      <c r="O102" s="87">
        <v>78</v>
      </c>
      <c r="P102" s="85" t="s">
        <v>252</v>
      </c>
      <c r="Q102" s="89"/>
      <c r="R102" s="85" t="s">
        <v>252</v>
      </c>
      <c r="S102" s="85" t="s">
        <v>252</v>
      </c>
      <c r="T102" s="89"/>
      <c r="U102" s="87">
        <v>5</v>
      </c>
      <c r="V102" s="85">
        <v>0</v>
      </c>
      <c r="W102" s="87">
        <v>0.3</v>
      </c>
      <c r="X102" s="85" t="s">
        <v>252</v>
      </c>
      <c r="Y102" s="87">
        <v>0</v>
      </c>
      <c r="Z102" s="87">
        <v>3.1</v>
      </c>
      <c r="AA102" s="85">
        <v>3</v>
      </c>
      <c r="AB102" s="10" t="s">
        <v>252</v>
      </c>
      <c r="AC102" s="10" t="s">
        <v>252</v>
      </c>
      <c r="AD102" s="85" t="s">
        <v>254</v>
      </c>
      <c r="AE102" s="85" t="s">
        <v>256</v>
      </c>
      <c r="AF102" s="20">
        <f t="shared" si="17"/>
        <v>1.24</v>
      </c>
      <c r="AG102" s="13">
        <f t="shared" si="10"/>
        <v>6</v>
      </c>
      <c r="AH102" s="7">
        <f t="shared" si="11"/>
        <v>10</v>
      </c>
      <c r="AI102" s="7">
        <f t="shared" si="12"/>
        <v>0</v>
      </c>
      <c r="AJ102" s="7">
        <f t="shared" si="13"/>
        <v>0</v>
      </c>
      <c r="AK102" s="7">
        <f t="shared" si="14"/>
        <v>3</v>
      </c>
      <c r="AL102" s="12">
        <f t="shared" si="16"/>
        <v>19</v>
      </c>
      <c r="AM102" s="14" t="str">
        <f t="shared" si="15"/>
        <v>Potential</v>
      </c>
      <c r="AN102" s="85"/>
      <c r="AO102" s="87"/>
      <c r="AP102" s="10" t="s">
        <v>356</v>
      </c>
    </row>
    <row r="103" spans="1:42" ht="32">
      <c r="A103" s="59">
        <v>45199</v>
      </c>
      <c r="C103" s="10">
        <v>9902601</v>
      </c>
      <c r="D103" s="10" t="s">
        <v>99</v>
      </c>
      <c r="E103" s="11">
        <v>10</v>
      </c>
      <c r="F103" s="39">
        <v>474705</v>
      </c>
      <c r="G103" s="39">
        <v>5969325</v>
      </c>
      <c r="H103" s="11" t="s">
        <v>231</v>
      </c>
      <c r="I103" s="11" t="s">
        <v>106</v>
      </c>
      <c r="K103" s="11" t="s">
        <v>104</v>
      </c>
      <c r="L103" s="10" t="s">
        <v>243</v>
      </c>
      <c r="M103" s="10" t="s">
        <v>244</v>
      </c>
      <c r="N103" s="87">
        <v>2</v>
      </c>
      <c r="O103" s="87">
        <v>60</v>
      </c>
      <c r="P103" s="85" t="s">
        <v>252</v>
      </c>
      <c r="Q103" s="89"/>
      <c r="R103" s="85" t="s">
        <v>252</v>
      </c>
      <c r="S103" s="85" t="s">
        <v>252</v>
      </c>
      <c r="T103" s="89"/>
      <c r="U103" s="87">
        <v>8</v>
      </c>
      <c r="V103" s="85">
        <v>0</v>
      </c>
      <c r="W103" s="87">
        <v>0</v>
      </c>
      <c r="X103" s="85" t="s">
        <v>252</v>
      </c>
      <c r="Y103" s="87">
        <v>3.5</v>
      </c>
      <c r="Z103" s="87">
        <v>1.7</v>
      </c>
      <c r="AA103" s="85">
        <v>6</v>
      </c>
      <c r="AB103" s="10" t="s">
        <v>252</v>
      </c>
      <c r="AC103" s="10" t="s">
        <v>252</v>
      </c>
      <c r="AD103" s="85" t="s">
        <v>254</v>
      </c>
      <c r="AE103" s="85" t="s">
        <v>256</v>
      </c>
      <c r="AF103" s="20">
        <f t="shared" si="17"/>
        <v>0.85</v>
      </c>
      <c r="AG103" s="13">
        <f t="shared" si="10"/>
        <v>6</v>
      </c>
      <c r="AH103" s="7">
        <f t="shared" si="11"/>
        <v>10</v>
      </c>
      <c r="AI103" s="7">
        <f t="shared" si="12"/>
        <v>0</v>
      </c>
      <c r="AJ103" s="7">
        <f t="shared" si="13"/>
        <v>10</v>
      </c>
      <c r="AK103" s="7">
        <f t="shared" si="14"/>
        <v>0</v>
      </c>
      <c r="AL103" s="12">
        <f t="shared" si="16"/>
        <v>26</v>
      </c>
      <c r="AM103" s="14" t="str">
        <f t="shared" si="15"/>
        <v>Barrier</v>
      </c>
      <c r="AN103" s="85"/>
      <c r="AO103" s="87"/>
      <c r="AP103" s="10" t="s">
        <v>357</v>
      </c>
    </row>
    <row r="104" spans="1:42" ht="16">
      <c r="A104" s="59">
        <v>45199</v>
      </c>
      <c r="C104" s="10">
        <v>9903105</v>
      </c>
      <c r="D104" s="10" t="s">
        <v>99</v>
      </c>
      <c r="E104" s="11">
        <v>10</v>
      </c>
      <c r="F104" s="39">
        <v>482695</v>
      </c>
      <c r="G104" s="39">
        <v>5969819</v>
      </c>
      <c r="H104" s="11" t="s">
        <v>232</v>
      </c>
      <c r="I104" s="11" t="s">
        <v>233</v>
      </c>
      <c r="K104" s="11" t="s">
        <v>119</v>
      </c>
      <c r="L104" s="10" t="s">
        <v>243</v>
      </c>
      <c r="M104" s="10" t="s">
        <v>244</v>
      </c>
      <c r="N104" s="87">
        <v>2.2000000000000002</v>
      </c>
      <c r="O104" s="87">
        <v>16</v>
      </c>
      <c r="P104" s="85" t="s">
        <v>252</v>
      </c>
      <c r="Q104" s="89"/>
      <c r="R104" s="85" t="s">
        <v>252</v>
      </c>
      <c r="S104" s="85" t="s">
        <v>252</v>
      </c>
      <c r="T104" s="89"/>
      <c r="U104" s="87">
        <v>0.7</v>
      </c>
      <c r="V104" s="85">
        <v>0.1</v>
      </c>
      <c r="W104" s="87">
        <v>0.3</v>
      </c>
      <c r="X104" s="85" t="s">
        <v>252</v>
      </c>
      <c r="Y104" s="87">
        <v>1</v>
      </c>
      <c r="Z104" s="87">
        <v>2.2000000000000002</v>
      </c>
      <c r="AA104" s="85">
        <v>2</v>
      </c>
      <c r="AB104" s="10" t="s">
        <v>252</v>
      </c>
      <c r="AC104" s="10" t="s">
        <v>252</v>
      </c>
      <c r="AD104" s="85" t="s">
        <v>254</v>
      </c>
      <c r="AE104" s="85" t="s">
        <v>256</v>
      </c>
      <c r="AF104" s="20">
        <f t="shared" si="17"/>
        <v>1</v>
      </c>
      <c r="AG104" s="13">
        <f t="shared" si="10"/>
        <v>3</v>
      </c>
      <c r="AH104" s="7">
        <f t="shared" si="11"/>
        <v>10</v>
      </c>
      <c r="AI104" s="7">
        <f t="shared" si="12"/>
        <v>0</v>
      </c>
      <c r="AJ104" s="7">
        <f t="shared" si="13"/>
        <v>5</v>
      </c>
      <c r="AK104" s="7">
        <f t="shared" si="14"/>
        <v>3</v>
      </c>
      <c r="AL104" s="12">
        <f t="shared" si="16"/>
        <v>21</v>
      </c>
      <c r="AM104" s="14" t="str">
        <f t="shared" si="15"/>
        <v>Barrier</v>
      </c>
      <c r="AN104" s="85"/>
      <c r="AO104" s="87"/>
      <c r="AP104" s="10" t="s">
        <v>358</v>
      </c>
    </row>
    <row r="105" spans="1:42" ht="16">
      <c r="A105" s="59">
        <v>45199</v>
      </c>
      <c r="C105" s="10">
        <v>9900404</v>
      </c>
      <c r="D105" s="10" t="s">
        <v>99</v>
      </c>
      <c r="E105" s="11">
        <v>10</v>
      </c>
      <c r="F105" s="39">
        <v>494827</v>
      </c>
      <c r="G105" s="39">
        <v>5963256</v>
      </c>
      <c r="H105" s="11" t="s">
        <v>234</v>
      </c>
      <c r="I105" s="11" t="s">
        <v>106</v>
      </c>
      <c r="K105" s="11" t="s">
        <v>104</v>
      </c>
      <c r="L105" s="10" t="s">
        <v>243</v>
      </c>
      <c r="M105" s="10" t="s">
        <v>244</v>
      </c>
      <c r="N105" s="87">
        <v>1.7</v>
      </c>
      <c r="O105" s="87">
        <v>56</v>
      </c>
      <c r="P105" s="85" t="s">
        <v>252</v>
      </c>
      <c r="Q105" s="89"/>
      <c r="R105" s="85" t="s">
        <v>252</v>
      </c>
      <c r="S105" s="85" t="s">
        <v>252</v>
      </c>
      <c r="T105" s="89"/>
      <c r="U105" s="87">
        <v>6</v>
      </c>
      <c r="V105" s="85">
        <v>0.4</v>
      </c>
      <c r="W105" s="87">
        <v>0</v>
      </c>
      <c r="X105" s="85" t="s">
        <v>252</v>
      </c>
      <c r="Y105" s="87">
        <v>2</v>
      </c>
      <c r="Z105" s="87">
        <v>2.2000000000000002</v>
      </c>
      <c r="AA105" s="85">
        <v>1</v>
      </c>
      <c r="AB105" s="10" t="s">
        <v>252</v>
      </c>
      <c r="AC105" s="10" t="s">
        <v>252</v>
      </c>
      <c r="AD105" s="85" t="s">
        <v>254</v>
      </c>
      <c r="AE105" s="85" t="s">
        <v>256</v>
      </c>
      <c r="AF105" s="20">
        <f t="shared" si="17"/>
        <v>1.2941176470588236</v>
      </c>
      <c r="AG105" s="13">
        <f t="shared" si="10"/>
        <v>6</v>
      </c>
      <c r="AH105" s="7">
        <f t="shared" si="11"/>
        <v>10</v>
      </c>
      <c r="AI105" s="7">
        <f t="shared" si="12"/>
        <v>10</v>
      </c>
      <c r="AJ105" s="7">
        <f t="shared" si="13"/>
        <v>5</v>
      </c>
      <c r="AK105" s="7">
        <f t="shared" si="14"/>
        <v>3</v>
      </c>
      <c r="AL105" s="12">
        <f t="shared" si="16"/>
        <v>34</v>
      </c>
      <c r="AM105" s="14" t="str">
        <f t="shared" si="15"/>
        <v>Barrier</v>
      </c>
      <c r="AN105" s="85"/>
      <c r="AO105" s="87"/>
      <c r="AP105" s="10" t="s">
        <v>359</v>
      </c>
    </row>
    <row r="106" spans="1:42" ht="16">
      <c r="A106" s="59">
        <v>45199</v>
      </c>
      <c r="C106" s="10">
        <v>9900446</v>
      </c>
      <c r="D106" s="10" t="s">
        <v>99</v>
      </c>
      <c r="E106" s="11">
        <v>10</v>
      </c>
      <c r="F106" s="39">
        <v>488990</v>
      </c>
      <c r="G106" s="39">
        <v>5965724</v>
      </c>
      <c r="H106" s="11" t="s">
        <v>235</v>
      </c>
      <c r="I106" s="11" t="s">
        <v>106</v>
      </c>
      <c r="K106" s="11" t="s">
        <v>104</v>
      </c>
      <c r="L106" s="10" t="s">
        <v>243</v>
      </c>
      <c r="M106" s="10" t="s">
        <v>244</v>
      </c>
      <c r="N106" s="87">
        <v>2.8</v>
      </c>
      <c r="O106" s="87">
        <v>45</v>
      </c>
      <c r="P106" s="85" t="s">
        <v>252</v>
      </c>
      <c r="Q106" s="89"/>
      <c r="R106" s="85" t="s">
        <v>252</v>
      </c>
      <c r="S106" s="85" t="s">
        <v>252</v>
      </c>
      <c r="T106" s="89"/>
      <c r="U106" s="87">
        <v>5</v>
      </c>
      <c r="V106" s="85">
        <v>0.4</v>
      </c>
      <c r="W106" s="87">
        <v>2</v>
      </c>
      <c r="X106" s="85" t="s">
        <v>252</v>
      </c>
      <c r="Y106" s="87">
        <v>2</v>
      </c>
      <c r="Z106" s="87">
        <v>4.0999999999999996</v>
      </c>
      <c r="AA106" s="85">
        <v>1.5</v>
      </c>
      <c r="AB106" s="10" t="s">
        <v>253</v>
      </c>
      <c r="AC106" s="10" t="s">
        <v>253</v>
      </c>
      <c r="AD106" s="85" t="s">
        <v>254</v>
      </c>
      <c r="AE106" s="85" t="s">
        <v>256</v>
      </c>
      <c r="AF106" s="20">
        <f t="shared" si="17"/>
        <v>1.4642857142857142</v>
      </c>
      <c r="AG106" s="13">
        <f t="shared" si="10"/>
        <v>6</v>
      </c>
      <c r="AH106" s="7">
        <f t="shared" si="11"/>
        <v>10</v>
      </c>
      <c r="AI106" s="7">
        <f t="shared" si="12"/>
        <v>10</v>
      </c>
      <c r="AJ106" s="7">
        <f t="shared" si="13"/>
        <v>5</v>
      </c>
      <c r="AK106" s="7">
        <f t="shared" si="14"/>
        <v>6</v>
      </c>
      <c r="AL106" s="12">
        <f t="shared" si="16"/>
        <v>37</v>
      </c>
      <c r="AM106" s="14" t="str">
        <f t="shared" si="15"/>
        <v>Barrier</v>
      </c>
      <c r="AN106" s="85"/>
      <c r="AO106" s="87"/>
      <c r="AP106" s="10" t="s">
        <v>360</v>
      </c>
    </row>
    <row r="107" spans="1:42" ht="16">
      <c r="A107" s="59">
        <v>45199</v>
      </c>
      <c r="C107" s="10">
        <v>9902577</v>
      </c>
      <c r="D107" s="10" t="s">
        <v>99</v>
      </c>
      <c r="E107" s="11">
        <v>10</v>
      </c>
      <c r="F107" s="39">
        <v>502368</v>
      </c>
      <c r="G107" s="39">
        <v>5962510</v>
      </c>
      <c r="H107" s="11" t="s">
        <v>150</v>
      </c>
      <c r="I107" s="11" t="s">
        <v>106</v>
      </c>
      <c r="K107" s="11" t="s">
        <v>104</v>
      </c>
      <c r="L107" s="10" t="s">
        <v>243</v>
      </c>
      <c r="M107" s="10" t="s">
        <v>248</v>
      </c>
      <c r="N107" s="87">
        <v>6.5</v>
      </c>
      <c r="O107" s="87">
        <v>26</v>
      </c>
      <c r="P107" s="85" t="s">
        <v>252</v>
      </c>
      <c r="Q107" s="89"/>
      <c r="R107" s="85" t="s">
        <v>252</v>
      </c>
      <c r="S107" s="85" t="s">
        <v>252</v>
      </c>
      <c r="T107" s="89"/>
      <c r="U107" s="87">
        <v>0.9</v>
      </c>
      <c r="V107" s="85">
        <v>0.6</v>
      </c>
      <c r="W107" s="87">
        <v>0.6</v>
      </c>
      <c r="X107" s="85" t="s">
        <v>252</v>
      </c>
      <c r="Y107" s="87">
        <v>3.5</v>
      </c>
      <c r="Z107" s="87">
        <v>7.6</v>
      </c>
      <c r="AA107" s="85">
        <v>2.5</v>
      </c>
      <c r="AB107" s="10" t="s">
        <v>252</v>
      </c>
      <c r="AC107" s="10" t="s">
        <v>252</v>
      </c>
      <c r="AD107" s="85" t="s">
        <v>254</v>
      </c>
      <c r="AE107" s="85" t="s">
        <v>255</v>
      </c>
      <c r="AF107" s="20">
        <f t="shared" si="17"/>
        <v>1.1692307692307691</v>
      </c>
      <c r="AG107" s="13">
        <f t="shared" si="10"/>
        <v>3</v>
      </c>
      <c r="AH107" s="7">
        <f t="shared" si="11"/>
        <v>10</v>
      </c>
      <c r="AI107" s="7">
        <f t="shared" si="12"/>
        <v>10</v>
      </c>
      <c r="AJ107" s="7">
        <f t="shared" si="13"/>
        <v>10</v>
      </c>
      <c r="AK107" s="7">
        <f t="shared" si="14"/>
        <v>3</v>
      </c>
      <c r="AL107" s="12">
        <f t="shared" si="16"/>
        <v>36</v>
      </c>
      <c r="AM107" s="14" t="str">
        <f t="shared" si="15"/>
        <v>Barrier</v>
      </c>
      <c r="AN107" s="85"/>
      <c r="AO107" s="87"/>
      <c r="AP107" s="10" t="s">
        <v>361</v>
      </c>
    </row>
    <row r="108" spans="1:42" ht="16">
      <c r="A108" s="59">
        <v>45199</v>
      </c>
      <c r="C108" s="10">
        <v>9900262</v>
      </c>
      <c r="D108" s="10" t="s">
        <v>99</v>
      </c>
      <c r="E108" s="11">
        <v>10</v>
      </c>
      <c r="F108" s="39">
        <v>502603</v>
      </c>
      <c r="G108" s="39">
        <v>5962435</v>
      </c>
      <c r="H108" s="11" t="s">
        <v>236</v>
      </c>
      <c r="I108" s="11" t="s">
        <v>106</v>
      </c>
      <c r="K108" s="11" t="s">
        <v>104</v>
      </c>
      <c r="L108" s="10" t="s">
        <v>243</v>
      </c>
      <c r="M108" s="10" t="s">
        <v>244</v>
      </c>
      <c r="N108" s="87">
        <v>0.9</v>
      </c>
      <c r="O108" s="87">
        <v>32</v>
      </c>
      <c r="P108" s="85" t="s">
        <v>252</v>
      </c>
      <c r="Q108" s="89"/>
      <c r="R108" s="85" t="s">
        <v>252</v>
      </c>
      <c r="S108" s="85" t="s">
        <v>252</v>
      </c>
      <c r="T108" s="89"/>
      <c r="U108" s="87">
        <v>2.5</v>
      </c>
      <c r="V108" s="85">
        <v>0</v>
      </c>
      <c r="W108" s="87">
        <v>0</v>
      </c>
      <c r="X108" s="85" t="s">
        <v>252</v>
      </c>
      <c r="Y108" s="87">
        <v>2</v>
      </c>
      <c r="Z108" s="87">
        <v>0.8</v>
      </c>
      <c r="AA108" s="85">
        <v>2</v>
      </c>
      <c r="AB108" s="10" t="s">
        <v>252</v>
      </c>
      <c r="AC108" s="10" t="s">
        <v>252</v>
      </c>
      <c r="AD108" s="85" t="s">
        <v>254</v>
      </c>
      <c r="AE108" s="85" t="s">
        <v>256</v>
      </c>
      <c r="AF108" s="20">
        <f t="shared" si="17"/>
        <v>0.88888888888888895</v>
      </c>
      <c r="AG108" s="13">
        <f t="shared" si="10"/>
        <v>6</v>
      </c>
      <c r="AH108" s="7">
        <f t="shared" si="11"/>
        <v>10</v>
      </c>
      <c r="AI108" s="7">
        <f t="shared" si="12"/>
        <v>0</v>
      </c>
      <c r="AJ108" s="7">
        <f t="shared" si="13"/>
        <v>5</v>
      </c>
      <c r="AK108" s="7">
        <f t="shared" si="14"/>
        <v>0</v>
      </c>
      <c r="AL108" s="12">
        <f t="shared" si="16"/>
        <v>21</v>
      </c>
      <c r="AM108" s="14" t="str">
        <f t="shared" si="15"/>
        <v>Barrier</v>
      </c>
      <c r="AN108" s="85"/>
      <c r="AO108" s="87"/>
      <c r="AP108" s="10" t="s">
        <v>362</v>
      </c>
    </row>
    <row r="109" spans="1:42" ht="32">
      <c r="A109" s="59">
        <v>45200</v>
      </c>
      <c r="C109" s="10">
        <v>9900380</v>
      </c>
      <c r="D109" s="10" t="s">
        <v>99</v>
      </c>
      <c r="E109" s="11">
        <v>10</v>
      </c>
      <c r="F109" s="39">
        <v>500461</v>
      </c>
      <c r="G109" s="39">
        <v>5958635</v>
      </c>
      <c r="H109" s="11" t="s">
        <v>148</v>
      </c>
      <c r="I109" s="11" t="s">
        <v>237</v>
      </c>
      <c r="K109" s="11" t="s">
        <v>119</v>
      </c>
      <c r="L109" s="10" t="s">
        <v>243</v>
      </c>
      <c r="M109" s="10" t="s">
        <v>244</v>
      </c>
      <c r="N109" s="87">
        <v>0.6</v>
      </c>
      <c r="O109" s="87">
        <v>22</v>
      </c>
      <c r="P109" s="85" t="s">
        <v>252</v>
      </c>
      <c r="Q109" s="89"/>
      <c r="R109" s="85" t="s">
        <v>252</v>
      </c>
      <c r="S109" s="85" t="s">
        <v>252</v>
      </c>
      <c r="T109" s="89"/>
      <c r="U109" s="87">
        <v>1</v>
      </c>
      <c r="V109" s="85">
        <v>1.5</v>
      </c>
      <c r="W109" s="87">
        <v>0.1</v>
      </c>
      <c r="X109" s="85" t="s">
        <v>252</v>
      </c>
      <c r="Y109" s="87">
        <v>4</v>
      </c>
      <c r="Z109" s="87">
        <v>1.6</v>
      </c>
      <c r="AA109" s="85">
        <v>6</v>
      </c>
      <c r="AB109" s="10" t="s">
        <v>252</v>
      </c>
      <c r="AC109" s="10" t="s">
        <v>252</v>
      </c>
      <c r="AD109" s="85" t="s">
        <v>254</v>
      </c>
      <c r="AE109" s="85" t="s">
        <v>256</v>
      </c>
      <c r="AF109" s="20">
        <f t="shared" si="17"/>
        <v>2.666666666666667</v>
      </c>
      <c r="AG109" s="13">
        <f t="shared" si="10"/>
        <v>3</v>
      </c>
      <c r="AH109" s="7">
        <f t="shared" si="11"/>
        <v>10</v>
      </c>
      <c r="AI109" s="7">
        <f t="shared" si="12"/>
        <v>10</v>
      </c>
      <c r="AJ109" s="7">
        <f t="shared" si="13"/>
        <v>10</v>
      </c>
      <c r="AK109" s="7">
        <f t="shared" si="14"/>
        <v>6</v>
      </c>
      <c r="AL109" s="12">
        <f t="shared" si="16"/>
        <v>39</v>
      </c>
      <c r="AM109" s="14" t="str">
        <f t="shared" si="15"/>
        <v>Barrier</v>
      </c>
      <c r="AN109" s="85"/>
      <c r="AO109" s="87"/>
      <c r="AP109" s="10" t="s">
        <v>363</v>
      </c>
    </row>
    <row r="110" spans="1:42" ht="32">
      <c r="A110" s="59">
        <v>45200</v>
      </c>
      <c r="C110" s="10">
        <v>9900385</v>
      </c>
      <c r="D110" s="10" t="s">
        <v>99</v>
      </c>
      <c r="E110" s="11">
        <v>10</v>
      </c>
      <c r="F110" s="39">
        <v>496344</v>
      </c>
      <c r="G110" s="39">
        <v>5954586</v>
      </c>
      <c r="H110" s="11" t="s">
        <v>238</v>
      </c>
      <c r="I110" s="11" t="s">
        <v>237</v>
      </c>
      <c r="K110" s="11" t="s">
        <v>119</v>
      </c>
      <c r="L110" s="10" t="s">
        <v>243</v>
      </c>
      <c r="M110" s="10" t="s">
        <v>244</v>
      </c>
      <c r="N110" s="87">
        <v>0.6</v>
      </c>
      <c r="O110" s="87">
        <v>15</v>
      </c>
      <c r="P110" s="85" t="s">
        <v>252</v>
      </c>
      <c r="Q110" s="89"/>
      <c r="R110" s="85" t="s">
        <v>252</v>
      </c>
      <c r="S110" s="85" t="s">
        <v>252</v>
      </c>
      <c r="T110" s="89"/>
      <c r="U110" s="87">
        <v>1.2</v>
      </c>
      <c r="V110" s="85">
        <v>0</v>
      </c>
      <c r="W110" s="87">
        <v>0</v>
      </c>
      <c r="X110" s="85" t="s">
        <v>252</v>
      </c>
      <c r="Y110" s="87">
        <v>3</v>
      </c>
      <c r="Z110" s="87">
        <v>1.4</v>
      </c>
      <c r="AA110" s="85">
        <v>4.5</v>
      </c>
      <c r="AB110" s="10" t="s">
        <v>252</v>
      </c>
      <c r="AC110" s="10" t="s">
        <v>252</v>
      </c>
      <c r="AD110" s="85" t="s">
        <v>254</v>
      </c>
      <c r="AE110" s="85" t="s">
        <v>257</v>
      </c>
      <c r="AF110" s="20">
        <f t="shared" si="17"/>
        <v>2.3333333333333335</v>
      </c>
      <c r="AG110" s="13">
        <f t="shared" si="10"/>
        <v>3</v>
      </c>
      <c r="AH110" s="7">
        <f t="shared" si="11"/>
        <v>10</v>
      </c>
      <c r="AI110" s="7">
        <f t="shared" si="12"/>
        <v>0</v>
      </c>
      <c r="AJ110" s="7">
        <f t="shared" si="13"/>
        <v>10</v>
      </c>
      <c r="AK110" s="7">
        <f t="shared" si="14"/>
        <v>6</v>
      </c>
      <c r="AL110" s="12">
        <f t="shared" si="16"/>
        <v>29</v>
      </c>
      <c r="AM110" s="14" t="str">
        <f t="shared" si="15"/>
        <v>Barrier</v>
      </c>
      <c r="AN110" s="85"/>
      <c r="AO110" s="87"/>
      <c r="AP110" s="10" t="s">
        <v>364</v>
      </c>
    </row>
    <row r="111" spans="1:42" ht="32">
      <c r="A111" s="59">
        <v>45200</v>
      </c>
      <c r="C111" s="10">
        <v>9905144</v>
      </c>
      <c r="D111" s="10" t="s">
        <v>99</v>
      </c>
      <c r="E111" s="11">
        <v>10</v>
      </c>
      <c r="F111" s="39">
        <v>492375</v>
      </c>
      <c r="G111" s="39">
        <v>5956652</v>
      </c>
      <c r="H111" s="11" t="s">
        <v>239</v>
      </c>
      <c r="I111" s="11" t="s">
        <v>240</v>
      </c>
      <c r="K111" s="11" t="s">
        <v>119</v>
      </c>
      <c r="L111" s="10" t="s">
        <v>243</v>
      </c>
      <c r="M111" s="10" t="s">
        <v>244</v>
      </c>
      <c r="N111" s="87">
        <v>0.9</v>
      </c>
      <c r="O111" s="87">
        <v>16</v>
      </c>
      <c r="P111" s="85" t="s">
        <v>252</v>
      </c>
      <c r="Q111" s="89"/>
      <c r="R111" s="85" t="s">
        <v>252</v>
      </c>
      <c r="S111" s="85" t="s">
        <v>253</v>
      </c>
      <c r="T111" s="87">
        <v>100</v>
      </c>
      <c r="U111" s="87">
        <v>1.6</v>
      </c>
      <c r="V111" s="85">
        <v>0</v>
      </c>
      <c r="W111" s="87">
        <v>0.5</v>
      </c>
      <c r="X111" s="85" t="s">
        <v>252</v>
      </c>
      <c r="Y111" s="87">
        <v>1.5</v>
      </c>
      <c r="Z111" s="87">
        <v>1</v>
      </c>
      <c r="AA111" s="85">
        <v>1</v>
      </c>
      <c r="AB111" s="10" t="s">
        <v>253</v>
      </c>
      <c r="AC111" s="10" t="s">
        <v>252</v>
      </c>
      <c r="AD111" s="85" t="s">
        <v>254</v>
      </c>
      <c r="AE111" s="85" t="s">
        <v>257</v>
      </c>
      <c r="AF111" s="20">
        <f t="shared" si="17"/>
        <v>1.1111111111111112</v>
      </c>
      <c r="AG111" s="13">
        <f t="shared" si="10"/>
        <v>3</v>
      </c>
      <c r="AH111" s="7">
        <f t="shared" si="11"/>
        <v>10</v>
      </c>
      <c r="AI111" s="7">
        <f t="shared" si="12"/>
        <v>0</v>
      </c>
      <c r="AJ111" s="7">
        <f t="shared" si="13"/>
        <v>5</v>
      </c>
      <c r="AK111" s="7">
        <f t="shared" si="14"/>
        <v>3</v>
      </c>
      <c r="AL111" s="12">
        <f t="shared" si="16"/>
        <v>21</v>
      </c>
      <c r="AM111" s="14" t="str">
        <f t="shared" si="15"/>
        <v>Barrier</v>
      </c>
      <c r="AN111" s="85"/>
      <c r="AO111" s="87"/>
      <c r="AP111" s="10" t="s">
        <v>365</v>
      </c>
    </row>
    <row r="112" spans="1:42" ht="32">
      <c r="A112" s="59">
        <v>45200</v>
      </c>
      <c r="C112" s="10">
        <v>9900277</v>
      </c>
      <c r="D112" s="10" t="s">
        <v>99</v>
      </c>
      <c r="E112" s="11">
        <v>10</v>
      </c>
      <c r="F112" s="39">
        <v>508131</v>
      </c>
      <c r="G112" s="39">
        <v>5960681</v>
      </c>
      <c r="H112" s="11" t="s">
        <v>241</v>
      </c>
      <c r="I112" s="11" t="s">
        <v>242</v>
      </c>
      <c r="K112" s="11" t="s">
        <v>119</v>
      </c>
      <c r="L112" s="10" t="s">
        <v>243</v>
      </c>
      <c r="M112" s="10" t="s">
        <v>244</v>
      </c>
      <c r="N112" s="87">
        <v>2.5</v>
      </c>
      <c r="O112" s="87">
        <v>20</v>
      </c>
      <c r="P112" s="85" t="s">
        <v>252</v>
      </c>
      <c r="Q112" s="89"/>
      <c r="R112" s="85" t="s">
        <v>252</v>
      </c>
      <c r="S112" s="85" t="s">
        <v>252</v>
      </c>
      <c r="T112" s="89"/>
      <c r="U112" s="87">
        <v>2</v>
      </c>
      <c r="V112" s="85">
        <v>0</v>
      </c>
      <c r="W112" s="87">
        <v>0</v>
      </c>
      <c r="X112" s="85" t="s">
        <v>252</v>
      </c>
      <c r="Y112" s="87">
        <v>1</v>
      </c>
      <c r="Z112" s="87">
        <v>2.2999999999999998</v>
      </c>
      <c r="AA112" s="85">
        <v>2</v>
      </c>
      <c r="AB112" s="10" t="s">
        <v>253</v>
      </c>
      <c r="AC112" s="10" t="s">
        <v>252</v>
      </c>
      <c r="AD112" s="85" t="s">
        <v>254</v>
      </c>
      <c r="AE112" s="85" t="s">
        <v>256</v>
      </c>
      <c r="AF112" s="20">
        <f t="shared" si="17"/>
        <v>0.91999999999999993</v>
      </c>
      <c r="AG112" s="13">
        <f t="shared" si="10"/>
        <v>3</v>
      </c>
      <c r="AH112" s="7">
        <f t="shared" si="11"/>
        <v>10</v>
      </c>
      <c r="AI112" s="7">
        <f t="shared" si="12"/>
        <v>0</v>
      </c>
      <c r="AJ112" s="7">
        <f t="shared" si="13"/>
        <v>5</v>
      </c>
      <c r="AK112" s="7">
        <f t="shared" si="14"/>
        <v>0</v>
      </c>
      <c r="AL112" s="12">
        <f t="shared" si="16"/>
        <v>18</v>
      </c>
      <c r="AM112" s="14" t="str">
        <f t="shared" si="15"/>
        <v>Potential</v>
      </c>
      <c r="AN112" s="85"/>
      <c r="AO112" s="87"/>
      <c r="AP112" s="10" t="s">
        <v>366</v>
      </c>
    </row>
    <row r="113" spans="1:42" ht="16">
      <c r="A113" s="59">
        <v>45178</v>
      </c>
      <c r="C113" s="10">
        <v>15600468</v>
      </c>
      <c r="D113" s="10" t="s">
        <v>99</v>
      </c>
      <c r="E113" s="11">
        <v>10</v>
      </c>
      <c r="F113" s="39">
        <v>429073</v>
      </c>
      <c r="G113" s="39">
        <v>5991955</v>
      </c>
      <c r="H113" s="11" t="s">
        <v>155</v>
      </c>
      <c r="I113" s="11" t="s">
        <v>160</v>
      </c>
      <c r="K113" s="11" t="s">
        <v>104</v>
      </c>
      <c r="L113" s="10" t="s">
        <v>243</v>
      </c>
      <c r="M113" s="10" t="s">
        <v>244</v>
      </c>
      <c r="N113" s="87">
        <v>2.2000000000000002</v>
      </c>
      <c r="O113" s="87">
        <v>14</v>
      </c>
      <c r="P113" s="85" t="s">
        <v>252</v>
      </c>
      <c r="Q113" s="89"/>
      <c r="R113" s="85" t="s">
        <v>252</v>
      </c>
      <c r="S113" s="85" t="s">
        <v>253</v>
      </c>
      <c r="T113" s="87">
        <v>100</v>
      </c>
      <c r="U113" s="87">
        <v>1.5</v>
      </c>
      <c r="V113" s="85">
        <v>0</v>
      </c>
      <c r="W113" s="87">
        <v>0.5</v>
      </c>
      <c r="X113" s="85" t="s">
        <v>252</v>
      </c>
      <c r="Y113" s="87">
        <v>0.5</v>
      </c>
      <c r="Z113" s="87">
        <v>2.7</v>
      </c>
      <c r="AA113" s="85">
        <v>0</v>
      </c>
      <c r="AB113" s="10" t="s">
        <v>252</v>
      </c>
      <c r="AC113" s="10" t="s">
        <v>252</v>
      </c>
      <c r="AD113" s="85" t="s">
        <v>254</v>
      </c>
      <c r="AE113" s="85" t="s">
        <v>256</v>
      </c>
      <c r="AF113" s="20">
        <f t="shared" si="17"/>
        <v>1.2272727272727273</v>
      </c>
      <c r="AG113" s="13">
        <f t="shared" si="10"/>
        <v>0</v>
      </c>
      <c r="AH113" s="7">
        <f t="shared" si="11"/>
        <v>10</v>
      </c>
      <c r="AI113" s="7">
        <f t="shared" si="12"/>
        <v>0</v>
      </c>
      <c r="AJ113" s="7">
        <f t="shared" si="13"/>
        <v>0</v>
      </c>
      <c r="AK113" s="7">
        <f t="shared" si="14"/>
        <v>3</v>
      </c>
      <c r="AL113" s="12">
        <f t="shared" si="16"/>
        <v>13</v>
      </c>
      <c r="AM113" s="14" t="str">
        <f t="shared" si="15"/>
        <v>Passable</v>
      </c>
      <c r="AN113" s="85"/>
      <c r="AO113" s="87"/>
      <c r="AP113" s="10" t="s">
        <v>367</v>
      </c>
    </row>
    <row r="114" spans="1:42">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42">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42">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42">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42">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42">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42">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42">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42">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42">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42">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42">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42">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42">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42">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dHYbYPf449ZMj4RClM0x28lN1sHDq0BD9dxRAH5wkUpNrEwFFmqHslAHLY81s0LRh09SRIeKVUl0N3w5S/kWEA==" saltValue="LpXuj86+y3gnzjL0ayaVfA==" spinCount="100000" sheet="1" objects="1" scenarios="1"/>
  <dataConsolidate/>
  <conditionalFormatting sqref="AO12:AO65536">
    <cfRule type="cellIs" priority="213" stopIfTrue="1" operator="lessThan">
      <formula>0</formula>
    </cfRule>
  </conditionalFormatting>
  <conditionalFormatting sqref="AF6:AF4998 AF5284:AF65536">
    <cfRule type="cellIs" dxfId="8" priority="201" stopIfTrue="1" operator="greaterThan">
      <formula>9999999999</formula>
    </cfRule>
  </conditionalFormatting>
  <conditionalFormatting sqref="AF4999:AF5283">
    <cfRule type="cellIs" dxfId="7"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6" priority="1" stopIfTrue="1" operator="greaterThan">
      <formula>9999999999</formula>
    </cfRule>
  </conditionalFormatting>
  <dataValidations count="349">
    <dataValidation type="list" allowBlank="1" showInputMessage="1" showErrorMessage="1" sqref="AM5284:AM65536" xr:uid="{00000000-0002-0000-0200-000000000000}">
      <formula1>"Passable, Potential, Barrier, Unkown"</formula1>
    </dataValidation>
    <dataValidation type="list" allowBlank="1" showInputMessage="1" showErrorMessage="1" sqref="M1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 Q58 Q71 Q88 Q114: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5 N58 N71 N88 N1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97FC38B3-5259-734C-8542-EEAC7B74E8DF}">
      <formula1>"Round Culvert,Oval Culvert,Concrete Box"</formula1>
    </dataValidation>
    <dataValidation type="decimal" allowBlank="1" showInputMessage="1" showErrorMessage="1" errorTitle="Invalid Diamter or Span" error="The Diameter or Span entered is invalid. Diameter or Span must be &gt; 0 and &lt; 300" sqref="N5" xr:uid="{8A93F19E-20E6-5547-98C4-EBA994C952B6}">
      <formula1>0.01</formula1>
      <formula2>300</formula2>
    </dataValidation>
    <dataValidation type="list" allowBlank="1" showInputMessage="1" showErrorMessage="1" errorTitle="Invalid value entered" error="The crossing subtype is not compatible with a crossing type of Closed Bottom Structure" sqref="M6" xr:uid="{8709F235-272E-844B-923D-D8B362F12FCE}">
      <formula1>"Round Culvert,Oval Culvert,Concrete Box"</formula1>
    </dataValidation>
    <dataValidation type="decimal" allowBlank="1" showInputMessage="1" showErrorMessage="1" errorTitle="Invalid Diamter or Span" error="The Diameter or Span entered is invalid. Diameter or Span must be &gt; 0 and &lt; 300" sqref="N6" xr:uid="{54FC705A-3959-0E4C-A525-38A8ABE2FBD9}">
      <formula1>0.01</formula1>
      <formula2>300</formula2>
    </dataValidation>
    <dataValidation type="list" allowBlank="1" showInputMessage="1" showErrorMessage="1" errorTitle="Invalid value entered" error="The crossing subtype is not compatible with a crossing type of Closed Bottom Structure" sqref="M7" xr:uid="{C71F5235-CACE-8F42-BBFD-9AF15785471A}">
      <formula1>"Round Culvert,Oval Culvert,Concrete Box"</formula1>
    </dataValidation>
    <dataValidation type="decimal" allowBlank="1" showInputMessage="1" showErrorMessage="1" errorTitle="Invalid Diamter or Span" error="The Diameter or Span entered is invalid. Diameter or Span must be &gt; 0 and &lt; 300" sqref="N7" xr:uid="{10267C8C-445C-CB4F-89D4-846D770044BF}">
      <formula1>0.01</formula1>
      <formula2>300</formula2>
    </dataValidation>
    <dataValidation type="list" allowBlank="1" showInputMessage="1" showErrorMessage="1" errorTitle="Invalid value entered" error="The crossing subtype is not compatible with a crossing type of Closed Bottom Structure" sqref="M8" xr:uid="{95A8E95F-590C-0245-9F1D-5C1A80FAEA3D}">
      <formula1>"Round Culvert,Oval Culvert,Concrete Box"</formula1>
    </dataValidation>
    <dataValidation type="decimal" allowBlank="1" showInputMessage="1" showErrorMessage="1" errorTitle="Invalid Diamter or Span" error="The Diameter or Span entered is invalid. Diameter or Span must be &gt; 0 and &lt; 300" sqref="N8" xr:uid="{7202FE46-2835-F144-B682-329148E7ECEA}">
      <formula1>0.01</formula1>
      <formula2>300</formula2>
    </dataValidation>
    <dataValidation type="list" allowBlank="1" showInputMessage="1" showErrorMessage="1" errorTitle="Invalid value entered" error="The crossing subtype is not compatible with a crossing type of Closed Bottom Structure" sqref="M9" xr:uid="{E8543C59-4733-4149-A78E-A930FF42CC96}">
      <formula1>"Round Culvert,Oval Culvert,Concrete Box"</formula1>
    </dataValidation>
    <dataValidation type="decimal" allowBlank="1" showInputMessage="1" showErrorMessage="1" errorTitle="Invalid Diamter or Span" error="The Diameter or Span entered is invalid. Diameter or Span must be &gt; 0 and &lt; 300" sqref="N9" xr:uid="{5978CD25-8E64-F746-A3AB-DBB71168AB63}">
      <formula1>0.01</formula1>
      <formula2>300</formula2>
    </dataValidation>
    <dataValidation type="list" allowBlank="1" showInputMessage="1" showErrorMessage="1" errorTitle="Invalid value entered" error="The crossing subtype is not compatible with a crossing type of Open Bottom Structure" sqref="M10" xr:uid="{EC924FC7-2A71-F94D-B89F-24191C46AE64}">
      <formula1>"Bridge, Pipe Arch, Wood Box Culvert"</formula1>
    </dataValidation>
    <dataValidation type="decimal" allowBlank="1" showInputMessage="1" showErrorMessage="1" errorTitle="Invalid Diamter or Span" error="The Diameter or Span entered is invalid. Diameter or Span must be &gt; 0 and &lt; 100" sqref="N10" xr:uid="{ABBBF27D-6772-7C4F-A65C-5057BE3BE780}">
      <formula1>0.01</formula1>
      <formula2>100</formula2>
    </dataValidation>
    <dataValidation type="list" allowBlank="1" showInputMessage="1" showErrorMessage="1" errorTitle="Invalid value entered" error="The crossing subtype is not compatible with a crossing type of Closed Bottom Structure" sqref="M11" xr:uid="{60C37981-2584-3B4B-B173-0DFD4E7E91FC}">
      <formula1>"Round Culvert,Oval Culvert,Concrete Box"</formula1>
    </dataValidation>
    <dataValidation type="decimal" allowBlank="1" showInputMessage="1" showErrorMessage="1" errorTitle="Invalid Diamter or Span" error="The Diameter or Span entered is invalid. Diameter or Span must be &gt; 0 and &lt; 300" sqref="N11" xr:uid="{6A39FAAF-8731-4F4C-B84E-A8FF71F401D4}">
      <formula1>0.01</formula1>
      <formula2>300</formula2>
    </dataValidation>
    <dataValidation type="list" allowBlank="1" showInputMessage="1" showErrorMessage="1" errorTitle="Invalid value entered" error="The crossing subtype is not compatible with a crossing type of Closed Bottom Structure" sqref="M12" xr:uid="{691A9696-014B-AB44-A557-CE55202D2B4D}">
      <formula1>"Round Culvert,Oval Culvert,Concrete Box"</formula1>
    </dataValidation>
    <dataValidation type="decimal" allowBlank="1" showInputMessage="1" showErrorMessage="1" errorTitle="Invalid Diamter or Span" error="The Diameter or Span entered is invalid. Diameter or Span must be &gt; 0 and &lt; 300" sqref="N12" xr:uid="{2188A123-1AA7-4746-9EE3-C6F8AD8F357C}">
      <formula1>0.01</formula1>
      <formula2>300</formula2>
    </dataValidation>
    <dataValidation type="list" allowBlank="1" showInputMessage="1" showErrorMessage="1" errorTitle="Invalid value entered" error="The crossing subtype is not compatible with a crossing type of Closed Bottom Structure" sqref="M13" xr:uid="{A84D0800-CB46-8140-96FD-1BD007E635AE}">
      <formula1>"Round Culvert,Oval Culvert,Concrete Box"</formula1>
    </dataValidation>
    <dataValidation type="decimal" allowBlank="1" showInputMessage="1" showErrorMessage="1" errorTitle="Invalid Diamter or Span" error="The Diameter or Span entered is invalid. Diameter or Span must be &gt; 0 and &lt; 300" sqref="N13" xr:uid="{7A53D8C2-7F94-D343-98CA-8F7BA55A16BC}">
      <formula1>0.01</formula1>
      <formula2>300</formula2>
    </dataValidation>
    <dataValidation type="list" allowBlank="1" showInputMessage="1" showErrorMessage="1" errorTitle="Invalid value entered" error="The crossing subtype is not compatible with a crossing type of Closed Bottom Structure" sqref="M14" xr:uid="{1FBA6845-D0FA-A84B-A91D-017FC747634E}">
      <formula1>"Round Culvert,Oval Culvert,Concrete Box"</formula1>
    </dataValidation>
    <dataValidation type="decimal" allowBlank="1" showInputMessage="1" showErrorMessage="1" errorTitle="Invalid Diamter or Span" error="The Diameter or Span entered is invalid. Diameter or Span must be &gt; 0 and &lt; 300" sqref="N14" xr:uid="{C7BEEBF1-45CB-C846-AE41-8832E687C5C2}">
      <formula1>0.01</formula1>
      <formula2>300</formula2>
    </dataValidation>
    <dataValidation type="list" allowBlank="1" showInputMessage="1" showErrorMessage="1" errorTitle="Invalid value entered" error="The crossing subtype is not compatible with a crossing type of Closed Bottom Structure" sqref="M15" xr:uid="{A7A32839-E7EC-B74E-A2A0-174D490B8296}">
      <formula1>"Round Culvert,Oval Culvert,Concrete Box"</formula1>
    </dataValidation>
    <dataValidation type="decimal" allowBlank="1" showInputMessage="1" showErrorMessage="1" errorTitle="Invalid Diamter or Span" error="The Diameter or Span entered is invalid. Diameter or Span must be &gt; 0 and &lt; 300" sqref="N15" xr:uid="{B3BD6976-B0C0-1C47-A752-88A3B03CA118}">
      <formula1>0.01</formula1>
      <formula2>300</formula2>
    </dataValidation>
    <dataValidation type="list" allowBlank="1" showInputMessage="1" showErrorMessage="1" errorTitle="Invalid value entered" error="The crossing subtype is not compatible with a crossing type of Closed Bottom Structure" sqref="M16" xr:uid="{8059D27E-315D-B941-B234-D32D1D1DAF5A}">
      <formula1>"Round Culvert,Oval Culvert,Concrete Box"</formula1>
    </dataValidation>
    <dataValidation type="decimal" allowBlank="1" showInputMessage="1" showErrorMessage="1" errorTitle="Invalid Diamter or Span" error="The Diameter or Span entered is invalid. Diameter or Span must be &gt; 0 and &lt; 300" sqref="N16" xr:uid="{77615AF8-C334-3742-9623-F967EC5FA930}">
      <formula1>0.01</formula1>
      <formula2>300</formula2>
    </dataValidation>
    <dataValidation type="list" allowBlank="1" showInputMessage="1" showErrorMessage="1" errorTitle="Invalid value entered" error="The crossing subtype is not compatible with a crossing type of Closed Bottom Structure" sqref="M17" xr:uid="{887CD89A-C003-8148-A02A-D9BF20874CE1}">
      <formula1>"Round Culvert,Oval Culvert,Concrete Box"</formula1>
    </dataValidation>
    <dataValidation type="decimal" allowBlank="1" showInputMessage="1" showErrorMessage="1" errorTitle="Invalid Diamter or Span" error="The Diameter or Span entered is invalid. Diameter or Span must be &gt; 0 and &lt; 300" sqref="N17" xr:uid="{FC456636-5E39-7241-94AA-2CA25ABFD67C}">
      <formula1>0.01</formula1>
      <formula2>300</formula2>
    </dataValidation>
    <dataValidation type="list" allowBlank="1" showInputMessage="1" showErrorMessage="1" errorTitle="Invalid value entered" error="The crossing subtype is not compatible with a crossing type of Closed Bottom Structure" sqref="M18" xr:uid="{24F6AA2D-BE7D-DA44-964B-3F02C32DDF07}">
      <formula1>"Round Culvert,Oval Culvert,Concrete Box"</formula1>
    </dataValidation>
    <dataValidation type="decimal" allowBlank="1" showInputMessage="1" showErrorMessage="1" errorTitle="Invalid Diamter or Span" error="The Diameter or Span entered is invalid. Diameter or Span must be &gt; 0 and &lt; 300" sqref="N18" xr:uid="{C8616557-1482-E24D-876F-32E9EBDDAA16}">
      <formula1>0.01</formula1>
      <formula2>300</formula2>
    </dataValidation>
    <dataValidation type="list" allowBlank="1" showInputMessage="1" showErrorMessage="1" errorTitle="Invalid value entered" error="The crossing subtype is not compatible with a crossing type of Closed Bottom Structure" sqref="M19" xr:uid="{24025E6A-D10C-3A4D-B909-D6CE8192E054}">
      <formula1>"Round Culvert,Oval Culvert,Concrete Box"</formula1>
    </dataValidation>
    <dataValidation type="decimal" allowBlank="1" showInputMessage="1" showErrorMessage="1" errorTitle="Invalid Diamter or Span" error="The Diameter or Span entered is invalid. Diameter or Span must be &gt; 0 and &lt; 300" sqref="N19" xr:uid="{4EEB51C7-1E76-7F40-8E2F-3C35C96639AF}">
      <formula1>0.01</formula1>
      <formula2>300</formula2>
    </dataValidation>
    <dataValidation type="list" allowBlank="1" showInputMessage="1" showErrorMessage="1" errorTitle="Invalid value entered" error="The crossing subtype is not compatible with a crossing type of Closed Bottom Structure" sqref="M20" xr:uid="{A33F2765-8A86-6343-B8C1-E9102E2CDE73}">
      <formula1>"Round Culvert,Oval Culvert,Concrete Box"</formula1>
    </dataValidation>
    <dataValidation type="decimal" allowBlank="1" showInputMessage="1" showErrorMessage="1" errorTitle="Invalid Diamter or Span" error="The Diameter or Span entered is invalid. Diameter or Span must be &gt; 0 and &lt; 300" sqref="N20" xr:uid="{F581BA03-A629-EE4F-B886-0BE08EE4171F}">
      <formula1>0.01</formula1>
      <formula2>300</formula2>
    </dataValidation>
    <dataValidation type="list" allowBlank="1" showInputMessage="1" showErrorMessage="1" errorTitle="Invalid value entered" error="The crossing subtype is not compatible with a crossing type of Open Bottom Structure" sqref="M21" xr:uid="{BBF489AE-FB86-7247-96E5-DFB8165FF72F}">
      <formula1>"Bridge, Pipe Arch, Wood Box Culvert"</formula1>
    </dataValidation>
    <dataValidation type="decimal" allowBlank="1" showInputMessage="1" showErrorMessage="1" errorTitle="Invalid Diamter or Span" error="The Diameter or Span entered is invalid. Diameter or Span must be &gt; 0 and &lt; 100" sqref="N21" xr:uid="{B61A22AC-BB7A-E341-9203-5330C26671F6}">
      <formula1>0.01</formula1>
      <formula2>100</formula2>
    </dataValidation>
    <dataValidation type="list" allowBlank="1" showInputMessage="1" showErrorMessage="1" errorTitle="Invalid value entered" error="The crossing subtype is not compatible with a crossing type of Closed Bottom Structure" sqref="M22" xr:uid="{0DCA339A-6E47-E74D-B7AE-507704353537}">
      <formula1>"Round Culvert,Oval Culvert,Concrete Box"</formula1>
    </dataValidation>
    <dataValidation type="decimal" allowBlank="1" showInputMessage="1" showErrorMessage="1" errorTitle="Invalid Diamter or Span" error="The Diameter or Span entered is invalid. Diameter or Span must be &gt; 0 and &lt; 300" sqref="N22" xr:uid="{6A43E8F8-6087-1441-9DE9-FE67030D1403}">
      <formula1>0.01</formula1>
      <formula2>300</formula2>
    </dataValidation>
    <dataValidation type="list" allowBlank="1" showInputMessage="1" showErrorMessage="1" errorTitle="Invalid value entered" error="The crossing subtype is not compatible with a crossing type of Closed Bottom Structure" sqref="M23" xr:uid="{F2F4E362-267B-114F-8A14-883ED1D7E999}">
      <formula1>"Round Culvert,Oval Culvert,Concrete Box"</formula1>
    </dataValidation>
    <dataValidation type="decimal" allowBlank="1" showInputMessage="1" showErrorMessage="1" errorTitle="Invalid Diamter or Span" error="The Diameter or Span entered is invalid. Diameter or Span must be &gt; 0 and &lt; 300" sqref="N23" xr:uid="{43878210-5F93-EA45-B5AB-936FA5B07D35}">
      <formula1>0.01</formula1>
      <formula2>300</formula2>
    </dataValidation>
    <dataValidation type="list" allowBlank="1" showInputMessage="1" showErrorMessage="1" errorTitle="Invalid value entered" error="The crossing subtype is not compatible with a crossing type of Closed Bottom Structure" sqref="M24" xr:uid="{E9205AEF-C834-074C-AAD0-41A2C3A50F34}">
      <formula1>"Round Culvert,Oval Culvert,Concrete Box"</formula1>
    </dataValidation>
    <dataValidation type="decimal" allowBlank="1" showInputMessage="1" showErrorMessage="1" errorTitle="Invalid Diamter or Span" error="The Diameter or Span entered is invalid. Diameter or Span must be &gt; 0 and &lt; 300" sqref="N24" xr:uid="{0DB65079-AE4C-0044-82BE-AC3C7E28412B}">
      <formula1>0.01</formula1>
      <formula2>300</formula2>
    </dataValidation>
    <dataValidation type="list" allowBlank="1" showInputMessage="1" showErrorMessage="1" errorTitle="Invalid value entered" error="The crossing subtype is not compatible with a crossing type of Closed Bottom Structure" sqref="M25" xr:uid="{C5EDABD0-315E-6542-B20C-F13AE373EA1F}">
      <formula1>"Round Culvert,Oval Culvert,Concrete Box"</formula1>
    </dataValidation>
    <dataValidation type="decimal" allowBlank="1" showInputMessage="1" showErrorMessage="1" errorTitle="Invalid Diamter or Span" error="The Diameter or Span entered is invalid. Diameter or Span must be &gt; 0 and &lt; 300" sqref="N25" xr:uid="{67518321-2691-0744-8FED-F065A7241772}">
      <formula1>0.01</formula1>
      <formula2>300</formula2>
    </dataValidation>
    <dataValidation type="list" allowBlank="1" showInputMessage="1" showErrorMessage="1" errorTitle="Invalid value entered" error="The crossing subtype is not compatible with a crossing type of Closed Bottom Structure" sqref="M26" xr:uid="{1DF26C38-2E26-2542-91CA-E0166DF00BC1}">
      <formula1>"Round Culvert,Oval Culvert,Concrete Box"</formula1>
    </dataValidation>
    <dataValidation type="decimal" allowBlank="1" showInputMessage="1" showErrorMessage="1" errorTitle="Invalid Diamter or Span" error="The Diameter or Span entered is invalid. Diameter or Span must be &gt; 0 and &lt; 300" sqref="N26" xr:uid="{9A09590F-D7AA-1745-8504-24F2C0A67E39}">
      <formula1>0.01</formula1>
      <formula2>300</formula2>
    </dataValidation>
    <dataValidation type="list" allowBlank="1" showInputMessage="1" showErrorMessage="1" errorTitle="Invalid value entered" error="The crossing subtype is not compatible with a crossing type of Closed Bottom Structure" sqref="M27" xr:uid="{A6F0858D-9231-6049-976C-FB43370A9B67}">
      <formula1>"Round Culvert,Oval Culvert,Concrete Box"</formula1>
    </dataValidation>
    <dataValidation type="decimal" allowBlank="1" showInputMessage="1" showErrorMessage="1" errorTitle="Invalid Diamter or Span" error="The Diameter or Span entered is invalid. Diameter or Span must be &gt; 0 and &lt; 300" sqref="N27" xr:uid="{FF11306C-1B7B-194C-81C9-E4756C54EFD6}">
      <formula1>0.01</formula1>
      <formula2>300</formula2>
    </dataValidation>
    <dataValidation type="list" allowBlank="1" showInputMessage="1" showErrorMessage="1" errorTitle="Invalid value entered" error="The crossing subtype is not compatible with a crossing type of Closed Bottom Structure" sqref="M28" xr:uid="{37186BE1-BC1B-C541-9BCE-2EA06A8DEE41}">
      <formula1>"Round Culvert,Oval Culvert,Concrete Box"</formula1>
    </dataValidation>
    <dataValidation type="decimal" allowBlank="1" showInputMessage="1" showErrorMessage="1" errorTitle="Invalid Diamter or Span" error="The Diameter or Span entered is invalid. Diameter or Span must be &gt; 0 and &lt; 300" sqref="N28" xr:uid="{678EA160-8860-DD43-9A2C-0830A218D88C}">
      <formula1>0.01</formula1>
      <formula2>300</formula2>
    </dataValidation>
    <dataValidation type="list" allowBlank="1" showInputMessage="1" showErrorMessage="1" errorTitle="Invalid value entered" error="The crossing subtype is not compatible with a crossing type of Open Bottom Structure" sqref="M29" xr:uid="{AB143D46-28BB-6A4E-872A-A3C5F70BFA35}">
      <formula1>"Bridge, Pipe Arch, Wood Box Culvert"</formula1>
    </dataValidation>
    <dataValidation type="decimal" allowBlank="1" showInputMessage="1" showErrorMessage="1" errorTitle="Invalid Diamter or Span" error="The Diameter or Span entered is invalid. Diameter or Span must be &gt; 0 and &lt; 100" sqref="N29" xr:uid="{C1D288A3-5F10-5245-83C7-D6A61C330405}">
      <formula1>0.01</formula1>
      <formula2>100</formula2>
    </dataValidation>
    <dataValidation type="list" allowBlank="1" showInputMessage="1" showErrorMessage="1" errorTitle="Invalid value entered" error="The crossing subtype is not compatible with a crossing type of Open Bottom Structure" sqref="M30" xr:uid="{ACFC9E60-1E44-7448-BD78-0C16668FDAEF}">
      <formula1>"Bridge, Pipe Arch, Wood Box Culvert"</formula1>
    </dataValidation>
    <dataValidation type="decimal" allowBlank="1" showInputMessage="1" showErrorMessage="1" errorTitle="Invalid Diamter or Span" error="The Diameter or Span entered is invalid. Diameter or Span must be &gt; 0 and &lt; 100" sqref="N30" xr:uid="{85198E6F-7D55-8544-9A21-CDAA26ACEACE}">
      <formula1>0.01</formula1>
      <formula2>100</formula2>
    </dataValidation>
    <dataValidation type="list" allowBlank="1" showInputMessage="1" showErrorMessage="1" errorTitle="Invalid value entered" error="The crossing subtype is not compatible with a crossing type of Closed Bottom Structure" sqref="M31" xr:uid="{C36330A9-2955-9541-919E-D9A3A1F35A10}">
      <formula1>"Round Culvert,Oval Culvert,Concrete Box"</formula1>
    </dataValidation>
    <dataValidation type="decimal" allowBlank="1" showInputMessage="1" showErrorMessage="1" errorTitle="Invalid Diamter or Span" error="The Diameter or Span entered is invalid. Diameter or Span must be &gt; 0 and &lt; 300" sqref="N31" xr:uid="{33F52804-8295-CC46-9D70-77319782381B}">
      <formula1>0.01</formula1>
      <formula2>300</formula2>
    </dataValidation>
    <dataValidation type="list" allowBlank="1" showInputMessage="1" showErrorMessage="1" errorTitle="Invalid value entered" error="The crossing subtype is not compatible with a crossing type of Closed Bottom Structure" sqref="M32" xr:uid="{D8A0124D-D3E2-8E4D-9651-5994C4D595C1}">
      <formula1>"Round Culvert,Oval Culvert,Concrete Box"</formula1>
    </dataValidation>
    <dataValidation type="decimal" allowBlank="1" showInputMessage="1" showErrorMessage="1" errorTitle="Invalid Diamter or Span" error="The Diameter or Span entered is invalid. Diameter or Span must be &gt; 0 and &lt; 300" sqref="N32" xr:uid="{F2D6B164-AB51-0643-80FE-244439121E7A}">
      <formula1>0.01</formula1>
      <formula2>300</formula2>
    </dataValidation>
    <dataValidation type="list" allowBlank="1" showInputMessage="1" showErrorMessage="1" errorTitle="Invalid value entered" error="The crossing subtype is not compatible with a crossing type of Closed Bottom Structure" sqref="M33" xr:uid="{3093C629-CC13-EC4C-AAC4-1F65A354967E}">
      <formula1>"Round Culvert,Oval Culvert,Concrete Box"</formula1>
    </dataValidation>
    <dataValidation type="decimal" allowBlank="1" showInputMessage="1" showErrorMessage="1" errorTitle="Invalid Diamter or Span" error="The Diameter or Span entered is invalid. Diameter or Span must be &gt; 0 and &lt; 300" sqref="N33" xr:uid="{CA85E3A2-E821-2745-9D97-25660A02186B}">
      <formula1>0.01</formula1>
      <formula2>300</formula2>
    </dataValidation>
    <dataValidation type="list" allowBlank="1" showInputMessage="1" showErrorMessage="1" errorTitle="Invalid value entered" error="The crossing subtype is not compatible with a crossing type of Closed Bottom Structure" sqref="M34" xr:uid="{8A998781-0268-9447-ADBC-31BA8649E32E}">
      <formula1>"Round Culvert,Oval Culvert,Concrete Box"</formula1>
    </dataValidation>
    <dataValidation type="decimal" allowBlank="1" showInputMessage="1" showErrorMessage="1" errorTitle="Invalid Diamter or Span" error="The Diameter or Span entered is invalid. Diameter or Span must be &gt; 0 and &lt; 300" sqref="N34" xr:uid="{6003236C-D314-4B44-BDC8-3BC562BF60EE}">
      <formula1>0.01</formula1>
      <formula2>300</formula2>
    </dataValidation>
    <dataValidation type="list" allowBlank="1" showInputMessage="1" showErrorMessage="1" errorTitle="Invalid value entered" error="The crossing subtype is not compatible with a crossing type of Other" sqref="M35" xr:uid="{7A564E41-C66E-A24E-8DA9-7600D5B5D569}">
      <formula1>"Ford"</formula1>
    </dataValidation>
    <dataValidation type="list" allowBlank="1" showInputMessage="1" showErrorMessage="1" errorTitle="Invalid value entered" error="The crossing subtype is not compatible with a crossing type of Closed Bottom Structure" sqref="M36" xr:uid="{AEC0544A-25AA-D746-AA18-3EE5921C7F3C}">
      <formula1>"Round Culvert,Oval Culvert,Concrete Box"</formula1>
    </dataValidation>
    <dataValidation type="decimal" allowBlank="1" showInputMessage="1" showErrorMessage="1" errorTitle="Invalid Diamter or Span" error="The Diameter or Span entered is invalid. Diameter or Span must be &gt; 0 and &lt; 300" sqref="N36" xr:uid="{15777E85-4913-FC40-97E1-7E0C5303D137}">
      <formula1>0.01</formula1>
      <formula2>300</formula2>
    </dataValidation>
    <dataValidation type="list" allowBlank="1" showInputMessage="1" showErrorMessage="1" errorTitle="Invalid value entered" error="The crossing subtype is not compatible with a crossing type of Closed Bottom Structure" sqref="M37" xr:uid="{721EB02F-8B53-9046-9A39-5FA7FC2AE5E6}">
      <formula1>"Round Culvert,Oval Culvert,Concrete Box"</formula1>
    </dataValidation>
    <dataValidation type="decimal" allowBlank="1" showInputMessage="1" showErrorMessage="1" errorTitle="Invalid Diamter or Span" error="The Diameter or Span entered is invalid. Diameter or Span must be &gt; 0 and &lt; 300" sqref="N37" xr:uid="{13B30D33-6E8D-3043-A61A-CC6980619B6F}">
      <formula1>0.01</formula1>
      <formula2>300</formula2>
    </dataValidation>
    <dataValidation type="list" allowBlank="1" showInputMessage="1" showErrorMessage="1" errorTitle="Invalid value entered" error="The crossing subtype is not compatible with a crossing type of Closed Bottom Structure" sqref="M38" xr:uid="{C5EB7758-605D-7D4D-81E0-3C44B33AECE2}">
      <formula1>"Round Culvert,Oval Culvert,Concrete Box"</formula1>
    </dataValidation>
    <dataValidation type="decimal" allowBlank="1" showInputMessage="1" showErrorMessage="1" errorTitle="Invalid Diamter or Span" error="The Diameter or Span entered is invalid. Diameter or Span must be &gt; 0 and &lt; 300" sqref="N38" xr:uid="{8180C9A7-8770-BC4F-8911-CFD4DED0D8E4}">
      <formula1>0.01</formula1>
      <formula2>300</formula2>
    </dataValidation>
    <dataValidation type="list" allowBlank="1" showInputMessage="1" showErrorMessage="1" errorTitle="Invalid value entered" error="The crossing subtype is not compatible with a crossing type of Closed Bottom Structure" sqref="M39" xr:uid="{8830E368-F115-5948-96F1-816BAE31A7E8}">
      <formula1>"Round Culvert,Oval Culvert,Concrete Box"</formula1>
    </dataValidation>
    <dataValidation type="decimal" allowBlank="1" showInputMessage="1" showErrorMessage="1" errorTitle="Invalid Diamter or Span" error="The Diameter or Span entered is invalid. Diameter or Span must be &gt; 0 and &lt; 300" sqref="N39" xr:uid="{66C880D3-9132-AC46-92FC-F30B584E5819}">
      <formula1>0.01</formula1>
      <formula2>300</formula2>
    </dataValidation>
    <dataValidation type="list" allowBlank="1" showInputMessage="1" showErrorMessage="1" errorTitle="Invalid value entered" error="The crossing subtype is not compatible with a crossing type of Closed Bottom Structure" sqref="M40" xr:uid="{17A34B3F-149F-834E-9CDF-E201010C7ADA}">
      <formula1>"Round Culvert,Oval Culvert,Concrete Box"</formula1>
    </dataValidation>
    <dataValidation type="decimal" allowBlank="1" showInputMessage="1" showErrorMessage="1" errorTitle="Invalid Diamter or Span" error="The Diameter or Span entered is invalid. Diameter or Span must be &gt; 0 and &lt; 300" sqref="N40" xr:uid="{1BB2C9A5-7C61-EF47-ABA9-8FFEC6F5B62F}">
      <formula1>0.01</formula1>
      <formula2>300</formula2>
    </dataValidation>
    <dataValidation type="list" allowBlank="1" showInputMessage="1" showErrorMessage="1" errorTitle="Invalid value entered" error="The crossing subtype is not compatible with a crossing type of Closed Bottom Structure" sqref="M41" xr:uid="{DF07C33B-6E53-D841-8DC5-750486DE0405}">
      <formula1>"Round Culvert,Oval Culvert,Concrete Box"</formula1>
    </dataValidation>
    <dataValidation type="decimal" allowBlank="1" showInputMessage="1" showErrorMessage="1" errorTitle="Invalid Diamter or Span" error="The Diameter or Span entered is invalid. Diameter or Span must be &gt; 0 and &lt; 300" sqref="N41" xr:uid="{8E1F3766-0457-0E47-997C-7E67B933EB9A}">
      <formula1>0.01</formula1>
      <formula2>300</formula2>
    </dataValidation>
    <dataValidation type="list" allowBlank="1" showInputMessage="1" showErrorMessage="1" errorTitle="Invalid value entered" error="The crossing subtype is not compatible with a crossing type of Closed Bottom Structure" sqref="M42" xr:uid="{4D94DC84-5635-684A-AF54-19505CC182F3}">
      <formula1>"Round Culvert,Oval Culvert,Concrete Box"</formula1>
    </dataValidation>
    <dataValidation type="decimal" allowBlank="1" showInputMessage="1" showErrorMessage="1" errorTitle="Invalid Diamter or Span" error="The Diameter or Span entered is invalid. Diameter or Span must be &gt; 0 and &lt; 300" sqref="N42" xr:uid="{AF5A4C04-F288-4049-AE41-3F3620CEEFEF}">
      <formula1>0.01</formula1>
      <formula2>300</formula2>
    </dataValidation>
    <dataValidation type="list" allowBlank="1" showInputMessage="1" showErrorMessage="1" errorTitle="Invalid value entered" error="The crossing subtype is not compatible with a crossing type of Closed Bottom Structure" sqref="M43" xr:uid="{17FF4720-5633-ED4F-B455-A6E77DD1C8C9}">
      <formula1>"Round Culvert,Oval Culvert,Concrete Box"</formula1>
    </dataValidation>
    <dataValidation type="decimal" allowBlank="1" showInputMessage="1" showErrorMessage="1" errorTitle="Invalid Diamter or Span" error="The Diameter or Span entered is invalid. Diameter or Span must be &gt; 0 and &lt; 300" sqref="N43" xr:uid="{D1C91951-CA1F-7140-BB10-0BA88ABF8F56}">
      <formula1>0.01</formula1>
      <formula2>300</formula2>
    </dataValidation>
    <dataValidation type="list" allowBlank="1" showInputMessage="1" showErrorMessage="1" errorTitle="Invalid value entered" error="The crossing subtype is not compatible with a crossing type of Closed Bottom Structure" sqref="M44" xr:uid="{13020EF4-958C-8646-81BE-6520BF8CC670}">
      <formula1>"Round Culvert,Oval Culvert,Concrete Box"</formula1>
    </dataValidation>
    <dataValidation type="decimal" allowBlank="1" showInputMessage="1" showErrorMessage="1" errorTitle="Invalid Diamter or Span" error="The Diameter or Span entered is invalid. Diameter or Span must be &gt; 0 and &lt; 300" sqref="N44" xr:uid="{037DD863-289A-D543-BE5B-D1318D280637}">
      <formula1>0.01</formula1>
      <formula2>300</formula2>
    </dataValidation>
    <dataValidation type="list" allowBlank="1" showInputMessage="1" showErrorMessage="1" errorTitle="Invalid value entered" error="The crossing subtype is not compatible with a crossing type of Closed Bottom Structure" sqref="M45" xr:uid="{2518A870-7A87-CB4D-8E1B-A9B04562D23A}">
      <formula1>"Round Culvert,Oval Culvert,Concrete Box"</formula1>
    </dataValidation>
    <dataValidation type="decimal" allowBlank="1" showInputMessage="1" showErrorMessage="1" errorTitle="Invalid Diamter or Span" error="The Diameter or Span entered is invalid. Diameter or Span must be &gt; 0 and &lt; 300" sqref="N45" xr:uid="{EEE0906A-94E7-524A-8E41-BCFA7AF14154}">
      <formula1>0.01</formula1>
      <formula2>300</formula2>
    </dataValidation>
    <dataValidation type="list" allowBlank="1" showInputMessage="1" showErrorMessage="1" errorTitle="Invalid value entered" error="The crossing subtype is not compatible with a crossing type of Closed Bottom Structure" sqref="M46" xr:uid="{67513117-2A72-9943-9BF7-5F7CD7162D38}">
      <formula1>"Round Culvert,Oval Culvert,Concrete Box"</formula1>
    </dataValidation>
    <dataValidation type="decimal" allowBlank="1" showInputMessage="1" showErrorMessage="1" errorTitle="Invalid Diamter or Span" error="The Diameter or Span entered is invalid. Diameter or Span must be &gt; 0 and &lt; 300" sqref="N46" xr:uid="{36C325A0-49B8-184E-BC19-1AF5E7FE5E4A}">
      <formula1>0.01</formula1>
      <formula2>300</formula2>
    </dataValidation>
    <dataValidation type="list" allowBlank="1" showInputMessage="1" showErrorMessage="1" errorTitle="Invalid value entered" error="The crossing subtype is not compatible with a crossing type of Closed Bottom Structure" sqref="M47" xr:uid="{B1B550E8-7F77-0842-912F-B7B872CA3252}">
      <formula1>"Round Culvert,Oval Culvert,Concrete Box"</formula1>
    </dataValidation>
    <dataValidation type="decimal" allowBlank="1" showInputMessage="1" showErrorMessage="1" errorTitle="Invalid Diamter or Span" error="The Diameter or Span entered is invalid. Diameter or Span must be &gt; 0 and &lt; 300" sqref="N47" xr:uid="{F1334D85-9DD7-AD46-AE83-CAD34B24B752}">
      <formula1>0.01</formula1>
      <formula2>300</formula2>
    </dataValidation>
    <dataValidation type="list" allowBlank="1" showInputMessage="1" showErrorMessage="1" errorTitle="Invalid value entered" error="The crossing subtype is not compatible with a crossing type of Closed Bottom Structure" sqref="M48" xr:uid="{75714921-851C-C14A-8C31-2621F5723144}">
      <formula1>"Round Culvert,Oval Culvert,Concrete Box"</formula1>
    </dataValidation>
    <dataValidation type="decimal" allowBlank="1" showInputMessage="1" showErrorMessage="1" errorTitle="Invalid Diamter or Span" error="The Diameter or Span entered is invalid. Diameter or Span must be &gt; 0 and &lt; 300" sqref="N48" xr:uid="{6C97CB12-4A46-4E46-94FC-AAF7F093E042}">
      <formula1>0.01</formula1>
      <formula2>300</formula2>
    </dataValidation>
    <dataValidation type="list" allowBlank="1" showInputMessage="1" showErrorMessage="1" errorTitle="Invalid value entered" error="The crossing subtype is not compatible with a crossing type of Closed Bottom Structure" sqref="M49" xr:uid="{44013A06-ACBA-574F-AB14-62A0AC1E2161}">
      <formula1>"Round Culvert,Oval Culvert,Concrete Box"</formula1>
    </dataValidation>
    <dataValidation type="decimal" allowBlank="1" showInputMessage="1" showErrorMessage="1" errorTitle="Invalid Diamter or Span" error="The Diameter or Span entered is invalid. Diameter or Span must be &gt; 0 and &lt; 300" sqref="N49" xr:uid="{84989FC7-D28A-604C-BB8B-196E1220FC92}">
      <formula1>0.01</formula1>
      <formula2>300</formula2>
    </dataValidation>
    <dataValidation type="list" allowBlank="1" showInputMessage="1" showErrorMessage="1" errorTitle="Invalid value entered" error="The crossing subtype is not compatible with a crossing type of Closed Bottom Structure" sqref="M50" xr:uid="{074008DD-C1A3-BA4E-8D4A-3DF117DCAF1C}">
      <formula1>"Round Culvert,Oval Culvert,Concrete Box"</formula1>
    </dataValidation>
    <dataValidation type="decimal" allowBlank="1" showInputMessage="1" showErrorMessage="1" errorTitle="Invalid Diamter or Span" error="The Diameter or Span entered is invalid. Diameter or Span must be &gt; 0 and &lt; 300" sqref="N50" xr:uid="{A930AB09-0B7A-9243-BE80-FCEFDEE0F240}">
      <formula1>0.01</formula1>
      <formula2>300</formula2>
    </dataValidation>
    <dataValidation type="list" allowBlank="1" showInputMessage="1" showErrorMessage="1" errorTitle="Invalid value entered" error="The crossing subtype is not compatible with a crossing type of Closed Bottom Structure" sqref="M51" xr:uid="{6EBE05DF-4E32-9048-BE6C-B3D6880A74D4}">
      <formula1>"Round Culvert,Oval Culvert,Concrete Box"</formula1>
    </dataValidation>
    <dataValidation type="decimal" allowBlank="1" showInputMessage="1" showErrorMessage="1" errorTitle="Invalid Diamter or Span" error="The Diameter or Span entered is invalid. Diameter or Span must be &gt; 0 and &lt; 300" sqref="N51" xr:uid="{0F5C3EE9-163D-5548-985E-5AC97EB2732B}">
      <formula1>0.01</formula1>
      <formula2>300</formula2>
    </dataValidation>
    <dataValidation type="list" allowBlank="1" showInputMessage="1" showErrorMessage="1" errorTitle="Invalid value entered" error="The crossing subtype is not compatible with a crossing type of Closed Bottom Structure" sqref="M52" xr:uid="{DDF56977-5288-0E48-87F9-F4F602D6F083}">
      <formula1>"Round Culvert,Oval Culvert,Concrete Box"</formula1>
    </dataValidation>
    <dataValidation type="decimal" allowBlank="1" showInputMessage="1" showErrorMessage="1" errorTitle="Invalid Diamter or Span" error="The Diameter or Span entered is invalid. Diameter or Span must be &gt; 0 and &lt; 300" sqref="N52" xr:uid="{A64794B4-4398-2742-8B1E-410EE3D36AEC}">
      <formula1>0.01</formula1>
      <formula2>300</formula2>
    </dataValidation>
    <dataValidation type="list" allowBlank="1" showInputMessage="1" showErrorMessage="1" errorTitle="Invalid value entered" error="The crossing subtype is not compatible with a crossing type of Closed Bottom Structure" sqref="M53" xr:uid="{7AAF9BE6-CBF3-4B40-A103-429975CFF2A3}">
      <formula1>"Round Culvert,Oval Culvert,Concrete Box"</formula1>
    </dataValidation>
    <dataValidation type="decimal" allowBlank="1" showInputMessage="1" showErrorMessage="1" errorTitle="Invalid Diamter or Span" error="The Diameter or Span entered is invalid. Diameter or Span must be &gt; 0 and &lt; 300" sqref="N53" xr:uid="{1553D24D-4877-DF48-B56C-F43D15513E28}">
      <formula1>0.01</formula1>
      <formula2>300</formula2>
    </dataValidation>
    <dataValidation type="list" allowBlank="1" showInputMessage="1" showErrorMessage="1" errorTitle="Invalid value entered" error="The crossing subtype is not compatible with a crossing type of Closed Bottom Structure" sqref="M54" xr:uid="{EC9F335C-394F-3049-81A0-4C545DF952D4}">
      <formula1>"Round Culvert,Oval Culvert,Concrete Box"</formula1>
    </dataValidation>
    <dataValidation type="decimal" allowBlank="1" showInputMessage="1" showErrorMessage="1" errorTitle="Invalid Diamter or Span" error="The Diameter or Span entered is invalid. Diameter or Span must be &gt; 0 and &lt; 300" sqref="N54" xr:uid="{A6E4672F-5F61-E04D-AD94-DEEB5AB02AB4}">
      <formula1>0.01</formula1>
      <formula2>300</formula2>
    </dataValidation>
    <dataValidation type="list" allowBlank="1" showInputMessage="1" showErrorMessage="1" errorTitle="Invalid value entered" error="The crossing subtype is not compatible with a crossing type of Closed Bottom Structure" sqref="M55" xr:uid="{BED41AE7-2840-F245-9B0F-450D1227A06D}">
      <formula1>"Round Culvert,Oval Culvert,Concrete Box"</formula1>
    </dataValidation>
    <dataValidation type="decimal" allowBlank="1" showInputMessage="1" showErrorMessage="1" errorTitle="Invalid Diamter or Span" error="The Diameter or Span entered is invalid. Diameter or Span must be &gt; 0 and &lt; 300" sqref="N55" xr:uid="{DDAC7D7C-A836-DE4C-8D57-758B690EF382}">
      <formula1>0.01</formula1>
      <formula2>300</formula2>
    </dataValidation>
    <dataValidation type="list" allowBlank="1" showInputMessage="1" showErrorMessage="1" errorTitle="Invalid value entered" error="The crossing subtype is not compatible with a crossing type of Closed Bottom Structure" sqref="M56" xr:uid="{CC315AC6-DB61-274D-B6C4-A188FAD9547C}">
      <formula1>"Round Culvert,Oval Culvert,Concrete Box"</formula1>
    </dataValidation>
    <dataValidation type="decimal" allowBlank="1" showInputMessage="1" showErrorMessage="1" errorTitle="Invalid Diamter or Span" error="The Diameter or Span entered is invalid. Diameter or Span must be &gt; 0 and &lt; 300" sqref="N56" xr:uid="{7428AE0B-6349-494E-BD43-33D8F57C9BBB}">
      <formula1>0.01</formula1>
      <formula2>300</formula2>
    </dataValidation>
    <dataValidation type="list" allowBlank="1" showInputMessage="1" showErrorMessage="1" errorTitle="Invalid value entered" error="The crossing subtype is not compatible with a crossing type of Closed Bottom Structure" sqref="M57" xr:uid="{16F8F04F-C54C-EF4E-B08E-3C33EE9BA6E1}">
      <formula1>"Round Culvert,Oval Culvert,Concrete Box"</formula1>
    </dataValidation>
    <dataValidation type="decimal" allowBlank="1" showInputMessage="1" showErrorMessage="1" errorTitle="Invalid Diamter or Span" error="The Diameter or Span entered is invalid. Diameter or Span must be &gt; 0 and &lt; 300" sqref="N57" xr:uid="{A341BA46-E89E-884C-9B76-3A02884E8691}">
      <formula1>0.01</formula1>
      <formula2>300</formula2>
    </dataValidation>
    <dataValidation type="list" allowBlank="1" showInputMessage="1" showErrorMessage="1" errorTitle="Invalid value entered" error="The crossing subtype is not compatible with a crossing type of Other" sqref="M58" xr:uid="{48724F1E-2E97-F648-B6BE-7CEA75C46792}">
      <formula1>"Ford"</formula1>
    </dataValidation>
    <dataValidation type="list" allowBlank="1" showInputMessage="1" showErrorMessage="1" errorTitle="Invalid value entered" error="The crossing subtype is not compatible with a crossing type of Closed Bottom Structure" sqref="M59" xr:uid="{914E7F3A-988E-5246-A909-435EF3974E66}">
      <formula1>"Round Culvert,Oval Culvert,Concrete Box"</formula1>
    </dataValidation>
    <dataValidation type="decimal" allowBlank="1" showInputMessage="1" showErrorMessage="1" errorTitle="Invalid Diamter or Span" error="The Diameter or Span entered is invalid. Diameter or Span must be &gt; 0 and &lt; 300" sqref="N59" xr:uid="{3EDC9159-BE0E-8C48-BFDB-B2B64B6595BD}">
      <formula1>0.01</formula1>
      <formula2>300</formula2>
    </dataValidation>
    <dataValidation type="list" allowBlank="1" showInputMessage="1" showErrorMessage="1" errorTitle="Invalid value entered" error="The crossing subtype is not compatible with a crossing type of Open Bottom Structure" sqref="M60" xr:uid="{B4485C52-AA7F-C740-A2EC-AC9F7A1A0281}">
      <formula1>"Bridge, Pipe Arch, Wood Box Culvert"</formula1>
    </dataValidation>
    <dataValidation type="decimal" allowBlank="1" showInputMessage="1" showErrorMessage="1" errorTitle="Invalid Diamter or Span" error="The Diameter or Span entered is invalid. Diameter or Span must be &gt; 0 and &lt; 100" sqref="N60" xr:uid="{66B41A6A-A38B-5543-9843-F2CE36D78D06}">
      <formula1>0.01</formula1>
      <formula2>100</formula2>
    </dataValidation>
    <dataValidation type="list" allowBlank="1" showInputMessage="1" showErrorMessage="1" errorTitle="Invalid value entered" error="The crossing subtype is not compatible with a crossing type of Closed Bottom Structure" sqref="M61" xr:uid="{9B09DF6D-2F50-4145-A88D-936088B3E862}">
      <formula1>"Round Culvert,Oval Culvert,Concrete Box"</formula1>
    </dataValidation>
    <dataValidation type="decimal" allowBlank="1" showInputMessage="1" showErrorMessage="1" errorTitle="Invalid Diamter or Span" error="The Diameter or Span entered is invalid. Diameter or Span must be &gt; 0 and &lt; 300" sqref="N61" xr:uid="{096B327B-36D8-9449-83F7-ED51F9CC5DC0}">
      <formula1>0.01</formula1>
      <formula2>300</formula2>
    </dataValidation>
    <dataValidation type="list" allowBlank="1" showInputMessage="1" showErrorMessage="1" errorTitle="Invalid value entered" error="The crossing subtype is not compatible with a crossing type of Closed Bottom Structure" sqref="M62" xr:uid="{D8D37B3F-12CF-5F4E-B993-43E4485A0EBF}">
      <formula1>"Round Culvert,Oval Culvert,Concrete Box"</formula1>
    </dataValidation>
    <dataValidation type="decimal" allowBlank="1" showInputMessage="1" showErrorMessage="1" errorTitle="Invalid Diamter or Span" error="The Diameter or Span entered is invalid. Diameter or Span must be &gt; 0 and &lt; 300" sqref="N62" xr:uid="{2C325E13-292A-3048-94E3-6BD42595172C}">
      <formula1>0.01</formula1>
      <formula2>300</formula2>
    </dataValidation>
    <dataValidation type="list" allowBlank="1" showInputMessage="1" showErrorMessage="1" errorTitle="Invalid value entered" error="The crossing subtype is not compatible with a crossing type of Closed Bottom Structure" sqref="M63" xr:uid="{55FE2158-0772-094A-9E16-FA74BAE68623}">
      <formula1>"Round Culvert,Oval Culvert,Concrete Box"</formula1>
    </dataValidation>
    <dataValidation type="decimal" allowBlank="1" showInputMessage="1" showErrorMessage="1" errorTitle="Invalid Diamter or Span" error="The Diameter or Span entered is invalid. Diameter or Span must be &gt; 0 and &lt; 300" sqref="N63" xr:uid="{96137DF7-DCD3-A148-B3D8-81F5C1A37F22}">
      <formula1>0.01</formula1>
      <formula2>300</formula2>
    </dataValidation>
    <dataValidation type="list" allowBlank="1" showInputMessage="1" showErrorMessage="1" errorTitle="Invalid value entered" error="The crossing subtype is not compatible with a crossing type of Closed Bottom Structure" sqref="M64" xr:uid="{70891242-C007-B94C-9D1F-3444694EC79C}">
      <formula1>"Round Culvert,Oval Culvert,Concrete Box"</formula1>
    </dataValidation>
    <dataValidation type="decimal" allowBlank="1" showInputMessage="1" showErrorMessage="1" errorTitle="Invalid Diamter or Span" error="The Diameter or Span entered is invalid. Diameter or Span must be &gt; 0 and &lt; 300" sqref="N64" xr:uid="{CD1ABBE3-A1EB-D648-A448-37A69A7BD719}">
      <formula1>0.01</formula1>
      <formula2>300</formula2>
    </dataValidation>
    <dataValidation type="list" allowBlank="1" showInputMessage="1" showErrorMessage="1" errorTitle="Invalid value entered" error="The crossing subtype is not compatible with a crossing type of Closed Bottom Structure" sqref="M65" xr:uid="{A8E3E2D1-F567-3D4B-B6BF-A632220A9C57}">
      <formula1>"Round Culvert,Oval Culvert,Concrete Box"</formula1>
    </dataValidation>
    <dataValidation type="decimal" allowBlank="1" showInputMessage="1" showErrorMessage="1" errorTitle="Invalid Diamter or Span" error="The Diameter or Span entered is invalid. Diameter or Span must be &gt; 0 and &lt; 300" sqref="N65" xr:uid="{E12CF059-F9BA-F047-B37A-CA5349228AB0}">
      <formula1>0.01</formula1>
      <formula2>300</formula2>
    </dataValidation>
    <dataValidation type="list" allowBlank="1" showInputMessage="1" showErrorMessage="1" errorTitle="Invalid value entered" error="The crossing subtype is not compatible with a crossing type of Closed Bottom Structure" sqref="M66" xr:uid="{EFBAA356-3BA0-9B4F-9A56-869831616E81}">
      <formula1>"Round Culvert,Oval Culvert,Concrete Box"</formula1>
    </dataValidation>
    <dataValidation type="decimal" allowBlank="1" showInputMessage="1" showErrorMessage="1" errorTitle="Invalid Diamter or Span" error="The Diameter or Span entered is invalid. Diameter or Span must be &gt; 0 and &lt; 300" sqref="N66" xr:uid="{E0066736-7F86-A54D-BFA3-A7F5FD464D0F}">
      <formula1>0.01</formula1>
      <formula2>300</formula2>
    </dataValidation>
    <dataValidation type="list" allowBlank="1" showInputMessage="1" showErrorMessage="1" errorTitle="Invalid value entered" error="The crossing subtype is not compatible with a crossing type of Closed Bottom Structure" sqref="M67" xr:uid="{27C25EE2-8247-EA4E-9763-A2462757E7A0}">
      <formula1>"Round Culvert,Oval Culvert,Concrete Box"</formula1>
    </dataValidation>
    <dataValidation type="decimal" allowBlank="1" showInputMessage="1" showErrorMessage="1" errorTitle="Invalid Diamter or Span" error="The Diameter or Span entered is invalid. Diameter or Span must be &gt; 0 and &lt; 300" sqref="N67" xr:uid="{491686D8-0611-DF48-8B79-684EE1651F69}">
      <formula1>0.01</formula1>
      <formula2>300</formula2>
    </dataValidation>
    <dataValidation type="list" allowBlank="1" showInputMessage="1" showErrorMessage="1" errorTitle="Invalid value entered" error="The crossing subtype is not compatible with a crossing type of Closed Bottom Structure" sqref="M68" xr:uid="{795C6610-FF75-B44D-8598-DDE140A5DF4E}">
      <formula1>"Round Culvert,Oval Culvert,Concrete Box"</formula1>
    </dataValidation>
    <dataValidation type="decimal" allowBlank="1" showInputMessage="1" showErrorMessage="1" errorTitle="Invalid Diamter or Span" error="The Diameter or Span entered is invalid. Diameter or Span must be &gt; 0 and &lt; 300" sqref="N68" xr:uid="{14C4BC0A-14A7-A546-8E5A-23A562A358E7}">
      <formula1>0.01</formula1>
      <formula2>300</formula2>
    </dataValidation>
    <dataValidation type="list" allowBlank="1" showInputMessage="1" showErrorMessage="1" errorTitle="Invalid value entered" error="The crossing subtype is not compatible with a crossing type of Closed Bottom Structure" sqref="M69" xr:uid="{154BF793-26EA-AA43-AE5A-FFF4A07493D0}">
      <formula1>"Round Culvert,Oval Culvert,Concrete Box"</formula1>
    </dataValidation>
    <dataValidation type="decimal" allowBlank="1" showInputMessage="1" showErrorMessage="1" errorTitle="Invalid Diamter or Span" error="The Diameter or Span entered is invalid. Diameter or Span must be &gt; 0 and &lt; 300" sqref="N69" xr:uid="{4EE6B94C-58AB-5543-92AA-873B80BF91E2}">
      <formula1>0.01</formula1>
      <formula2>300</formula2>
    </dataValidation>
    <dataValidation type="list" allowBlank="1" showInputMessage="1" showErrorMessage="1" errorTitle="Invalid value entered" error="The crossing subtype is not compatible with a crossing type of Closed Bottom Structure" sqref="M70" xr:uid="{39E47272-5602-4B48-AFA4-A956F2A2EA65}">
      <formula1>"Round Culvert,Oval Culvert,Concrete Box"</formula1>
    </dataValidation>
    <dataValidation type="decimal" allowBlank="1" showInputMessage="1" showErrorMessage="1" errorTitle="Invalid Diamter or Span" error="The Diameter or Span entered is invalid. Diameter or Span must be &gt; 0 and &lt; 300" sqref="N70" xr:uid="{F7DA12CF-2333-BD4B-AC2A-D7E1566FF105}">
      <formula1>0.01</formula1>
      <formula2>300</formula2>
    </dataValidation>
    <dataValidation type="list" allowBlank="1" showInputMessage="1" showErrorMessage="1" errorTitle="Invalid value entered" error="The crossing subtype is not compatible with a crossing type of Other" sqref="M71" xr:uid="{DC028301-8551-EF4F-85F4-307D815894E9}">
      <formula1>"Ford"</formula1>
    </dataValidation>
    <dataValidation type="list" allowBlank="1" showInputMessage="1" showErrorMessage="1" errorTitle="Invalid value entered" error="The crossing subtype is not compatible with a crossing type of Closed Bottom Structure" sqref="M72" xr:uid="{22A4EADB-00F1-DB4C-8751-F08EFC65C825}">
      <formula1>"Round Culvert,Oval Culvert,Concrete Box"</formula1>
    </dataValidation>
    <dataValidation type="decimal" allowBlank="1" showInputMessage="1" showErrorMessage="1" errorTitle="Invalid Diamter or Span" error="The Diameter or Span entered is invalid. Diameter or Span must be &gt; 0 and &lt; 300" sqref="N72" xr:uid="{1FD7D38C-43B9-5842-BA12-C309D66E8EAB}">
      <formula1>0.01</formula1>
      <formula2>300</formula2>
    </dataValidation>
    <dataValidation type="list" allowBlank="1" showInputMessage="1" showErrorMessage="1" errorTitle="Invalid value entered" error="The crossing subtype is not compatible with a crossing type of Closed Bottom Structure" sqref="M73" xr:uid="{344843F5-F69D-CE46-878B-EAA5689DCD82}">
      <formula1>"Round Culvert,Oval Culvert,Concrete Box"</formula1>
    </dataValidation>
    <dataValidation type="decimal" allowBlank="1" showInputMessage="1" showErrorMessage="1" errorTitle="Invalid Diamter or Span" error="The Diameter or Span entered is invalid. Diameter or Span must be &gt; 0 and &lt; 300" sqref="N73" xr:uid="{5AC69758-CE02-A046-B2E1-81F6E23A103C}">
      <formula1>0.01</formula1>
      <formula2>300</formula2>
    </dataValidation>
    <dataValidation type="list" allowBlank="1" showInputMessage="1" showErrorMessage="1" errorTitle="Invalid value entered" error="The crossing subtype is not compatible with a crossing type of Closed Bottom Structure" sqref="M74" xr:uid="{875E078C-53BA-4147-A46F-08D3090ABDED}">
      <formula1>"Round Culvert,Oval Culvert,Concrete Box"</formula1>
    </dataValidation>
    <dataValidation type="decimal" allowBlank="1" showInputMessage="1" showErrorMessage="1" errorTitle="Invalid Diamter or Span" error="The Diameter or Span entered is invalid. Diameter or Span must be &gt; 0 and &lt; 300" sqref="N74" xr:uid="{A3A2F3B3-F571-AF43-BAC7-D5924105A725}">
      <formula1>0.01</formula1>
      <formula2>300</formula2>
    </dataValidation>
    <dataValidation type="list" allowBlank="1" showInputMessage="1" showErrorMessage="1" errorTitle="Invalid value entered" error="The crossing subtype is not compatible with a crossing type of Closed Bottom Structure" sqref="M75" xr:uid="{8689B7F5-4FB9-2244-A4AE-7CCA73721889}">
      <formula1>"Round Culvert,Oval Culvert,Concrete Box"</formula1>
    </dataValidation>
    <dataValidation type="decimal" allowBlank="1" showInputMessage="1" showErrorMessage="1" errorTitle="Invalid Diamter or Span" error="The Diameter or Span entered is invalid. Diameter or Span must be &gt; 0 and &lt; 300" sqref="N75" xr:uid="{221EB12E-1D03-2A4C-BC1F-716FEBAD5ED4}">
      <formula1>0.01</formula1>
      <formula2>300</formula2>
    </dataValidation>
    <dataValidation type="list" allowBlank="1" showInputMessage="1" showErrorMessage="1" errorTitle="Invalid value entered" error="The crossing subtype is not compatible with a crossing type of Closed Bottom Structure" sqref="M76" xr:uid="{05F3579B-07F9-9245-9185-9F0D5AA3F75C}">
      <formula1>"Round Culvert,Oval Culvert,Concrete Box"</formula1>
    </dataValidation>
    <dataValidation type="decimal" allowBlank="1" showInputMessage="1" showErrorMessage="1" errorTitle="Invalid Diamter or Span" error="The Diameter or Span entered is invalid. Diameter or Span must be &gt; 0 and &lt; 300" sqref="N76" xr:uid="{47A1A0CF-93DF-844E-BC39-A55D408C9721}">
      <formula1>0.01</formula1>
      <formula2>300</formula2>
    </dataValidation>
    <dataValidation type="list" allowBlank="1" showInputMessage="1" showErrorMessage="1" errorTitle="Invalid value entered" error="The crossing subtype is not compatible with a crossing type of Closed Bottom Structure" sqref="M77" xr:uid="{846D5947-AA5B-4845-9E90-A809845D7ED9}">
      <formula1>"Round Culvert,Oval Culvert,Concrete Box"</formula1>
    </dataValidation>
    <dataValidation type="decimal" allowBlank="1" showInputMessage="1" showErrorMessage="1" errorTitle="Invalid Diamter or Span" error="The Diameter or Span entered is invalid. Diameter or Span must be &gt; 0 and &lt; 300" sqref="N77" xr:uid="{1E88D9C8-65CB-974A-8C87-65EF3B57843F}">
      <formula1>0.01</formula1>
      <formula2>300</formula2>
    </dataValidation>
    <dataValidation type="list" allowBlank="1" showInputMessage="1" showErrorMessage="1" errorTitle="Invalid value entered" error="The crossing subtype is not compatible with a crossing type of Closed Bottom Structure" sqref="M78" xr:uid="{C1440CAC-C164-3D41-BA71-171168502CDD}">
      <formula1>"Round Culvert,Oval Culvert,Concrete Box"</formula1>
    </dataValidation>
    <dataValidation type="decimal" allowBlank="1" showInputMessage="1" showErrorMessage="1" errorTitle="Invalid Diamter or Span" error="The Diameter or Span entered is invalid. Diameter or Span must be &gt; 0 and &lt; 300" sqref="N78" xr:uid="{15490214-2C88-B342-9721-7D5078BF894B}">
      <formula1>0.01</formula1>
      <formula2>300</formula2>
    </dataValidation>
    <dataValidation type="list" allowBlank="1" showInputMessage="1" showErrorMessage="1" errorTitle="Invalid value entered" error="The crossing subtype is not compatible with a crossing type of Closed Bottom Structure" sqref="M79" xr:uid="{84AF7FB1-CD7E-724F-95E6-2A2A2F439D34}">
      <formula1>"Round Culvert,Oval Culvert,Concrete Box"</formula1>
    </dataValidation>
    <dataValidation type="decimal" allowBlank="1" showInputMessage="1" showErrorMessage="1" errorTitle="Invalid Diamter or Span" error="The Diameter or Span entered is invalid. Diameter or Span must be &gt; 0 and &lt; 300" sqref="N79" xr:uid="{B55C9D7F-1B2E-244A-BDDF-B42E781B94AA}">
      <formula1>0.01</formula1>
      <formula2>300</formula2>
    </dataValidation>
    <dataValidation type="list" allowBlank="1" showInputMessage="1" showErrorMessage="1" errorTitle="Invalid value entered" error="The crossing subtype is not compatible with a crossing type of Closed Bottom Structure" sqref="M80" xr:uid="{AA9650AE-0009-A543-A1DA-5B689D1F99CE}">
      <formula1>"Round Culvert,Oval Culvert,Concrete Box"</formula1>
    </dataValidation>
    <dataValidation type="decimal" allowBlank="1" showInputMessage="1" showErrorMessage="1" errorTitle="Invalid Diamter or Span" error="The Diameter or Span entered is invalid. Diameter or Span must be &gt; 0 and &lt; 300" sqref="N80" xr:uid="{6BEF82ED-410E-3C46-8538-506FD9F8C2CB}">
      <formula1>0.01</formula1>
      <formula2>300</formula2>
    </dataValidation>
    <dataValidation type="list" allowBlank="1" showInputMessage="1" showErrorMessage="1" errorTitle="Invalid value entered" error="The crossing subtype is not compatible with a crossing type of Closed Bottom Structure" sqref="M81" xr:uid="{845B9B2B-1E80-704C-A372-79B46633D5FA}">
      <formula1>"Round Culvert,Oval Culvert,Concrete Box"</formula1>
    </dataValidation>
    <dataValidation type="decimal" allowBlank="1" showInputMessage="1" showErrorMessage="1" errorTitle="Invalid Diamter or Span" error="The Diameter or Span entered is invalid. Diameter or Span must be &gt; 0 and &lt; 300" sqref="N81" xr:uid="{B6CDC08E-1ED0-A543-95E5-3464A7569A41}">
      <formula1>0.01</formula1>
      <formula2>300</formula2>
    </dataValidation>
    <dataValidation type="list" allowBlank="1" showInputMessage="1" showErrorMessage="1" errorTitle="Invalid value entered" error="The crossing subtype is not compatible with a crossing type of Closed Bottom Structure" sqref="M82" xr:uid="{E7F7199D-ADFF-894E-83F5-43A082979E86}">
      <formula1>"Round Culvert,Oval Culvert,Concrete Box"</formula1>
    </dataValidation>
    <dataValidation type="decimal" allowBlank="1" showInputMessage="1" showErrorMessage="1" errorTitle="Invalid Diamter or Span" error="The Diameter or Span entered is invalid. Diameter or Span must be &gt; 0 and &lt; 300" sqref="N82" xr:uid="{5EDB6585-317B-344D-B294-835610B2D583}">
      <formula1>0.01</formula1>
      <formula2>300</formula2>
    </dataValidation>
    <dataValidation type="list" allowBlank="1" showInputMessage="1" showErrorMessage="1" errorTitle="Invalid value entered" error="The crossing subtype is not compatible with a crossing type of Closed Bottom Structure" sqref="M83" xr:uid="{98049E44-4ECA-CF4C-865F-F3DA735F900C}">
      <formula1>"Round Culvert,Oval Culvert,Concrete Box"</formula1>
    </dataValidation>
    <dataValidation type="decimal" allowBlank="1" showInputMessage="1" showErrorMessage="1" errorTitle="Invalid Diamter or Span" error="The Diameter or Span entered is invalid. Diameter or Span must be &gt; 0 and &lt; 300" sqref="N83" xr:uid="{993CC393-6123-5E4A-9E8F-0D21500F3EDD}">
      <formula1>0.01</formula1>
      <formula2>300</formula2>
    </dataValidation>
    <dataValidation type="list" allowBlank="1" showInputMessage="1" showErrorMessage="1" errorTitle="Invalid value entered" error="The crossing subtype is not compatible with a crossing type of Closed Bottom Structure" sqref="M84" xr:uid="{CECE7723-7093-EB41-8919-3C3FB1C5FE96}">
      <formula1>"Round Culvert,Oval Culvert,Concrete Box"</formula1>
    </dataValidation>
    <dataValidation type="decimal" allowBlank="1" showInputMessage="1" showErrorMessage="1" errorTitle="Invalid Diamter or Span" error="The Diameter or Span entered is invalid. Diameter or Span must be &gt; 0 and &lt; 300" sqref="N84" xr:uid="{4C38E5A2-E6ED-2644-93CD-854BFE4F90A0}">
      <formula1>0.01</formula1>
      <formula2>300</formula2>
    </dataValidation>
    <dataValidation type="list" allowBlank="1" showInputMessage="1" showErrorMessage="1" errorTitle="Invalid value entered" error="The crossing subtype is not compatible with a crossing type of Closed Bottom Structure" sqref="M85" xr:uid="{771DAB34-BCF0-3846-8CEE-1AC5DCD02FA4}">
      <formula1>"Round Culvert,Oval Culvert,Concrete Box"</formula1>
    </dataValidation>
    <dataValidation type="decimal" allowBlank="1" showInputMessage="1" showErrorMessage="1" errorTitle="Invalid Diamter or Span" error="The Diameter or Span entered is invalid. Diameter or Span must be &gt; 0 and &lt; 300" sqref="N85" xr:uid="{86D1AF03-ED33-864F-AE50-61167F249D37}">
      <formula1>0.01</formula1>
      <formula2>300</formula2>
    </dataValidation>
    <dataValidation type="list" allowBlank="1" showInputMessage="1" showErrorMessage="1" errorTitle="Invalid value entered" error="The crossing subtype is not compatible with a crossing type of Closed Bottom Structure" sqref="M86" xr:uid="{B7447B8B-B87C-DC41-BE7D-A75B38A1C96B}">
      <formula1>"Round Culvert,Oval Culvert,Concrete Box"</formula1>
    </dataValidation>
    <dataValidation type="decimal" allowBlank="1" showInputMessage="1" showErrorMessage="1" errorTitle="Invalid Diamter or Span" error="The Diameter or Span entered is invalid. Diameter or Span must be &gt; 0 and &lt; 300" sqref="N86" xr:uid="{C2BD9B58-96A8-E04C-8E76-917B9996763C}">
      <formula1>0.01</formula1>
      <formula2>300</formula2>
    </dataValidation>
    <dataValidation type="list" allowBlank="1" showInputMessage="1" showErrorMessage="1" errorTitle="Invalid value entered" error="The crossing subtype is not compatible with a crossing type of Closed Bottom Structure" sqref="M87" xr:uid="{A618DAD0-88F9-9440-B312-8986F2034857}">
      <formula1>"Round Culvert,Oval Culvert,Concrete Box"</formula1>
    </dataValidation>
    <dataValidation type="decimal" allowBlank="1" showInputMessage="1" showErrorMessage="1" errorTitle="Invalid Diamter or Span" error="The Diameter or Span entered is invalid. Diameter or Span must be &gt; 0 and &lt; 300" sqref="N87" xr:uid="{BD9AE180-9D1C-3746-B875-EFBF821249B6}">
      <formula1>0.01</formula1>
      <formula2>300</formula2>
    </dataValidation>
    <dataValidation type="list" allowBlank="1" showInputMessage="1" showErrorMessage="1" errorTitle="Invalid value entered" error="The crossing subtype is not compatible with a crossing type of Other" sqref="M88" xr:uid="{6D579905-CAF3-A14A-AD3F-DCA97CEBC71F}">
      <formula1>"Ford"</formula1>
    </dataValidation>
    <dataValidation type="list" allowBlank="1" showInputMessage="1" showErrorMessage="1" errorTitle="Invalid value entered" error="The crossing subtype is not compatible with a crossing type of Closed Bottom Structure" sqref="M89" xr:uid="{19F90226-1A50-C047-ACA9-E881C7F1DF75}">
      <formula1>"Round Culvert,Oval Culvert,Concrete Box"</formula1>
    </dataValidation>
    <dataValidation type="decimal" allowBlank="1" showInputMessage="1" showErrorMessage="1" errorTitle="Invalid Diamter or Span" error="The Diameter or Span entered is invalid. Diameter or Span must be &gt; 0 and &lt; 300" sqref="N89" xr:uid="{F1E7917C-1D04-8E45-994C-1D5AD97D87AB}">
      <formula1>0.01</formula1>
      <formula2>300</formula2>
    </dataValidation>
    <dataValidation type="list" allowBlank="1" showInputMessage="1" showErrorMessage="1" errorTitle="Invalid value entered" error="The crossing subtype is not compatible with a crossing type of Closed Bottom Structure" sqref="M90" xr:uid="{03357651-C5B8-8849-952C-6A6E9C540496}">
      <formula1>"Round Culvert,Oval Culvert,Concrete Box"</formula1>
    </dataValidation>
    <dataValidation type="decimal" allowBlank="1" showInputMessage="1" showErrorMessage="1" errorTitle="Invalid Diamter or Span" error="The Diameter or Span entered is invalid. Diameter or Span must be &gt; 0 and &lt; 300" sqref="N90" xr:uid="{87C5688D-E92B-D94D-A27D-25E335789FED}">
      <formula1>0.01</formula1>
      <formula2>300</formula2>
    </dataValidation>
    <dataValidation type="list" allowBlank="1" showInputMessage="1" showErrorMessage="1" errorTitle="Invalid value entered" error="The crossing subtype is not compatible with a crossing type of Closed Bottom Structure" sqref="M91" xr:uid="{4D6DC9C8-BB6A-9545-A562-DA8593E0A66B}">
      <formula1>"Round Culvert,Oval Culvert,Concrete Box"</formula1>
    </dataValidation>
    <dataValidation type="decimal" allowBlank="1" showInputMessage="1" showErrorMessage="1" errorTitle="Invalid Diamter or Span" error="The Diameter or Span entered is invalid. Diameter or Span must be &gt; 0 and &lt; 300" sqref="N91" xr:uid="{CEC07C09-80F5-5B46-B253-233C62BBC191}">
      <formula1>0.01</formula1>
      <formula2>300</formula2>
    </dataValidation>
    <dataValidation type="list" allowBlank="1" showInputMessage="1" showErrorMessage="1" errorTitle="Invalid value entered" error="The crossing subtype is not compatible with a crossing type of Closed Bottom Structure" sqref="M92" xr:uid="{D4E0F1B9-BA53-7849-8B15-572609FAAB67}">
      <formula1>"Round Culvert,Oval Culvert,Concrete Box"</formula1>
    </dataValidation>
    <dataValidation type="decimal" allowBlank="1" showInputMessage="1" showErrorMessage="1" errorTitle="Invalid Diamter or Span" error="The Diameter or Span entered is invalid. Diameter or Span must be &gt; 0 and &lt; 300" sqref="N92" xr:uid="{D7241354-84E2-0144-84C8-46C775F6C4AC}">
      <formula1>0.01</formula1>
      <formula2>300</formula2>
    </dataValidation>
    <dataValidation type="list" allowBlank="1" showInputMessage="1" showErrorMessage="1" errorTitle="Invalid value entered" error="The crossing subtype is not compatible with a crossing type of Closed Bottom Structure" sqref="M93" xr:uid="{2ACE1114-9F30-0745-B8E6-9654BD861032}">
      <formula1>"Round Culvert,Oval Culvert,Concrete Box"</formula1>
    </dataValidation>
    <dataValidation type="decimal" allowBlank="1" showInputMessage="1" showErrorMessage="1" errorTitle="Invalid Diamter or Span" error="The Diameter or Span entered is invalid. Diameter or Span must be &gt; 0 and &lt; 300" sqref="N93" xr:uid="{620D51A3-D117-A547-9EB4-13361F4CF93F}">
      <formula1>0.01</formula1>
      <formula2>300</formula2>
    </dataValidation>
    <dataValidation type="list" allowBlank="1" showInputMessage="1" showErrorMessage="1" errorTitle="Invalid value entered" error="The crossing subtype is not compatible with a crossing type of Closed Bottom Structure" sqref="M94" xr:uid="{FCC99200-5DBF-4946-972A-E5DA088C757E}">
      <formula1>"Round Culvert,Oval Culvert,Concrete Box"</formula1>
    </dataValidation>
    <dataValidation type="decimal" allowBlank="1" showInputMessage="1" showErrorMessage="1" errorTitle="Invalid Diamter or Span" error="The Diameter or Span entered is invalid. Diameter or Span must be &gt; 0 and &lt; 300" sqref="N94" xr:uid="{FF8B9563-F115-C24D-9D98-7AB4B089C604}">
      <formula1>0.01</formula1>
      <formula2>300</formula2>
    </dataValidation>
    <dataValidation type="list" allowBlank="1" showInputMessage="1" showErrorMessage="1" errorTitle="Invalid value entered" error="The crossing subtype is not compatible with a crossing type of Closed Bottom Structure" sqref="M95" xr:uid="{5EC074E6-2B37-7245-A3EB-F7C9B0808798}">
      <formula1>"Round Culvert,Oval Culvert,Concrete Box"</formula1>
    </dataValidation>
    <dataValidation type="decimal" allowBlank="1" showInputMessage="1" showErrorMessage="1" errorTitle="Invalid Diamter or Span" error="The Diameter or Span entered is invalid. Diameter or Span must be &gt; 0 and &lt; 300" sqref="N95" xr:uid="{8F0EDF3C-03E2-2B4B-9D5D-AB9036127A36}">
      <formula1>0.01</formula1>
      <formula2>300</formula2>
    </dataValidation>
    <dataValidation type="list" allowBlank="1" showInputMessage="1" showErrorMessage="1" errorTitle="Invalid value entered" error="The crossing subtype is not compatible with a crossing type of Closed Bottom Structure" sqref="M96" xr:uid="{373CC59A-F755-8847-9CC6-CAAC48EC3556}">
      <formula1>"Round Culvert,Oval Culvert,Concrete Box"</formula1>
    </dataValidation>
    <dataValidation type="decimal" allowBlank="1" showInputMessage="1" showErrorMessage="1" errorTitle="Invalid Diamter or Span" error="The Diameter or Span entered is invalid. Diameter or Span must be &gt; 0 and &lt; 300" sqref="N96" xr:uid="{C9072713-818C-C748-A137-E83C334CC1FE}">
      <formula1>0.01</formula1>
      <formula2>300</formula2>
    </dataValidation>
    <dataValidation type="list" allowBlank="1" showInputMessage="1" showErrorMessage="1" errorTitle="Invalid value entered" error="The crossing subtype is not compatible with a crossing type of Closed Bottom Structure" sqref="M97" xr:uid="{F11CCC98-5D93-6F45-A590-71AF18E89989}">
      <formula1>"Round Culvert,Oval Culvert,Concrete Box"</formula1>
    </dataValidation>
    <dataValidation type="decimal" allowBlank="1" showInputMessage="1" showErrorMessage="1" errorTitle="Invalid Diamter or Span" error="The Diameter or Span entered is invalid. Diameter or Span must be &gt; 0 and &lt; 300" sqref="N97" xr:uid="{4192AEA3-58AC-C04E-88AA-CAE78FEBEE24}">
      <formula1>0.01</formula1>
      <formula2>300</formula2>
    </dataValidation>
    <dataValidation type="list" allowBlank="1" showInputMessage="1" showErrorMessage="1" errorTitle="Invalid value entered" error="The crossing subtype is not compatible with a crossing type of Closed Bottom Structure" sqref="M98" xr:uid="{7FD0F3DE-2CB8-B447-B234-96CA7E60F77C}">
      <formula1>"Round Culvert,Oval Culvert,Concrete Box"</formula1>
    </dataValidation>
    <dataValidation type="decimal" allowBlank="1" showInputMessage="1" showErrorMessage="1" errorTitle="Invalid Diamter or Span" error="The Diameter or Span entered is invalid. Diameter or Span must be &gt; 0 and &lt; 300" sqref="N98" xr:uid="{9657C550-61D1-5541-80D4-637C5BE4D7E2}">
      <formula1>0.01</formula1>
      <formula2>300</formula2>
    </dataValidation>
    <dataValidation type="list" allowBlank="1" showInputMessage="1" showErrorMessage="1" errorTitle="Invalid value entered" error="The crossing subtype is not compatible with a crossing type of Closed Bottom Structure" sqref="M99" xr:uid="{018CA3B4-F75C-9847-9A1D-D2CDC9150775}">
      <formula1>"Round Culvert,Oval Culvert,Concrete Box"</formula1>
    </dataValidation>
    <dataValidation type="decimal" allowBlank="1" showInputMessage="1" showErrorMessage="1" errorTitle="Invalid Diamter or Span" error="The Diameter or Span entered is invalid. Diameter or Span must be &gt; 0 and &lt; 300" sqref="N99" xr:uid="{ADBBEB1C-2440-A14C-9442-72BC15B2B2C8}">
      <formula1>0.01</formula1>
      <formula2>300</formula2>
    </dataValidation>
    <dataValidation type="list" allowBlank="1" showInputMessage="1" showErrorMessage="1" errorTitle="Invalid value entered" error="The crossing subtype is not compatible with a crossing type of Closed Bottom Structure" sqref="M100" xr:uid="{B0667B4E-A5B3-104A-AD94-B201D917A9F3}">
      <formula1>"Round Culvert,Oval Culvert,Concrete Box"</formula1>
    </dataValidation>
    <dataValidation type="decimal" allowBlank="1" showInputMessage="1" showErrorMessage="1" errorTitle="Invalid Diamter or Span" error="The Diameter or Span entered is invalid. Diameter or Span must be &gt; 0 and &lt; 300" sqref="N100" xr:uid="{F30BEC82-C466-444A-AA5E-7BCF1761A434}">
      <formula1>0.01</formula1>
      <formula2>300</formula2>
    </dataValidation>
    <dataValidation type="list" allowBlank="1" showInputMessage="1" showErrorMessage="1" errorTitle="Invalid value entered" error="The crossing subtype is not compatible with a crossing type of Closed Bottom Structure" sqref="M101" xr:uid="{A5714B41-8495-DB46-971D-3B1C4F01411B}">
      <formula1>"Round Culvert,Oval Culvert,Concrete Box"</formula1>
    </dataValidation>
    <dataValidation type="decimal" allowBlank="1" showInputMessage="1" showErrorMessage="1" errorTitle="Invalid Diamter or Span" error="The Diameter or Span entered is invalid. Diameter or Span must be &gt; 0 and &lt; 300" sqref="N101" xr:uid="{EA670DCB-6B07-CD47-BD32-D94FEE620030}">
      <formula1>0.01</formula1>
      <formula2>300</formula2>
    </dataValidation>
    <dataValidation type="list" allowBlank="1" showInputMessage="1" showErrorMessage="1" errorTitle="Invalid value entered" error="The crossing subtype is not compatible with a crossing type of Closed Bottom Structure" sqref="M102" xr:uid="{BCDB5DD6-E368-FF41-A3BF-92B9ED4E5957}">
      <formula1>"Round Culvert,Oval Culvert,Concrete Box"</formula1>
    </dataValidation>
    <dataValidation type="decimal" allowBlank="1" showInputMessage="1" showErrorMessage="1" errorTitle="Invalid Diamter or Span" error="The Diameter or Span entered is invalid. Diameter or Span must be &gt; 0 and &lt; 300" sqref="N102" xr:uid="{AAF4D5BB-9D38-5545-ADF5-2841DF2C9860}">
      <formula1>0.01</formula1>
      <formula2>300</formula2>
    </dataValidation>
    <dataValidation type="list" allowBlank="1" showInputMessage="1" showErrorMessage="1" errorTitle="Invalid value entered" error="The crossing subtype is not compatible with a crossing type of Closed Bottom Structure" sqref="M103" xr:uid="{7194B884-D929-F04D-B5A7-3A2396DF77C5}">
      <formula1>"Round Culvert,Oval Culvert,Concrete Box"</formula1>
    </dataValidation>
    <dataValidation type="decimal" allowBlank="1" showInputMessage="1" showErrorMessage="1" errorTitle="Invalid Diamter or Span" error="The Diameter or Span entered is invalid. Diameter or Span must be &gt; 0 and &lt; 300" sqref="N103" xr:uid="{502A9916-B399-4F4F-8F37-E7A000CF9300}">
      <formula1>0.01</formula1>
      <formula2>300</formula2>
    </dataValidation>
    <dataValidation type="list" allowBlank="1" showInputMessage="1" showErrorMessage="1" errorTitle="Invalid value entered" error="The crossing subtype is not compatible with a crossing type of Closed Bottom Structure" sqref="M104" xr:uid="{B5BA86A5-B23B-7D48-AEBF-D2133BD7B400}">
      <formula1>"Round Culvert,Oval Culvert,Concrete Box"</formula1>
    </dataValidation>
    <dataValidation type="decimal" allowBlank="1" showInputMessage="1" showErrorMessage="1" errorTitle="Invalid Diamter or Span" error="The Diameter or Span entered is invalid. Diameter or Span must be &gt; 0 and &lt; 300" sqref="N104" xr:uid="{4023CCF4-5762-3F48-8E2F-FA352D9BD08D}">
      <formula1>0.01</formula1>
      <formula2>300</formula2>
    </dataValidation>
    <dataValidation type="list" allowBlank="1" showInputMessage="1" showErrorMessage="1" errorTitle="Invalid value entered" error="The crossing subtype is not compatible with a crossing type of Closed Bottom Structure" sqref="M105" xr:uid="{8D26E2E3-399F-414F-972E-21F09F081455}">
      <formula1>"Round Culvert,Oval Culvert,Concrete Box"</formula1>
    </dataValidation>
    <dataValidation type="decimal" allowBlank="1" showInputMessage="1" showErrorMessage="1" errorTitle="Invalid Diamter or Span" error="The Diameter or Span entered is invalid. Diameter or Span must be &gt; 0 and &lt; 300" sqref="N105" xr:uid="{1950614D-3BC5-EC43-A95E-E67EEE5FCD23}">
      <formula1>0.01</formula1>
      <formula2>300</formula2>
    </dataValidation>
    <dataValidation type="list" allowBlank="1" showInputMessage="1" showErrorMessage="1" errorTitle="Invalid value entered" error="The crossing subtype is not compatible with a crossing type of Closed Bottom Structure" sqref="M106" xr:uid="{B5194A87-9ED8-A048-A0A1-3BFD089A3200}">
      <formula1>"Round Culvert,Oval Culvert,Concrete Box"</formula1>
    </dataValidation>
    <dataValidation type="decimal" allowBlank="1" showInputMessage="1" showErrorMessage="1" errorTitle="Invalid Diamter or Span" error="The Diameter or Span entered is invalid. Diameter or Span must be &gt; 0 and &lt; 300" sqref="N106" xr:uid="{D4C012E0-58F5-1048-905A-2D51614FF294}">
      <formula1>0.01</formula1>
      <formula2>300</formula2>
    </dataValidation>
    <dataValidation type="list" allowBlank="1" showInputMessage="1" showErrorMessage="1" errorTitle="Invalid value entered" error="The crossing subtype is not compatible with a crossing type of Closed Bottom Structure" sqref="M107" xr:uid="{8C6ED878-63F0-E240-8053-68357EA408A9}">
      <formula1>"Round Culvert,Oval Culvert,Concrete Box"</formula1>
    </dataValidation>
    <dataValidation type="decimal" allowBlank="1" showInputMessage="1" showErrorMessage="1" errorTitle="Invalid Diamter or Span" error="The Diameter or Span entered is invalid. Diameter or Span must be &gt; 0 and &lt; 300" sqref="N107" xr:uid="{62AE37AD-517A-0144-BBB4-2DFA7502D656}">
      <formula1>0.01</formula1>
      <formula2>300</formula2>
    </dataValidation>
    <dataValidation type="list" allowBlank="1" showInputMessage="1" showErrorMessage="1" errorTitle="Invalid value entered" error="The crossing subtype is not compatible with a crossing type of Closed Bottom Structure" sqref="M108" xr:uid="{533AC6EB-A1A5-2E40-8344-4080BC28259D}">
      <formula1>"Round Culvert,Oval Culvert,Concrete Box"</formula1>
    </dataValidation>
    <dataValidation type="decimal" allowBlank="1" showInputMessage="1" showErrorMessage="1" errorTitle="Invalid Diamter or Span" error="The Diameter or Span entered is invalid. Diameter or Span must be &gt; 0 and &lt; 300" sqref="N108" xr:uid="{A2963B47-71C4-1A4C-BEBF-3184072AD266}">
      <formula1>0.01</formula1>
      <formula2>300</formula2>
    </dataValidation>
    <dataValidation type="list" allowBlank="1" showInputMessage="1" showErrorMessage="1" errorTitle="Invalid value entered" error="The crossing subtype is not compatible with a crossing type of Closed Bottom Structure" sqref="M109" xr:uid="{883612E6-AECA-9D40-AC3A-9102629199C8}">
      <formula1>"Round Culvert,Oval Culvert,Concrete Box"</formula1>
    </dataValidation>
    <dataValidation type="decimal" allowBlank="1" showInputMessage="1" showErrorMessage="1" errorTitle="Invalid Diamter or Span" error="The Diameter or Span entered is invalid. Diameter or Span must be &gt; 0 and &lt; 300" sqref="N109" xr:uid="{AAD88A15-BF7D-D145-8D9A-58400BCFEB87}">
      <formula1>0.01</formula1>
      <formula2>300</formula2>
    </dataValidation>
    <dataValidation type="list" allowBlank="1" showInputMessage="1" showErrorMessage="1" errorTitle="Invalid value entered" error="The crossing subtype is not compatible with a crossing type of Closed Bottom Structure" sqref="M110" xr:uid="{3C3E0FC4-FDDC-A743-805D-503DD1F43B2C}">
      <formula1>"Round Culvert,Oval Culvert,Concrete Box"</formula1>
    </dataValidation>
    <dataValidation type="decimal" allowBlank="1" showInputMessage="1" showErrorMessage="1" errorTitle="Invalid Diamter or Span" error="The Diameter or Span entered is invalid. Diameter or Span must be &gt; 0 and &lt; 300" sqref="N110" xr:uid="{9757CE18-443E-914F-9FD4-8B9C111E4734}">
      <formula1>0.01</formula1>
      <formula2>300</formula2>
    </dataValidation>
    <dataValidation type="list" allowBlank="1" showInputMessage="1" showErrorMessage="1" errorTitle="Invalid value entered" error="The crossing subtype is not compatible with a crossing type of Closed Bottom Structure" sqref="M111" xr:uid="{B4391531-B0F7-5D47-B2E1-D40A7E8457E6}">
      <formula1>"Round Culvert,Oval Culvert,Concrete Box"</formula1>
    </dataValidation>
    <dataValidation type="decimal" allowBlank="1" showInputMessage="1" showErrorMessage="1" errorTitle="Invalid Diamter or Span" error="The Diameter or Span entered is invalid. Diameter or Span must be &gt; 0 and &lt; 300" sqref="N111" xr:uid="{34971F10-AB0D-8F4D-A661-FC3F8CB03B98}">
      <formula1>0.01</formula1>
      <formula2>300</formula2>
    </dataValidation>
    <dataValidation type="list" allowBlank="1" showInputMessage="1" showErrorMessage="1" errorTitle="Invalid value entered" error="The crossing subtype is not compatible with a crossing type of Closed Bottom Structure" sqref="M112" xr:uid="{F72A197B-7E48-4642-99D9-B0107BC1EB14}">
      <formula1>"Round Culvert,Oval Culvert,Concrete Box"</formula1>
    </dataValidation>
    <dataValidation type="decimal" allowBlank="1" showInputMessage="1" showErrorMessage="1" errorTitle="Invalid Diamter or Span" error="The Diameter or Span entered is invalid. Diameter or Span must be &gt; 0 and &lt; 300" sqref="N112" xr:uid="{D59764EA-4D9C-AA4F-AC0F-FA0B7C3EAFCF}">
      <formula1>0.01</formula1>
      <formula2>300</formula2>
    </dataValidation>
    <dataValidation type="list" allowBlank="1" showInputMessage="1" showErrorMessage="1" errorTitle="Invalid value entered" error="The crossing subtype is not compatible with a crossing type of Closed Bottom Structure" sqref="M113" xr:uid="{8653B43C-7587-FF47-A439-6CA0B7001654}">
      <formula1>"Round Culvert,Oval Culvert,Concrete Box"</formula1>
    </dataValidation>
    <dataValidation type="decimal" allowBlank="1" showInputMessage="1" showErrorMessage="1" errorTitle="Invalid Diamter or Span" error="The Diameter or Span entered is invalid. Diameter or Span must be &gt; 0 and &lt; 300" sqref="N113" xr:uid="{0DDFF38D-2ED9-7946-B405-2599A4E8AF9E}">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5" xr:uid="{6343266E-6AAA-EF4F-8F84-42A8249A8EB4}">
      <formula1>0.01</formula1>
      <formula2>2.49</formula2>
    </dataValidation>
    <dataValidation type="decimal" allowBlank="1" showInputMessage="1" showErrorMessage="1" errorTitle="Invalid value entered" error="The Average Depth Embededdment you entered is invalid. The Average Depth Embededdment must be &lt;= 2.24 and &gt;= 0.01" sqref="Q6" xr:uid="{5CC05A35-BEC0-9645-BF17-23507C27B67D}">
      <formula1>0.01</formula1>
      <formula2>2.24</formula2>
    </dataValidation>
    <dataValidation type="decimal" allowBlank="1" showInputMessage="1" showErrorMessage="1" errorTitle="Invalid value entered" error="The Average Depth Embededdment you entered is invalid. The Average Depth Embededdment must be &lt;= 7.09 and &gt;= 0.01" sqref="Q7" xr:uid="{E6731CC8-EBA9-3444-8AFD-07167FA31D5E}">
      <formula1>0.01</formula1>
      <formula2>7.09</formula2>
    </dataValidation>
    <dataValidation type="decimal" allowBlank="1" showInputMessage="1" showErrorMessage="1" errorTitle="Invalid value entered" error="The Average Depth Embededdment you entered is invalid. The Average Depth Embededdment must be &lt;= 3.59 and &gt;= 0.01" sqref="Q8" xr:uid="{75D682E5-8E53-8B41-AE66-2C86F83C0984}">
      <formula1>0.01</formula1>
      <formula2>3.59</formula2>
    </dataValidation>
    <dataValidation type="decimal" allowBlank="1" showInputMessage="1" showErrorMessage="1" errorTitle="Invalid value entered" error="The Average Depth Embededdment you entered is invalid. The Average Depth Embededdment must be &lt;= 1.69 and &gt;= 0.01" sqref="Q9" xr:uid="{DCA616EE-7763-8E4C-A105-7724AC389325}">
      <formula1>0.01</formula1>
      <formula2>1.69</formula2>
    </dataValidation>
    <dataValidation type="decimal" allowBlank="1" showInputMessage="1" showErrorMessage="1" errorTitle="Invalid value entered" error="The Average Depth Embededdment you entered is invalid. The Average Depth Embededdment must be &lt;= 3.99 and &gt;= 0.01" sqref="Q10" xr:uid="{8076283A-32BB-6442-9AF0-EB5B3275B9E3}">
      <formula1>0.01</formula1>
      <formula2>3.99</formula2>
    </dataValidation>
    <dataValidation type="decimal" allowBlank="1" showInputMessage="1" showErrorMessage="1" errorTitle="Invalid value entered" error="The Average Depth Embededdment you entered is invalid. The Average Depth Embededdment must be &lt;= 4.49 and &gt;= 0.01" sqref="Q11" xr:uid="{BBA058EE-114E-8748-A019-65C12DAE6141}">
      <formula1>0.01</formula1>
      <formula2>4.49</formula2>
    </dataValidation>
    <dataValidation type="decimal" allowBlank="1" showInputMessage="1" showErrorMessage="1" errorTitle="Invalid value entered" error="The Average Depth Embededdment you entered is invalid. The Average Depth Embededdment must be &lt;= 3.59 and &gt;= 0.01" sqref="Q12" xr:uid="{6033D673-0D62-1745-A1B3-D12EC5BAA2C3}">
      <formula1>0.01</formula1>
      <formula2>3.59</formula2>
    </dataValidation>
    <dataValidation type="decimal" allowBlank="1" showInputMessage="1" showErrorMessage="1" errorTitle="Invalid value entered" error="The Average Depth Embededdment you entered is invalid. The Average Depth Embededdment must be &lt;= 1.79 and &gt;= 0.01" sqref="Q13" xr:uid="{E9EFA265-9444-E14A-BA4F-ABD2F1E808F9}">
      <formula1>0.01</formula1>
      <formula2>1.79</formula2>
    </dataValidation>
    <dataValidation type="decimal" allowBlank="1" showInputMessage="1" showErrorMessage="1" errorTitle="Invalid value entered" error="The Average Depth Embededdment you entered is invalid. The Average Depth Embededdment must be &lt;= 11.99 and &gt;= 0.01" sqref="Q14" xr:uid="{747B8E0F-A4D7-2C4C-8B12-11F2281AD4F8}">
      <formula1>0.01</formula1>
      <formula2>11.99</formula2>
    </dataValidation>
    <dataValidation type="decimal" allowBlank="1" showInputMessage="1" showErrorMessage="1" errorTitle="Invalid value entered" error="The Average Depth Embededdment you entered is invalid. The Average Depth Embededdment must be &lt;= 0.59 and &gt;= 0.01" sqref="Q15" xr:uid="{F3A8E8E0-0E61-294F-84EB-1B3A428AD23D}">
      <formula1>0.01</formula1>
      <formula2>0.59</formula2>
    </dataValidation>
    <dataValidation type="decimal" allowBlank="1" showInputMessage="1" showErrorMessage="1" errorTitle="Invalid value entered" error="The Average Depth Embededdment you entered is invalid. The Average Depth Embededdment must be &lt;= 1.54 and &gt;= 0.01" sqref="Q16" xr:uid="{6466B336-6D36-2E47-810B-A342595E65CD}">
      <formula1>0.01</formula1>
      <formula2>1.54</formula2>
    </dataValidation>
    <dataValidation type="decimal" allowBlank="1" showInputMessage="1" showErrorMessage="1" errorTitle="Invalid value entered" error="The Average Depth Embededdment you entered is invalid. The Average Depth Embededdment must be &lt;= 0.89 and &gt;= 0.01" sqref="Q17" xr:uid="{911D36C6-8F6E-CD48-B4CF-6E24C7128FE5}">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18" xr:uid="{7AA2B812-639B-2E48-AC68-40331BF7F230}">
      <formula1>0.01</formula1>
      <formula2>1.49</formula2>
    </dataValidation>
    <dataValidation type="decimal" allowBlank="1" showInputMessage="1" showErrorMessage="1" errorTitle="Invalid value entered" error="The Average Depth Embededdment you entered is invalid. The Average Depth Embededdment must be &lt;= 1.49 and &gt;= 0.01" sqref="Q19" xr:uid="{2DDF6DC4-F3C1-3745-9D70-03D836396E76}">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20" xr:uid="{03DE85C2-74EE-754B-AA57-85B7AEF1785F}">
      <formula1>0.01</formula1>
      <formula2>1.79</formula2>
    </dataValidation>
    <dataValidation type="decimal" allowBlank="1" showInputMessage="1" showErrorMessage="1" errorTitle="Invalid value entered" error="The Average Depth Embededdment you entered is invalid. The Average Depth Embededdment must be &lt;= 2.64 and &gt;= 0.01" sqref="Q21" xr:uid="{CFC0BC77-3354-6440-91AA-902E3912DC8E}">
      <formula1>0.01</formula1>
      <formula2>2.64</formula2>
    </dataValidation>
    <dataValidation type="decimal" allowBlank="1" showInputMessage="1" showErrorMessage="1" errorTitle="Invalid value entered" error="The Average Depth Embededdment you entered is invalid. The Average Depth Embededdment must be &lt;= 0.59 and &gt;= 0.01" sqref="Q22" xr:uid="{D3EE3330-FE63-E847-9A05-17F732075EAD}">
      <formula1>0.01</formula1>
      <formula2>0.59</formula2>
    </dataValidation>
    <dataValidation type="decimal" allowBlank="1" showInputMessage="1" showErrorMessage="1" errorTitle="Invalid value entered" error="The Average Depth Embededdment you entered is invalid. The Average Depth Embededdment must be &lt;= 4.49 and &gt;= 0.01" sqref="Q23" xr:uid="{B4B5154C-62E1-AE49-B720-3C736E84859F}">
      <formula1>0.01</formula1>
      <formula2>4.49</formula2>
    </dataValidation>
    <dataValidation type="decimal" allowBlank="1" showInputMessage="1" showErrorMessage="1" errorTitle="Invalid value entered" error="The Average Depth Embededdment you entered is invalid. The Average Depth Embededdment must be &lt;= 1.19 and &gt;= 0.01" sqref="Q24" xr:uid="{3A22AEDC-1AD0-4A4E-A525-2E448DD3D069}">
      <formula1>0.01</formula1>
      <formula2>1.19</formula2>
    </dataValidation>
    <dataValidation type="decimal" allowBlank="1" showInputMessage="1" showErrorMessage="1" errorTitle="Invalid value entered" error="The Average Depth Embededdment you entered is invalid. The Average Depth Embededdment must be &lt;= 0.99 and &gt;= 0.01" sqref="Q25" xr:uid="{47A73C25-B931-8548-81AE-FD09008EA1E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26" xr:uid="{7E330186-572D-AC47-8C20-7BD6DBF9456B}">
      <formula1>0.01</formula1>
      <formula2>1.09</formula2>
    </dataValidation>
    <dataValidation type="decimal" allowBlank="1" showInputMessage="1" showErrorMessage="1" errorTitle="Invalid value entered" error="The Average Depth Embededdment you entered is invalid. The Average Depth Embededdment must be &lt;= 0.94 and &gt;= 0.01" sqref="Q27" xr:uid="{B29E7005-1C66-674B-8AB5-52D1072C74BE}">
      <formula1>0.01</formula1>
      <formula2>0.94</formula2>
    </dataValidation>
    <dataValidation type="decimal" allowBlank="1" showInputMessage="1" showErrorMessage="1" errorTitle="Invalid value entered" error="The Average Depth Embededdment you entered is invalid. The Average Depth Embededdment must be &lt;= 1.44 and &gt;= 0.01" sqref="Q28" xr:uid="{EFEA8BB1-27D8-2A42-8E0D-A65BA1CC6F2E}">
      <formula1>0.01</formula1>
      <formula2>1.44</formula2>
    </dataValidation>
    <dataValidation type="decimal" allowBlank="1" showInputMessage="1" showErrorMessage="1" errorTitle="Invalid value entered" error="The Average Depth Embededdment you entered is invalid. The Average Depth Embededdment must be &lt;= 12.99 and &gt;= 0.01" sqref="Q29" xr:uid="{BC9A0E3A-FFCD-584B-B80E-DD2748E65ED5}">
      <formula1>0.01</formula1>
      <formula2>12.99</formula2>
    </dataValidation>
    <dataValidation type="decimal" allowBlank="1" showInputMessage="1" showErrorMessage="1" errorTitle="Invalid value entered" error="The Average Depth Embededdment you entered is invalid. The Average Depth Embededdment must be &lt;= 19.99 and &gt;= 0.01" sqref="Q30" xr:uid="{9788AE6F-140D-7342-9310-466E3B3E1FFE}">
      <formula1>0.01</formula1>
      <formula2>19.99</formula2>
    </dataValidation>
    <dataValidation type="decimal" allowBlank="1" showInputMessage="1" showErrorMessage="1" errorTitle="Invalid value entered" error="The Average Depth Embededdment you entered is invalid. The Average Depth Embededdment must be &lt;= 1.19 and &gt;= 0.01" sqref="Q31" xr:uid="{06FDE655-A043-EE45-9C00-5ACAC692C89A}">
      <formula1>0.01</formula1>
      <formula2>1.19</formula2>
    </dataValidation>
    <dataValidation type="decimal" allowBlank="1" showInputMessage="1" showErrorMessage="1" errorTitle="Invalid value entered" error="The Average Depth Embededdment you entered is invalid. The Average Depth Embededdment must be &lt;= 0.89 and &gt;= 0.01" sqref="Q32" xr:uid="{3BD57875-7EB4-1642-A2E1-245CE55CDE2C}">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33" xr:uid="{B74158FD-84B5-A246-A1BA-C448ED840516}">
      <formula1>0.01</formula1>
      <formula2>1.49</formula2>
    </dataValidation>
    <dataValidation type="decimal" allowBlank="1" showInputMessage="1" showErrorMessage="1" errorTitle="Invalid value entered" error="The Average Depth Embededdment you entered is invalid. The Average Depth Embededdment must be &lt;= 4.49 and &gt;= 0.01" sqref="Q34" xr:uid="{F8975A86-4DB5-8543-9FF6-2DD56CA1E223}">
      <formula1>0.01</formula1>
      <formula2>4.49</formula2>
    </dataValidation>
    <dataValidation type="decimal" allowBlank="1" showInputMessage="1" showErrorMessage="1" errorTitle="Invalid value entered" error="The Average Depth Embededdment you entered is invalid. The Average Depth Embededdment must be &lt;= 4.99 and &gt;= 0.01" sqref="Q36" xr:uid="{8F7BCAB4-B04C-C944-925C-90F51CD3EFAF}">
      <formula1>0.01</formula1>
      <formula2>4.99</formula2>
    </dataValidation>
    <dataValidation type="decimal" allowBlank="1" showInputMessage="1" showErrorMessage="1" errorTitle="Invalid value entered" error="The Average Depth Embededdment you entered is invalid. The Average Depth Embededdment must be &lt;= 2.19 and &gt;= 0.01" sqref="Q37" xr:uid="{D643E0B4-997B-5945-BB2F-280B3C91D0C4}">
      <formula1>0.01</formula1>
      <formula2>2.19</formula2>
    </dataValidation>
    <dataValidation type="decimal" allowBlank="1" showInputMessage="1" showErrorMessage="1" errorTitle="Invalid value entered" error="The Average Depth Embededdment you entered is invalid. The Average Depth Embededdment must be &lt;= 3.19 and &gt;= 0.01" sqref="Q38" xr:uid="{D1508E27-CF78-C449-AAA3-5503007DC96D}">
      <formula1>0.01</formula1>
      <formula2>3.19</formula2>
    </dataValidation>
    <dataValidation type="decimal" allowBlank="1" showInputMessage="1" showErrorMessage="1" errorTitle="Invalid value entered" error="The Average Depth Embededdment you entered is invalid. The Average Depth Embededdment must be &lt;= 2.19 and &gt;= 0.01" sqref="Q39" xr:uid="{EB7DE3A5-CEA7-3048-85BA-8570E01A5FBC}">
      <formula1>0.01</formula1>
      <formula2>2.19</formula2>
    </dataValidation>
    <dataValidation type="decimal" allowBlank="1" showInputMessage="1" showErrorMessage="1" errorTitle="Invalid value entered" error="The Average Depth Embededdment you entered is invalid. The Average Depth Embededdment must be &lt;= 3.09 and &gt;= 0.01" sqref="Q40" xr:uid="{CC0DCCD4-29CF-3948-9E06-ADF17EE697DE}">
      <formula1>0.01</formula1>
      <formula2>3.09</formula2>
    </dataValidation>
    <dataValidation type="decimal" allowBlank="1" showInputMessage="1" showErrorMessage="1" errorTitle="Invalid value entered" error="The Average Depth Embededdment you entered is invalid. The Average Depth Embededdment must be &lt;= 2.49 and &gt;= 0.01" sqref="Q41" xr:uid="{9DD60FDE-6A86-AA47-AD7D-35DADFC92819}">
      <formula1>0.01</formula1>
      <formula2>2.49</formula2>
    </dataValidation>
    <dataValidation type="decimal" allowBlank="1" showInputMessage="1" showErrorMessage="1" errorTitle="Invalid value entered" error="The Average Depth Embededdment you entered is invalid. The Average Depth Embededdment must be &lt;= 1.79 and &gt;= 0.01" sqref="Q42" xr:uid="{B7615A42-52B5-ED40-8B5D-FDFBD8FF3957}">
      <formula1>0.01</formula1>
      <formula2>1.79</formula2>
    </dataValidation>
    <dataValidation type="decimal" allowBlank="1" showInputMessage="1" showErrorMessage="1" errorTitle="Invalid value entered" error="The Average Depth Embededdment you entered is invalid. The Average Depth Embededdment must be &lt;= 2.49 and &gt;= 0.01" sqref="Q43" xr:uid="{BBD5BC96-A269-6A4E-B8F4-6D82E258A1EA}">
      <formula1>0.01</formula1>
      <formula2>2.49</formula2>
    </dataValidation>
    <dataValidation type="decimal" allowBlank="1" showInputMessage="1" showErrorMessage="1" errorTitle="Invalid value entered" error="The Average Depth Embededdment you entered is invalid. The Average Depth Embededdment must be &lt;= 0.49 and &gt;= 0.01" sqref="Q44" xr:uid="{0B268EF4-FB7B-F341-92B9-427EE0006A20}">
      <formula1>0.01</formula1>
      <formula2>0.49</formula2>
    </dataValidation>
    <dataValidation type="decimal" allowBlank="1" showInputMessage="1" showErrorMessage="1" errorTitle="Invalid value entered" error="The Average Depth Embededdment you entered is invalid. The Average Depth Embededdment must be &lt;= 2.69 and &gt;= 0.01" sqref="Q45" xr:uid="{9F342AF7-0D7A-144E-8B04-B8EA1AB20973}">
      <formula1>0.01</formula1>
      <formula2>2.69</formula2>
    </dataValidation>
    <dataValidation type="decimal" allowBlank="1" showInputMessage="1" showErrorMessage="1" errorTitle="Invalid value entered" error="The Average Depth Embededdment you entered is invalid. The Average Depth Embededdment must be &lt;= 1.69 and &gt;= 0.01" sqref="Q46" xr:uid="{F79812EB-7DB9-E545-A19C-35E2F27893C5}">
      <formula1>0.01</formula1>
      <formula2>1.69</formula2>
    </dataValidation>
    <dataValidation type="decimal" allowBlank="1" showInputMessage="1" showErrorMessage="1" errorTitle="Invalid value entered" error="The Average Depth Embededdment you entered is invalid. The Average Depth Embededdment must be &lt;= 2.99 and &gt;= 0.01" sqref="Q47" xr:uid="{156DC622-DA2F-5A42-9291-1C1860D766DD}">
      <formula1>0.01</formula1>
      <formula2>2.99</formula2>
    </dataValidation>
    <dataValidation type="decimal" allowBlank="1" showInputMessage="1" showErrorMessage="1" errorTitle="Invalid value entered" error="The Average Depth Embededdment you entered is invalid. The Average Depth Embededdment must be &lt;= 3.89 and &gt;= 0.01" sqref="Q48" xr:uid="{55F159DC-3DEB-FB41-8924-F1A253EA486C}">
      <formula1>0.01</formula1>
      <formula2>3.89</formula2>
    </dataValidation>
    <dataValidation type="decimal" allowBlank="1" showInputMessage="1" showErrorMessage="1" errorTitle="Invalid value entered" error="The Average Depth Embededdment you entered is invalid. The Average Depth Embededdment must be &lt;= 1.29 and &gt;= 0.01" sqref="Q49" xr:uid="{AD77F685-BA0A-2C41-901B-1D9F999957B2}">
      <formula1>0.01</formula1>
      <formula2>1.29</formula2>
    </dataValidation>
    <dataValidation type="decimal" allowBlank="1" showInputMessage="1" showErrorMessage="1" errorTitle="Invalid value entered" error="The Average Depth Embededdment you entered is invalid. The Average Depth Embededdment must be &lt;= 0.94 and &gt;= 0.01" sqref="Q50" xr:uid="{2752D5CC-1B26-3746-BCDD-F2C3F98F6CA7}">
      <formula1>0.01</formula1>
      <formula2>0.94</formula2>
    </dataValidation>
    <dataValidation type="decimal" allowBlank="1" showInputMessage="1" showErrorMessage="1" errorTitle="Invalid value entered" error="The Average Depth Embededdment you entered is invalid. The Average Depth Embededdment must be &lt;= 2.34 and &gt;= 0.01" sqref="Q51" xr:uid="{BB91124A-9D9D-234A-8D01-F2E7DADBB6E6}">
      <formula1>0.01</formula1>
      <formula2>2.34</formula2>
    </dataValidation>
    <dataValidation type="decimal" allowBlank="1" showInputMessage="1" showErrorMessage="1" errorTitle="Invalid value entered" error="The Average Depth Embededdment you entered is invalid. The Average Depth Embededdment must be &lt;= 1.59 and &gt;= 0.01" sqref="Q52" xr:uid="{95A22C35-ACB1-A147-992D-4D55BCD00CCB}">
      <formula1>0.01</formula1>
      <formula2>1.59</formula2>
    </dataValidation>
    <dataValidation type="decimal" allowBlank="1" showInputMessage="1" showErrorMessage="1" errorTitle="Invalid value entered" error="The Average Depth Embededdment you entered is invalid. The Average Depth Embededdment must be &lt;= 1.69 and &gt;= 0.01" sqref="Q53" xr:uid="{0AC9C447-DDEE-8741-BB71-AAB21EC20B0D}">
      <formula1>0.01</formula1>
      <formula2>1.69</formula2>
    </dataValidation>
    <dataValidation type="decimal" allowBlank="1" showInputMessage="1" showErrorMessage="1" errorTitle="Invalid value entered" error="The Average Depth Embededdment you entered is invalid. The Average Depth Embededdment must be &lt;= 1.59 and &gt;= 0.01" sqref="Q54" xr:uid="{44C1CF55-15A4-1E42-BE96-89557CBF1F41}">
      <formula1>0.01</formula1>
      <formula2>1.59</formula2>
    </dataValidation>
    <dataValidation type="decimal" allowBlank="1" showInputMessage="1" showErrorMessage="1" errorTitle="Invalid value entered" error="The Average Depth Embededdment you entered is invalid. The Average Depth Embededdment must be &lt;= 1.49 and &gt;= 0.01" sqref="Q55" xr:uid="{11BD8BD8-5D7E-4E42-9DE4-23A896BF37F2}">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56" xr:uid="{FD52A597-356D-3D4E-9C1D-4D13D47C7E43}">
      <formula1>0.01</formula1>
      <formula2>0.99</formula2>
    </dataValidation>
    <dataValidation type="decimal" allowBlank="1" showInputMessage="1" showErrorMessage="1" errorTitle="Invalid value entered" error="The Average Depth Embededdment you entered is invalid. The Average Depth Embededdment must be &lt;= 0.59 and &gt;= 0.01" sqref="Q57" xr:uid="{72EE0BE2-1331-3D4C-B413-66708BBEA41C}">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59" xr:uid="{B6CFDAD8-411A-EA4E-A694-37993912A010}">
      <formula1>0.01</formula1>
      <formula2>0.79</formula2>
    </dataValidation>
    <dataValidation type="decimal" allowBlank="1" showInputMessage="1" showErrorMessage="1" errorTitle="Invalid value entered" error="The Average Depth Embededdment you entered is invalid. The Average Depth Embededdment must be &lt;= 12.99 and &gt;= 0.01" sqref="Q60" xr:uid="{879F8CDB-1742-C249-AAF0-3A19461B3A35}">
      <formula1>0.01</formula1>
      <formula2>12.99</formula2>
    </dataValidation>
    <dataValidation type="decimal" allowBlank="1" showInputMessage="1" showErrorMessage="1" errorTitle="Invalid value entered" error="The Average Depth Embededdment you entered is invalid. The Average Depth Embededdment must be &lt;= 0.89 and &gt;= 0.01" sqref="Q61" xr:uid="{67D9E59C-0B6D-4741-9320-F2456ADDF1E6}">
      <formula1>0.01</formula1>
      <formula2>0.89</formula2>
    </dataValidation>
    <dataValidation type="decimal" allowBlank="1" showInputMessage="1" showErrorMessage="1" errorTitle="Invalid value entered" error="The Average Depth Embededdment you entered is invalid. The Average Depth Embededdment must be &lt;= 0.89 and &gt;= 0.01" sqref="Q62" xr:uid="{A2BDF58D-98BF-DE49-95A5-CC9FD766798E}">
      <formula1>0.01</formula1>
      <formula2>0.89</formula2>
    </dataValidation>
    <dataValidation type="decimal" allowBlank="1" showInputMessage="1" showErrorMessage="1" errorTitle="Invalid value entered" error="The Average Depth Embededdment you entered is invalid. The Average Depth Embededdment must be &lt;= 2.99 and &gt;= 0.01" sqref="Q63" xr:uid="{CD21BCA7-42E3-6D48-93D9-AD48D6694B9E}">
      <formula1>0.01</formula1>
      <formula2>2.99</formula2>
    </dataValidation>
    <dataValidation type="decimal" allowBlank="1" showInputMessage="1" showErrorMessage="1" errorTitle="Invalid value entered" error="The Average Depth Embededdment you entered is invalid. The Average Depth Embededdment must be &lt;= 1.44 and &gt;= 0.01" sqref="Q64" xr:uid="{3BF5326A-C666-2A45-9BC3-3E886F5D32C1}">
      <formula1>0.01</formula1>
      <formula2>1.44</formula2>
    </dataValidation>
    <dataValidation type="decimal" allowBlank="1" showInputMessage="1" showErrorMessage="1" errorTitle="Invalid value entered" error="The Average Depth Embededdment you entered is invalid. The Average Depth Embededdment must be &lt;= 1.39 and &gt;= 0.01" sqref="Q65" xr:uid="{A906D0D9-BC53-644E-98FD-E7157806C290}">
      <formula1>0.01</formula1>
      <formula2>1.39</formula2>
    </dataValidation>
    <dataValidation type="decimal" allowBlank="1" showInputMessage="1" showErrorMessage="1" errorTitle="Invalid value entered" error="The Average Depth Embededdment you entered is invalid. The Average Depth Embededdment must be &lt;= 3.59 and &gt;= 0.01" sqref="Q66" xr:uid="{F49FD139-5139-5844-A30D-900EB9E2D66F}">
      <formula1>0.01</formula1>
      <formula2>3.59</formula2>
    </dataValidation>
    <dataValidation type="decimal" allowBlank="1" showInputMessage="1" showErrorMessage="1" errorTitle="Invalid value entered" error="The Average Depth Embededdment you entered is invalid. The Average Depth Embededdment must be &lt;= 1.19 and &gt;= 0.01" sqref="Q67" xr:uid="{76C833BC-A04D-074A-9016-203041CF84C6}">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68" xr:uid="{A8919B68-E84E-DA4B-89EA-F5444302C850}">
      <formula1>0.01</formula1>
      <formula2>0.79</formula2>
    </dataValidation>
    <dataValidation type="decimal" allowBlank="1" showInputMessage="1" showErrorMessage="1" errorTitle="Invalid value entered" error="The Average Depth Embededdment you entered is invalid. The Average Depth Embededdment must be &lt;= 0.89 and &gt;= 0.01" sqref="Q69" xr:uid="{E91D3FF3-D932-BF4D-BA94-4207701A67E6}">
      <formula1>0.01</formula1>
      <formula2>0.89</formula2>
    </dataValidation>
    <dataValidation type="decimal" allowBlank="1" showInputMessage="1" showErrorMessage="1" errorTitle="Invalid value entered" error="The Average Depth Embededdment you entered is invalid. The Average Depth Embededdment must be &lt;= 0.89 and &gt;= 0.01" sqref="Q70" xr:uid="{A20438D8-1018-7C43-93A0-EA25CC4B69AB}">
      <formula1>0.01</formula1>
      <formula2>0.89</formula2>
    </dataValidation>
    <dataValidation type="decimal" allowBlank="1" showInputMessage="1" showErrorMessage="1" errorTitle="Invalid value entered" error="The Average Depth Embededdment you entered is invalid. The Average Depth Embededdment must be &lt;= 2.59 and &gt;= 0.01" sqref="Q72" xr:uid="{55C6D18B-649F-8345-92F2-AB7DA4EF74EA}">
      <formula1>0.01</formula1>
      <formula2>2.59</formula2>
    </dataValidation>
    <dataValidation type="decimal" allowBlank="1" showInputMessage="1" showErrorMessage="1" errorTitle="Invalid value entered" error="The Average Depth Embededdment you entered is invalid. The Average Depth Embededdment must be &lt;= 2.99 and &gt;= 0.01" sqref="Q73" xr:uid="{0585F0DD-49DC-EB44-BA9A-AFE7F6287086}">
      <formula1>0.01</formula1>
      <formula2>2.99</formula2>
    </dataValidation>
    <dataValidation type="decimal" allowBlank="1" showInputMessage="1" showErrorMessage="1" errorTitle="Invalid value entered" error="The Average Depth Embededdment you entered is invalid. The Average Depth Embededdment must be &lt;= 2.19 and &gt;= 0.01" sqref="Q74" xr:uid="{85387D39-5599-764A-B6F4-558EB2B7EB53}">
      <formula1>0.01</formula1>
      <formula2>2.19</formula2>
    </dataValidation>
    <dataValidation type="decimal" allowBlank="1" showInputMessage="1" showErrorMessage="1" errorTitle="Invalid value entered" error="The Average Depth Embededdment you entered is invalid. The Average Depth Embededdment must be &lt;= 1.99 and &gt;= 0.01" sqref="Q75" xr:uid="{5D20967D-8929-B94A-90D2-A864CF643F17}">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76" xr:uid="{AF39BB48-60CD-1E43-B13D-4AC6EE58F5D0}">
      <formula1>0.01</formula1>
      <formula2>0.89</formula2>
    </dataValidation>
    <dataValidation type="decimal" allowBlank="1" showInputMessage="1" showErrorMessage="1" errorTitle="Invalid value entered" error="The Average Depth Embededdment you entered is invalid. The Average Depth Embededdment must be &lt;= 2.09 and &gt;= 0.01" sqref="Q77" xr:uid="{FD3DDC01-529E-AD41-8E90-716A180E427C}">
      <formula1>0.01</formula1>
      <formula2>2.09</formula2>
    </dataValidation>
    <dataValidation type="decimal" allowBlank="1" showInputMessage="1" showErrorMessage="1" errorTitle="Invalid value entered" error="The Average Depth Embededdment you entered is invalid. The Average Depth Embededdment must be &lt;= 2.59 and &gt;= 0.01" sqref="Q78" xr:uid="{429C6223-7546-504D-B8F5-0EA97A970110}">
      <formula1>0.01</formula1>
      <formula2>2.59</formula2>
    </dataValidation>
    <dataValidation type="decimal" allowBlank="1" showInputMessage="1" showErrorMessage="1" errorTitle="Invalid value entered" error="The Average Depth Embededdment you entered is invalid. The Average Depth Embededdment must be &lt;= 2.29 and &gt;= 0.01" sqref="Q79" xr:uid="{31CEFFE7-D95E-0A4B-A07F-5A84713A5104}">
      <formula1>0.01</formula1>
      <formula2>2.29</formula2>
    </dataValidation>
    <dataValidation type="decimal" allowBlank="1" showInputMessage="1" showErrorMessage="1" errorTitle="Invalid value entered" error="The Average Depth Embededdment you entered is invalid. The Average Depth Embededdment must be &lt;= 2.19 and &gt;= 0.01" sqref="Q80" xr:uid="{CE6C2732-9388-9B41-A8FA-245933F72A46}">
      <formula1>0.01</formula1>
      <formula2>2.19</formula2>
    </dataValidation>
    <dataValidation type="decimal" allowBlank="1" showInputMessage="1" showErrorMessage="1" errorTitle="Invalid value entered" error="The Average Depth Embededdment you entered is invalid. The Average Depth Embededdment must be &lt;= 2.59 and &gt;= 0.01" sqref="Q81" xr:uid="{C0A15DF5-BBA2-744A-B3EB-D1F93D7DF702}">
      <formula1>0.01</formula1>
      <formula2>2.59</formula2>
    </dataValidation>
    <dataValidation type="decimal" allowBlank="1" showInputMessage="1" showErrorMessage="1" errorTitle="Invalid value entered" error="The Average Depth Embededdment you entered is invalid. The Average Depth Embededdment must be &lt;= 1.19 and &gt;= 0.01" sqref="Q82" xr:uid="{89403317-718F-8049-80B6-EE35E5018B29}">
      <formula1>0.01</formula1>
      <formula2>1.19</formula2>
    </dataValidation>
    <dataValidation type="decimal" allowBlank="1" showInputMessage="1" showErrorMessage="1" errorTitle="Invalid value entered" error="The Average Depth Embededdment you entered is invalid. The Average Depth Embededdment must be &lt;= 3.99 and &gt;= 0.01" sqref="Q83" xr:uid="{55CF3D54-173C-6F45-9B3D-02E8F263375B}">
      <formula1>0.01</formula1>
      <formula2>3.99</formula2>
    </dataValidation>
    <dataValidation type="decimal" allowBlank="1" showInputMessage="1" showErrorMessage="1" errorTitle="Invalid value entered" error="The Average Depth Embededdment you entered is invalid. The Average Depth Embededdment must be &lt;= 3.49 and &gt;= 0.01" sqref="Q84" xr:uid="{CDF531CA-CEE5-E841-8C65-4B39A18726E2}">
      <formula1>0.01</formula1>
      <formula2>3.49</formula2>
    </dataValidation>
    <dataValidation type="decimal" allowBlank="1" showInputMessage="1" showErrorMessage="1" errorTitle="Invalid value entered" error="The Average Depth Embededdment you entered is invalid. The Average Depth Embededdment must be &lt;= 0.79 and &gt;= 0.01" sqref="Q85" xr:uid="{7E89118E-D16F-8A4E-9173-2DA51C353C65}">
      <formula1>0.01</formula1>
      <formula2>0.79</formula2>
    </dataValidation>
    <dataValidation type="decimal" allowBlank="1" showInputMessage="1" showErrorMessage="1" errorTitle="Invalid value entered" error="The Average Depth Embededdment you entered is invalid. The Average Depth Embededdment must be &lt;= 1.69 and &gt;= 0.01" sqref="Q86" xr:uid="{7C3F4AF9-943C-FA40-92AF-2E7FB41E7006}">
      <formula1>0.01</formula1>
      <formula2>1.69</formula2>
    </dataValidation>
    <dataValidation type="decimal" allowBlank="1" showInputMessage="1" showErrorMessage="1" errorTitle="Invalid value entered" error="The Average Depth Embededdment you entered is invalid. The Average Depth Embededdment must be &lt;= 3.79 and &gt;= 0.01" sqref="Q87" xr:uid="{9FA5895D-AD8E-9A42-A3ED-6F5FD3A45691}">
      <formula1>0.01</formula1>
      <formula2>3.79</formula2>
    </dataValidation>
    <dataValidation type="decimal" allowBlank="1" showInputMessage="1" showErrorMessage="1" errorTitle="Invalid value entered" error="The Average Depth Embededdment you entered is invalid. The Average Depth Embededdment must be &lt;= 2.59 and &gt;= 0.01" sqref="Q89" xr:uid="{0BB5ED1B-F21C-0043-B011-557AEC016D53}">
      <formula1>0.01</formula1>
      <formula2>2.59</formula2>
    </dataValidation>
    <dataValidation type="decimal" allowBlank="1" showInputMessage="1" showErrorMessage="1" errorTitle="Invalid value entered" error="The Average Depth Embededdment you entered is invalid. The Average Depth Embededdment must be &lt;= 2.49 and &gt;= 0.01" sqref="Q90" xr:uid="{E6CF64DB-4CBB-F145-80C4-BB06D946F168}">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91" xr:uid="{065E7B3D-CD9E-8C49-9366-56E8E1F1A450}">
      <formula1>0.01</formula1>
      <formula2>3.99</formula2>
    </dataValidation>
    <dataValidation type="decimal" allowBlank="1" showInputMessage="1" showErrorMessage="1" errorTitle="Invalid value entered" error="The Average Depth Embededdment you entered is invalid. The Average Depth Embededdment must be &lt;= 1.19 and &gt;= 0.01" sqref="Q92" xr:uid="{D064B1B7-B44E-AC47-B5D1-4537B54FF637}">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93" xr:uid="{C235BB7D-ECEA-D84F-B865-1BAE2D43AD31}">
      <formula1>0.01</formula1>
      <formula2>1.49</formula2>
    </dataValidation>
    <dataValidation type="decimal" allowBlank="1" showInputMessage="1" showErrorMessage="1" errorTitle="Invalid value entered" error="The Average Depth Embededdment you entered is invalid. The Average Depth Embededdment must be &lt;= 1.39 and &gt;= 0.01" sqref="Q94" xr:uid="{1444998E-18B0-1143-BC31-27191852BB24}">
      <formula1>0.01</formula1>
      <formula2>1.39</formula2>
    </dataValidation>
    <dataValidation type="decimal" allowBlank="1" showInputMessage="1" showErrorMessage="1" errorTitle="Invalid value entered" error="The Average Depth Embededdment you entered is invalid. The Average Depth Embededdment must be &lt;= 1.19 and &gt;= 0.01" sqref="Q95" xr:uid="{60BEFCE8-1E4D-6F4F-BB5B-BFEC0D84C115}">
      <formula1>0.01</formula1>
      <formula2>1.19</formula2>
    </dataValidation>
    <dataValidation type="decimal" allowBlank="1" showInputMessage="1" showErrorMessage="1" errorTitle="Invalid value entered" error="The Average Depth Embededdment you entered is invalid. The Average Depth Embededdment must be &lt;= 3.99 and &gt;= 0.01" sqref="Q96" xr:uid="{9C6ADA75-20C4-0C4F-BB30-546B0E39D5AF}">
      <formula1>0.01</formula1>
      <formula2>3.99</formula2>
    </dataValidation>
    <dataValidation type="decimal" allowBlank="1" showInputMessage="1" showErrorMessage="1" errorTitle="Invalid value entered" error="The Average Depth Embededdment you entered is invalid. The Average Depth Embededdment must be &lt;= 0.89 and &gt;= 0.01" sqref="Q97" xr:uid="{C498ECF6-1277-E14E-93C6-43D8F044EE4F}">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98" xr:uid="{5EC64110-2C1C-E241-B656-95DBAB00043C}">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99" xr:uid="{A9C30ABA-2489-D540-86AA-C8371ABF46D3}">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100" xr:uid="{A1659304-EE0B-0E47-A10F-A1CB7B6AC4E5}">
      <formula1>0.01</formula1>
      <formula2>1.49</formula2>
    </dataValidation>
    <dataValidation type="decimal" allowBlank="1" showInputMessage="1" showErrorMessage="1" errorTitle="Invalid value entered" error="The Average Depth Embededdment you entered is invalid. The Average Depth Embededdment must be &lt;= 2.39 and &gt;= 0.01" sqref="Q101" xr:uid="{93707539-92CB-2F44-B5F0-3B94832FB9A0}">
      <formula1>0.01</formula1>
      <formula2>2.39</formula2>
    </dataValidation>
    <dataValidation type="decimal" allowBlank="1" showInputMessage="1" showErrorMessage="1" errorTitle="Invalid value entered" error="The Average Depth Embededdment you entered is invalid. The Average Depth Embededdment must be &lt;= 2.49 and &gt;= 0.01" sqref="Q102" xr:uid="{C8B285BA-0575-2F40-884C-D0D8039E64B0}">
      <formula1>0.01</formula1>
      <formula2>2.49</formula2>
    </dataValidation>
    <dataValidation type="decimal" allowBlank="1" showInputMessage="1" showErrorMessage="1" errorTitle="Invalid value entered" error="The Average Depth Embededdment you entered is invalid. The Average Depth Embededdment must be &lt;= 1.99 and &gt;= 0.01" sqref="Q103" xr:uid="{DF198C80-BB57-E649-8488-A41BED0A81E1}">
      <formula1>0.01</formula1>
      <formula2>1.99</formula2>
    </dataValidation>
    <dataValidation type="decimal" allowBlank="1" showInputMessage="1" showErrorMessage="1" errorTitle="Invalid value entered" error="The Average Depth Embededdment you entered is invalid. The Average Depth Embededdment must be &lt;= 2.19 and &gt;= 0.01" sqref="Q104" xr:uid="{85E58873-3DC3-DF46-98C7-14E1DB887EA2}">
      <formula1>0.01</formula1>
      <formula2>2.19</formula2>
    </dataValidation>
    <dataValidation type="decimal" allowBlank="1" showInputMessage="1" showErrorMessage="1" errorTitle="Invalid value entered" error="The Average Depth Embededdment you entered is invalid. The Average Depth Embededdment must be &lt;= 1.69 and &gt;= 0.01" sqref="Q105" xr:uid="{558CC103-24C1-A14B-BB43-5F0BF259225B}">
      <formula1>0.01</formula1>
      <formula2>1.69</formula2>
    </dataValidation>
    <dataValidation type="decimal" allowBlank="1" showInputMessage="1" showErrorMessage="1" errorTitle="Invalid value entered" error="The Average Depth Embededdment you entered is invalid. The Average Depth Embededdment must be &lt;= 2.79 and &gt;= 0.01" sqref="Q106" xr:uid="{EEE64238-71F0-5E42-8191-EBDAC5B29509}">
      <formula1>0.01</formula1>
      <formula2>2.79</formula2>
    </dataValidation>
    <dataValidation type="decimal" allowBlank="1" showInputMessage="1" showErrorMessage="1" errorTitle="Invalid value entered" error="The Average Depth Embededdment you entered is invalid. The Average Depth Embededdment must be &lt;= 6.49 and &gt;= 0.01" sqref="Q107" xr:uid="{549BC2FF-8DF2-4447-935F-26050273108B}">
      <formula1>0.01</formula1>
      <formula2>6.49</formula2>
    </dataValidation>
    <dataValidation type="decimal" allowBlank="1" showInputMessage="1" showErrorMessage="1" errorTitle="Invalid value entered" error="The Average Depth Embededdment you entered is invalid. The Average Depth Embededdment must be &lt;= 0.89 and &gt;= 0.01" sqref="Q108" xr:uid="{E06549B4-6C7E-4447-87E8-6220055CF499}">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109" xr:uid="{DC7307F5-AC04-A146-834E-9B736F9FB774}">
      <formula1>0.01</formula1>
      <formula2>0.59</formula2>
    </dataValidation>
    <dataValidation type="decimal" allowBlank="1" showInputMessage="1" showErrorMessage="1" errorTitle="Invalid value entered" error="The Average Depth Embededdment you entered is invalid. The Average Depth Embededdment must be &lt;= 0.59 and &gt;= 0.01" sqref="Q110" xr:uid="{9600646D-D106-0744-B9B9-6AE291BDD386}">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111" xr:uid="{41D8723B-BC1E-214C-BCE6-09457D36B619}">
      <formula1>0.01</formula1>
      <formula2>0.89</formula2>
    </dataValidation>
    <dataValidation type="decimal" allowBlank="1" showInputMessage="1" showErrorMessage="1" errorTitle="Invalid value entered" error="The Average Depth Embededdment you entered is invalid. The Average Depth Embededdment must be &lt;= 2.49 and &gt;= 0.01" sqref="Q112" xr:uid="{2BDCADA3-CFDB-2642-8E94-137477F1AA67}">
      <formula1>0.01</formula1>
      <formula2>2.49</formula2>
    </dataValidation>
    <dataValidation type="decimal" allowBlank="1" showInputMessage="1" showErrorMessage="1" errorTitle="Invalid value entered" error="The Average Depth Embededdment you entered is invalid. The Average Depth Embededdment must be &lt;= 2.19 and &gt;= 0.01" sqref="Q113" xr:uid="{548EE98B-CB50-BF44-8B5E-79880B542615}">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2024-09-13T23:34:38Z</dcterms:modified>
</cp:coreProperties>
</file>