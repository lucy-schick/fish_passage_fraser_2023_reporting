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CF96F1CF-7AA4-AC46-8B4F-46B9B383EABD}" xr6:coauthVersionLast="47" xr6:coauthVersionMax="47" xr10:uidLastSave="{00000000-0000-0000-0000-000000000000}"/>
  <bookViews>
    <workbookView xWindow="35220" yWindow="1140" windowWidth="31620" windowHeight="183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L14" i="2" s="1"/>
  <c r="AM14" i="2" s="1"/>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L20" i="2" s="1"/>
  <c r="AM20" i="2" s="1"/>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7" i="2" l="1"/>
  <c r="AM17" i="2" s="1"/>
  <c r="AL19" i="2"/>
  <c r="AM19" i="2" s="1"/>
  <c r="AL15" i="2"/>
  <c r="AM15" i="2" s="1"/>
  <c r="AL13" i="2"/>
  <c r="AM13" i="2" s="1"/>
  <c r="AL9" i="2"/>
  <c r="AM9" i="2" s="1"/>
  <c r="AL18" i="2"/>
  <c r="AM18" i="2" s="1"/>
  <c r="AL16" i="2"/>
  <c r="AM16" i="2" s="1"/>
  <c r="AL10" i="2"/>
  <c r="AM10" i="2" s="1"/>
  <c r="AL7" i="2"/>
  <c r="AM7" i="2" s="1"/>
  <c r="AL21" i="2"/>
  <c r="AM21" i="2" s="1"/>
  <c r="AL12" i="2"/>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<sst xmlns="http://schemas.openxmlformats.org/spreadsheetml/2006/main" count="376" uniqueCount="164">
  <si>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</si>
  <si>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</si>
  <si>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</si>
  <si>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</si>
  <si>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</si>
  <si>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</si>
  <si>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</si>
  <si>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</si>
  <si>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</si>
  <si>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</si>
  <si>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</si>
  <si>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</si>
  <si>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</si>
  <si>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</si>
  <si>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</si>
  <si>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</si>
  <si>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</si>
  <si>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</si>
  <si>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</si>
  <si>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</si>
  <si>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</si>
  <si>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</si>
  <si>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</si>
  <si>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</si>
  <si>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</si>
  <si>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</si>
  <si>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</si>
  <si>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</si>
  <si>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</si>
  <si>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</si>
  <si>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</si>
  <si>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</si>
  <si>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</si>
  <si>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</si>
  <si>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</si>
  <si>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</si>
  <si>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</si>
  <si>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</si>
  <si>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</si>
  <si>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</si>
  <si>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</si>
  <si>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</si>
  <si>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</si>
  <si>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</si>
  <si>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</si>
  <si>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</si>
  <si>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</si>
  <si>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</si>
  <si>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</si>
  <si>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</si>
  <si>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</si>
  <si>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</si>
  <si>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</si>
  <si>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</si>
  <si>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</si>
  <si>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</si>
  <si>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</si>
  <si>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</si>
  <si>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</si>
  <si>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</si>
  <si>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</si>
  <si>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</si>
  <si>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</si>
  <si>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</si>
  <si>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</si>
  <si>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</si>
  <si>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</si>
  <si>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</si>
  <si>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</si>
  <si>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</si>
  <si>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</si>
  <si>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</si>
  <si>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</si>
  <si>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</si>
  <si>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</si>
  <si>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</si>
  <si>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</si>
  <si>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</si>
  <si>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</si>
  <si>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</si>
  <si>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</si>
  <si>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</si>
  <si>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</si>
  <si>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</si>
  <si>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</si>
  <si>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</si>
  <si>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</si>
  <si>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</si>
  <si>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</si>
  <si>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</si>
  <si>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</si>
  <si>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</si>
  <si>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</si>
  <si>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</si>
  <si>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</si>
  <si>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</si>
  <si>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</si>
  <si>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</si>
  <si>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</si>
  <si>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</si>
  <si>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</si>
  <si>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</si>
  <si>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</si>
  <si>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</si>
  <si>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</si>
  <si>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</si>
  <si>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</si>
  <si>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</si>
  <si>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</si>
  <si>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</si>
  <si>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</si>
  <si>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</si>
  <si>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</si>
  <si>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</si>
  <si>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</si>
  <si>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</si>
  <si>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</si>
  <si>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</si>
  <si>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</si>
  <si>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</si>
  <si>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</si>
  <si>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</si>
  <si>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</si>
  <si>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</si>
  <si>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</si>
  <si>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</si>
  <si>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</si>
  <si>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</si>
  <si>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</si>
  <si>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</si>
  <si>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</si>
  <si>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</si>
  <si>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</si>
  <si>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</si>
  <si>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</si>
  <si>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</si>
  <si>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</si>
  <si>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</si>
  <si>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</si>
  <si>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</si>
  <si>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</si>
  <si>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</si>
  <si>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</si>
  <si>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</si>
  <si>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</si>
  <si>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</si>
  <si>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The culvert had a deep outlet pool and a very large outlet drop. The stream contained functional large woody debris creating complex cover and pools.No photos are available because the surveyors phone fell into the stream.  MoTi chris_hwy_structure_road_id: 3751</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</si>
  <si>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MoTi chris_culvert_id: 1790947</t>
  </si>
  <si>
    <t>Replace with New Open Bottom Structure</t>
  </si>
  <si>
    <t xml:space="preserve">Railway </t>
  </si>
  <si>
    <t>CN Rail</t>
  </si>
  <si>
    <t>Two pipes, each 2.8m in diameter, were present. The pipe on the north side was not flowing. The gradient directly downstream of the culvert was 3-4%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</si>
  <si>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culvert was very undersized for the stream, as indicated by the large outlet drop. The stream had a good amount of given the time of year and uncharacteristically dry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confirmations were completed upstream and downstream of Stella Road as well as below Gala Bay Road.  MoTi chris_culvert_id: 1794199</t>
  </si>
  <si>
    <t>The culvert is undersized for current flow volumes, as indicated by the 1.15m outlet drop. The stream provided high-value spawning and rearing habitat. The local name of the stream is Burnt Cabin Creek. A landowner adjacent to the crossing downstream on Gala Bay Road (PSCIS 199171) reported observing adult sockeye along the shoreline near the confluence with Fraser Lake in past years, and noted that the stream flows year-round, even in dry conditions, fed by a spring at the headwaters. Habitat confirmations were completed upstream, downstream, and below Gala Bay Road. MoTi chris_culvert_id: 1794196</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</si>
  <si>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the habitat confirmation. Chinook and bull trout have been previously captured both upstream and downstream of the crossing by Triton Environmental Consultants Ltd. MoTi chris_hwy_structure_road_id: 29925</t>
  </si>
  <si>
    <t>The local name of the stream is Burnt Cabin Creek. A large outlet drop and a heavily eroded outlet pool indicated the culvert was undersized. The stream provided complex habitat with abundant cover. The crossing was located on a low-traffic dirt road with minimal fill, making replacement relatively straightforward. An adjacent landowner reported observing adult sockeye along the shoreline near the confluence of the stream and Fraser Lake in previous years. They also said the stream is reported to flow year-round, even in dry conditions, fed by a spring at the headwaters, and that the section of stream below Gala Bay Road has been diverted to accommodate a driveway for a recreational property.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</si>
  <si>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Chinook have been captured and detected just downstream of this crossing as part of an ongoing environmental DNA (eDNA) project led by Dr. Brent Murray and Barry Booth at UNBC.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</si>
  <si>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In the lower section of Clear Creek, downstream of Braeside Road, chinook salmon have been repeatedly documented through sampling efforts part of an ongoing environmental DNA (eDNA) project led by Dr. Brent Murray and Barry Booth at UNBC.  MoTi chris_culvert_id: 1806163</t>
  </si>
  <si>
    <t>Large multi-plate oval culvert with a substantial 50m-wide outlet pool. Chinook, bull trout, and other species are documented upstream in the FISS database, and a dead chinook spawner was observed upstream of the crossing during an informal site visit in 2022. The stream had high flow at the time of assessment and the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The Kenneth Creek watershed was assessed in detail using Fish Habitat Assessment Procedures (FHAP) in 1997 by AquaFor Consulting Ltd., who identified the lower 15 reaches as extremely valuable chinook salmon habitat, also supporting bull trout and rainbow trout. MoTi chris_hwy_structure_road_id: 3750</t>
  </si>
  <si>
    <t>At the time of assessment, the stream was dry at the crossing, though medium-value habitat was present. Upstream, the channel remained mostly dry for the first 300m before intermittent pools associated with beaver activity appeared. By approximately 450-500m upstream, the stream was nearly fully watered, with pools up to 40cm deep. Downstream of the crossing, the channel transitioned into beaver-impounded wetland habitat storing substantial water volumes, likely supporting year-round flow at the downstream Dog Creek Road crossing (PSCIS 199173). Further downstream, approximately 300m upstream of the crossing on Dog Creek Road, the stream transitioned to a channelized system with some pockets of gravel suitable for rearing rainbow trout and potentially Chinook. Heavy cattle impacts were observed at both this crossing and the downstream crossing on Dog Creek Road. Chinook have been captured upstream of the crossing of Dog Creek Road (PSCIS 199173) as part of an ongoing environmental DNA (eDNA) project led by Dr. Brent Murray and Barry Booth at UNBC.</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</si>
  <si>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1-3m wide, but most of the area consisted of 15-17m of wetted forest with some flow. Culvert slope was estimated due to the submerged inlet. Habitat confirmations were conducted upstream and downstream.</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</si>
  <si>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A salmon point was noted near the pipeline location in FISS. Numerous small steps, ranging from 30-60cm, were present due to the steep, boulder-dominated nature of the stream. Electrofishing would be beneficial for further assessment. The site was a highway crossing, making replacement difficult.  Upstream of the Mount Tinsley Pit Road crossing, a hiking trail follows Teepee Creek and provides access to Mount Terry Fox Provincial Park. MoTi chris_culvert_id: 1467202</t>
  </si>
  <si>
    <t>The culvert had a moderate outlet drop with some erosion around the pipe at the outlet. The pipe was in good condition. The stream provided excellent habitat, with several pools and abundant undercut banks. Fish were observed during the assessment (~40-90mm in length), and chinook have been captured upstream of this crossing as part of an ongoing environmental DNA (eDNA) project led by Dr. Brent Murray and Barry Booth at UNBC.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The lower 200m of the stream is incorrectly mapped in the BC Freshwater Atlas. Instead of flowing east along Dog Creek Road as mapped, the stream flows south, crosses Dog Creek Road, and joins the Nechako River. MoTi chris_culvert_id: 1794340</t>
  </si>
  <si>
    <t>Three concrete pipes, each 0.9m in diameter, were present, along with two 0.9m corrugated overflow pipes above. A stamp on the structure indicated it was built in 1944. All three concrete pipes were clogged at the inlet, ranging from 80% to 100% clogged with debris. This is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30-60cm, were present due to the steep, boulder-dominated nature of the stream. Downstream of the highway crossing, the stream had a lower gradient with frequent pools 0.3-0.5m deep, providing good overwintering habitat for fish and abundant gravels suitable for spawning. Upstream of the Mount Tinsley Pit Road crossing, a hiking trail follows Teepee Creek and provides access to Mount Terry Fox Provincial 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</si>
</sst>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Alignment="1" applyProtection="1">
      <alignment horizontal="right"/>
      <protection locked="0"/>
    </xf>
    <xf numFmtId="2" fontId="0" fillId="0" borderId="0" xfId="0" applyNumberFormat="1" applyFill="1" applyProtection="1">
      <protection locked="0"/>
    </xf>
    <xf numFmtId="1" fontId="1" fillId="0" borderId="0" xfId="3" applyNumberFormat="1" applyFill="1" applyProtection="1">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N1" zoomScaleNormal="100" workbookViewId="0">
      <pane ySplit="4" topLeftCell="A5" activePane="bottomLeft" state="frozen"/>
      <selection pane="bottomLeft" activeCell="AP22" sqref="AP2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83">
        <v>45569</v>
      </c>
      <c r="B5" s="84">
        <v>199172</v>
      </c>
      <c r="D5" s="82" t="s">
        <v>100</v>
      </c>
      <c r="E5" s="85">
        <v>10</v>
      </c>
      <c r="F5" s="86">
        <v>388269</v>
      </c>
      <c r="G5" s="86">
        <v>5996948</v>
      </c>
      <c r="H5" s="85" t="s">
        <v>101</v>
      </c>
      <c r="I5" s="85" t="s">
        <v>102</v>
      </c>
      <c r="J5" s="33"/>
      <c r="K5" s="85" t="s">
        <v>103</v>
      </c>
      <c r="L5" s="82" t="s">
        <v>104</v>
      </c>
      <c r="M5" s="82" t="s">
        <v>105</v>
      </c>
      <c r="N5" s="87">
        <v>1.1000000000000001</v>
      </c>
      <c r="O5" s="87">
        <v>25</v>
      </c>
      <c r="P5" s="82" t="s">
        <v>106</v>
      </c>
      <c r="Q5" s="94"/>
      <c r="R5" s="82" t="s">
        <v>106</v>
      </c>
      <c r="S5" s="82" t="s">
        <v>106</v>
      </c>
      <c r="T5" s="94"/>
      <c r="U5" s="82">
        <v>4</v>
      </c>
      <c r="V5" s="82">
        <v>1.35</v>
      </c>
      <c r="W5" s="82">
        <v>0.28000000000000003</v>
      </c>
      <c r="X5" s="82" t="s">
        <v>106</v>
      </c>
      <c r="Y5" s="82">
        <v>5</v>
      </c>
      <c r="Z5" s="82">
        <v>2</v>
      </c>
      <c r="AA5" s="82">
        <v>0</v>
      </c>
      <c r="AB5" s="82" t="s">
        <v>106</v>
      </c>
      <c r="AC5" s="82" t="s">
        <v>106</v>
      </c>
      <c r="AD5" s="82" t="s">
        <v>107</v>
      </c>
      <c r="AE5" s="82" t="s">
        <v>108</v>
      </c>
      <c r="AF5" s="20">
        <f>IF(ISBLANK(Z5), 0, IF(ISBLANK(N5) &lt; 0, 0,Z5 / N5))</f>
        <v>1.8181818181818181</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2" t="s">
        <v>148</v>
      </c>
      <c r="AO5" s="82">
        <v>18</v>
      </c>
      <c r="AP5" s="92" t="s">
        <v>152</v>
      </c>
    </row>
    <row r="6" spans="1:42" ht="16">
      <c r="A6" s="83">
        <v>45568</v>
      </c>
      <c r="B6" s="84">
        <v>7622</v>
      </c>
      <c r="D6" s="82" t="s">
        <v>109</v>
      </c>
      <c r="E6" s="85">
        <v>10</v>
      </c>
      <c r="F6" s="86">
        <v>388735</v>
      </c>
      <c r="G6" s="86">
        <v>5997152</v>
      </c>
      <c r="H6" s="82" t="s">
        <v>110</v>
      </c>
      <c r="I6" s="85" t="s">
        <v>102</v>
      </c>
      <c r="J6" s="33"/>
      <c r="K6" s="82" t="s">
        <v>111</v>
      </c>
      <c r="L6" s="82" t="s">
        <v>104</v>
      </c>
      <c r="M6" s="82" t="s">
        <v>105</v>
      </c>
      <c r="N6" s="87">
        <v>1.1499999999999999</v>
      </c>
      <c r="O6" s="87">
        <v>30</v>
      </c>
      <c r="P6" s="82" t="s">
        <v>106</v>
      </c>
      <c r="Q6" s="94"/>
      <c r="R6" s="82" t="s">
        <v>106</v>
      </c>
      <c r="S6" s="82" t="s">
        <v>106</v>
      </c>
      <c r="T6" s="94"/>
      <c r="U6" s="82">
        <v>2.2000000000000002</v>
      </c>
      <c r="V6" s="82">
        <v>1.1499999999999999</v>
      </c>
      <c r="W6" s="82">
        <v>0.43</v>
      </c>
      <c r="X6" s="82" t="s">
        <v>106</v>
      </c>
      <c r="Y6" s="82">
        <v>5</v>
      </c>
      <c r="Z6" s="82">
        <v>2</v>
      </c>
      <c r="AA6" s="82">
        <v>5</v>
      </c>
      <c r="AB6" s="82" t="s">
        <v>106</v>
      </c>
      <c r="AC6" s="82" t="s">
        <v>106</v>
      </c>
      <c r="AD6" s="82" t="s">
        <v>107</v>
      </c>
      <c r="AE6" s="82" t="s">
        <v>108</v>
      </c>
      <c r="AF6" s="20">
        <f t="shared" ref="AF6:AF11" si="0">IF(ISBLANK(Z6), 0, IF(ISBLANK(N6) &lt; 0, 0,Z6 / N6))</f>
        <v>1.7391304347826089</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2" t="s">
        <v>148</v>
      </c>
      <c r="AO6" s="82">
        <v>15</v>
      </c>
      <c r="AP6" s="92" t="s">
        <v>153</v>
      </c>
    </row>
    <row r="7" spans="1:42" ht="16">
      <c r="A7" s="83">
        <v>45550</v>
      </c>
      <c r="B7" s="84">
        <v>199174</v>
      </c>
      <c r="D7" s="82" t="s">
        <v>112</v>
      </c>
      <c r="E7" s="85">
        <v>10</v>
      </c>
      <c r="F7" s="86">
        <v>397160</v>
      </c>
      <c r="G7" s="86">
        <v>5996574</v>
      </c>
      <c r="H7" s="82" t="s">
        <v>113</v>
      </c>
      <c r="I7" s="85" t="s">
        <v>114</v>
      </c>
      <c r="J7" s="88">
        <v>1.1000000000000001</v>
      </c>
      <c r="K7" s="82" t="s">
        <v>115</v>
      </c>
      <c r="L7" s="82" t="s">
        <v>104</v>
      </c>
      <c r="M7" s="82" t="s">
        <v>105</v>
      </c>
      <c r="N7" s="89">
        <v>1.5</v>
      </c>
      <c r="O7" s="89">
        <v>15</v>
      </c>
      <c r="P7" s="82" t="s">
        <v>106</v>
      </c>
      <c r="Q7" s="94"/>
      <c r="R7" s="82" t="s">
        <v>106</v>
      </c>
      <c r="S7" s="82" t="s">
        <v>106</v>
      </c>
      <c r="T7" s="94"/>
      <c r="U7" s="82">
        <v>0.4</v>
      </c>
      <c r="V7" s="82">
        <v>0</v>
      </c>
      <c r="W7" s="82">
        <v>0</v>
      </c>
      <c r="X7" s="82" t="s">
        <v>106</v>
      </c>
      <c r="Y7" s="82">
        <v>1</v>
      </c>
      <c r="Z7" s="82">
        <v>2.5</v>
      </c>
      <c r="AA7" s="82">
        <v>1.2</v>
      </c>
      <c r="AB7" s="82" t="s">
        <v>106</v>
      </c>
      <c r="AC7" s="82" t="s">
        <v>106</v>
      </c>
      <c r="AD7" s="82" t="s">
        <v>107</v>
      </c>
      <c r="AE7" s="82" t="s">
        <v>108</v>
      </c>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82" t="s">
        <v>148</v>
      </c>
      <c r="AO7" s="82">
        <v>15</v>
      </c>
      <c r="AP7" s="82" t="s">
        <v>159</v>
      </c>
    </row>
    <row r="8" spans="1:42" ht="16">
      <c r="A8" s="83">
        <v>45570</v>
      </c>
      <c r="B8" s="90">
        <v>199232</v>
      </c>
      <c r="D8" s="82" t="s">
        <v>112</v>
      </c>
      <c r="E8" s="85">
        <v>10</v>
      </c>
      <c r="F8" s="86">
        <v>502374</v>
      </c>
      <c r="G8" s="86">
        <v>5962501</v>
      </c>
      <c r="H8" s="82" t="s">
        <v>116</v>
      </c>
      <c r="I8" s="85" t="s">
        <v>117</v>
      </c>
      <c r="J8" s="79"/>
      <c r="K8" s="91" t="s">
        <v>118</v>
      </c>
      <c r="L8" s="82" t="s">
        <v>104</v>
      </c>
      <c r="M8" s="82" t="s">
        <v>119</v>
      </c>
      <c r="N8" s="89">
        <v>5.6</v>
      </c>
      <c r="O8" s="89">
        <v>25</v>
      </c>
      <c r="P8" s="82" t="s">
        <v>106</v>
      </c>
      <c r="Q8" s="94"/>
      <c r="R8" s="82" t="s">
        <v>106</v>
      </c>
      <c r="S8" s="82" t="s">
        <v>106</v>
      </c>
      <c r="T8" s="94"/>
      <c r="U8" s="82">
        <v>1.5</v>
      </c>
      <c r="V8" s="82">
        <v>1.05</v>
      </c>
      <c r="W8" s="82">
        <v>0.35</v>
      </c>
      <c r="X8" s="82" t="s">
        <v>106</v>
      </c>
      <c r="Y8" s="82">
        <v>2</v>
      </c>
      <c r="Z8" s="82">
        <v>9.6</v>
      </c>
      <c r="AA8" s="82">
        <v>0.5</v>
      </c>
      <c r="AB8" s="82" t="s">
        <v>106</v>
      </c>
      <c r="AC8" s="82" t="s">
        <v>106</v>
      </c>
      <c r="AD8" s="82" t="s">
        <v>107</v>
      </c>
      <c r="AE8" s="82"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82" t="s">
        <v>148</v>
      </c>
      <c r="AO8" s="82">
        <v>15</v>
      </c>
      <c r="AP8" s="82" t="s">
        <v>151</v>
      </c>
    </row>
    <row r="9" spans="1:42" ht="16">
      <c r="A9" s="83">
        <v>45572</v>
      </c>
      <c r="B9" s="84">
        <v>199260</v>
      </c>
      <c r="D9" s="82" t="s">
        <v>112</v>
      </c>
      <c r="E9" s="85">
        <v>10</v>
      </c>
      <c r="F9" s="86">
        <v>587916</v>
      </c>
      <c r="G9" s="86">
        <v>5972449</v>
      </c>
      <c r="H9" s="92" t="s">
        <v>120</v>
      </c>
      <c r="I9" s="85" t="s">
        <v>117</v>
      </c>
      <c r="J9" s="33"/>
      <c r="K9" s="91" t="s">
        <v>97</v>
      </c>
      <c r="L9" s="82" t="s">
        <v>104</v>
      </c>
      <c r="M9" s="82" t="s">
        <v>105</v>
      </c>
      <c r="N9" s="89">
        <v>1.2</v>
      </c>
      <c r="O9" s="89">
        <v>50</v>
      </c>
      <c r="P9" s="82" t="s">
        <v>106</v>
      </c>
      <c r="Q9" s="94"/>
      <c r="R9" s="82" t="s">
        <v>106</v>
      </c>
      <c r="S9" s="82" t="s">
        <v>106</v>
      </c>
      <c r="T9" s="94"/>
      <c r="U9" s="82">
        <v>9</v>
      </c>
      <c r="V9" s="82">
        <v>1.4</v>
      </c>
      <c r="W9" s="82">
        <v>0.9</v>
      </c>
      <c r="X9" s="82" t="s">
        <v>121</v>
      </c>
      <c r="Y9" s="82">
        <v>6</v>
      </c>
      <c r="Z9" s="82">
        <v>7</v>
      </c>
      <c r="AA9" s="82">
        <v>5</v>
      </c>
      <c r="AB9" s="82" t="s">
        <v>106</v>
      </c>
      <c r="AC9" s="82" t="s">
        <v>106</v>
      </c>
      <c r="AD9" s="82" t="s">
        <v>107</v>
      </c>
      <c r="AE9" s="82"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82" t="s">
        <v>148</v>
      </c>
      <c r="AO9" s="82">
        <v>33</v>
      </c>
      <c r="AP9" s="82" t="s">
        <v>144</v>
      </c>
    </row>
    <row r="10" spans="1:42" ht="16">
      <c r="A10" s="83">
        <v>45572</v>
      </c>
      <c r="B10" s="84">
        <v>199255</v>
      </c>
      <c r="D10" s="82" t="s">
        <v>112</v>
      </c>
      <c r="E10" s="85">
        <v>10</v>
      </c>
      <c r="F10" s="86">
        <v>578664</v>
      </c>
      <c r="G10" s="86">
        <v>5972996</v>
      </c>
      <c r="H10" s="92" t="s">
        <v>123</v>
      </c>
      <c r="I10" s="85" t="s">
        <v>124</v>
      </c>
      <c r="J10" s="88">
        <v>32</v>
      </c>
      <c r="K10" s="82" t="s">
        <v>115</v>
      </c>
      <c r="L10" s="82" t="s">
        <v>104</v>
      </c>
      <c r="M10" s="82" t="s">
        <v>105</v>
      </c>
      <c r="N10" s="89">
        <v>1.1000000000000001</v>
      </c>
      <c r="O10" s="89">
        <v>13</v>
      </c>
      <c r="P10" s="82" t="s">
        <v>106</v>
      </c>
      <c r="Q10" s="95"/>
      <c r="R10" s="82" t="s">
        <v>106</v>
      </c>
      <c r="S10" s="82" t="s">
        <v>106</v>
      </c>
      <c r="T10" s="95"/>
      <c r="U10" s="89">
        <v>1.5</v>
      </c>
      <c r="V10" s="82">
        <v>0</v>
      </c>
      <c r="W10" s="89">
        <v>0.25</v>
      </c>
      <c r="X10" s="82" t="s">
        <v>106</v>
      </c>
      <c r="Y10" s="89">
        <v>1.5</v>
      </c>
      <c r="Z10" s="89">
        <v>10.5</v>
      </c>
      <c r="AA10" s="82">
        <v>0.5</v>
      </c>
      <c r="AB10" s="82" t="s">
        <v>121</v>
      </c>
      <c r="AC10" s="82" t="s">
        <v>106</v>
      </c>
      <c r="AD10" s="82" t="s">
        <v>107</v>
      </c>
      <c r="AE10" s="82"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82" t="s">
        <v>148</v>
      </c>
      <c r="AO10" s="89">
        <v>15</v>
      </c>
      <c r="AP10" s="82" t="s">
        <v>160</v>
      </c>
    </row>
    <row r="11" spans="1:42" ht="16">
      <c r="A11" s="83">
        <v>45573</v>
      </c>
      <c r="B11" s="84">
        <v>199267</v>
      </c>
      <c r="C11" s="78"/>
      <c r="D11" s="82" t="s">
        <v>112</v>
      </c>
      <c r="E11" s="82">
        <v>10</v>
      </c>
      <c r="F11" s="93">
        <v>606378</v>
      </c>
      <c r="G11" s="93">
        <v>5965782</v>
      </c>
      <c r="H11" s="92" t="s">
        <v>125</v>
      </c>
      <c r="I11" s="85" t="s">
        <v>126</v>
      </c>
      <c r="J11" s="33"/>
      <c r="K11" s="82" t="s">
        <v>127</v>
      </c>
      <c r="L11" s="82" t="s">
        <v>104</v>
      </c>
      <c r="M11" s="82" t="s">
        <v>105</v>
      </c>
      <c r="N11" s="89">
        <v>2.2999999999999998</v>
      </c>
      <c r="O11" s="89">
        <v>56</v>
      </c>
      <c r="P11" s="82" t="s">
        <v>106</v>
      </c>
      <c r="Q11" s="95"/>
      <c r="R11" s="82" t="s">
        <v>106</v>
      </c>
      <c r="S11" s="82" t="s">
        <v>106</v>
      </c>
      <c r="T11" s="95"/>
      <c r="U11" s="89">
        <v>1</v>
      </c>
      <c r="V11" s="82">
        <v>0.65</v>
      </c>
      <c r="W11" s="89">
        <v>1.25</v>
      </c>
      <c r="X11" s="82" t="s">
        <v>106</v>
      </c>
      <c r="Y11" s="89">
        <v>2.5</v>
      </c>
      <c r="Z11" s="89">
        <v>10.6</v>
      </c>
      <c r="AA11" s="82">
        <v>0.6</v>
      </c>
      <c r="AB11" s="82" t="s">
        <v>121</v>
      </c>
      <c r="AC11" s="82" t="s">
        <v>106</v>
      </c>
      <c r="AD11" s="82" t="s">
        <v>107</v>
      </c>
      <c r="AE11" s="82"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82" t="s">
        <v>148</v>
      </c>
      <c r="AO11" s="82">
        <v>15</v>
      </c>
      <c r="AP11" s="82" t="s">
        <v>145</v>
      </c>
    </row>
    <row r="12" spans="1:42" ht="16">
      <c r="A12" s="83">
        <v>45573</v>
      </c>
      <c r="B12" s="84">
        <v>199237</v>
      </c>
      <c r="D12" s="82" t="s">
        <v>112</v>
      </c>
      <c r="E12" s="85">
        <v>10</v>
      </c>
      <c r="F12" s="86">
        <v>650786</v>
      </c>
      <c r="G12" s="86">
        <v>5934862</v>
      </c>
      <c r="H12" s="85" t="s">
        <v>128</v>
      </c>
      <c r="I12" s="85" t="s">
        <v>126</v>
      </c>
      <c r="J12" s="33"/>
      <c r="K12" s="85" t="s">
        <v>127</v>
      </c>
      <c r="L12" s="82" t="s">
        <v>104</v>
      </c>
      <c r="M12" s="82" t="s">
        <v>105</v>
      </c>
      <c r="N12" s="89">
        <v>2.5</v>
      </c>
      <c r="O12" s="89">
        <v>45</v>
      </c>
      <c r="P12" s="82" t="s">
        <v>106</v>
      </c>
      <c r="Q12" s="94"/>
      <c r="R12" s="82" t="s">
        <v>106</v>
      </c>
      <c r="S12" s="82" t="s">
        <v>106</v>
      </c>
      <c r="T12" s="95"/>
      <c r="U12" s="89"/>
      <c r="V12" s="82">
        <v>0.65</v>
      </c>
      <c r="W12" s="89">
        <v>1.9</v>
      </c>
      <c r="X12" s="82" t="s">
        <v>106</v>
      </c>
      <c r="Y12" s="89">
        <v>2</v>
      </c>
      <c r="Z12" s="89">
        <v>14</v>
      </c>
      <c r="AA12" s="82">
        <v>0.6</v>
      </c>
      <c r="AB12" s="82" t="s">
        <v>106</v>
      </c>
      <c r="AC12" s="82" t="s">
        <v>106</v>
      </c>
      <c r="AD12" s="82" t="s">
        <v>107</v>
      </c>
      <c r="AE12" s="82"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82" t="s">
        <v>148</v>
      </c>
      <c r="AO12" s="89">
        <v>19</v>
      </c>
      <c r="AP12" s="82" t="s">
        <v>146</v>
      </c>
    </row>
    <row r="13" spans="1:42" ht="16">
      <c r="A13" s="83">
        <v>45574</v>
      </c>
      <c r="B13" s="84">
        <v>199282</v>
      </c>
      <c r="D13" s="82" t="s">
        <v>112</v>
      </c>
      <c r="E13" s="85">
        <v>11</v>
      </c>
      <c r="F13" s="86">
        <v>305946</v>
      </c>
      <c r="G13" s="86">
        <v>5896010</v>
      </c>
      <c r="H13" s="85" t="s">
        <v>129</v>
      </c>
      <c r="I13" s="85" t="s">
        <v>130</v>
      </c>
      <c r="K13" s="85" t="s">
        <v>97</v>
      </c>
      <c r="L13" s="82" t="s">
        <v>104</v>
      </c>
      <c r="M13" s="82" t="s">
        <v>105</v>
      </c>
      <c r="N13" s="89">
        <v>4</v>
      </c>
      <c r="O13" s="89">
        <v>52</v>
      </c>
      <c r="P13" s="82" t="s">
        <v>106</v>
      </c>
      <c r="Q13" s="94"/>
      <c r="R13" s="82" t="s">
        <v>106</v>
      </c>
      <c r="S13" s="82" t="s">
        <v>106</v>
      </c>
      <c r="T13" s="94"/>
      <c r="U13" s="89">
        <v>2</v>
      </c>
      <c r="V13" s="82">
        <v>0.8</v>
      </c>
      <c r="W13" s="89">
        <v>0.5</v>
      </c>
      <c r="X13" s="82" t="s">
        <v>106</v>
      </c>
      <c r="Y13" s="89">
        <v>2</v>
      </c>
      <c r="Z13" s="89">
        <v>16</v>
      </c>
      <c r="AA13" s="82">
        <v>3</v>
      </c>
      <c r="AB13" s="82" t="s">
        <v>106</v>
      </c>
      <c r="AC13" s="82" t="s">
        <v>121</v>
      </c>
      <c r="AD13" s="82" t="s">
        <v>107</v>
      </c>
      <c r="AE13" s="82"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82" t="s">
        <v>148</v>
      </c>
      <c r="AO13" s="89">
        <v>21</v>
      </c>
      <c r="AP13" s="82" t="s">
        <v>154</v>
      </c>
    </row>
    <row r="14" spans="1:42" ht="16">
      <c r="A14" s="83">
        <v>45574</v>
      </c>
      <c r="B14" s="84">
        <v>199278</v>
      </c>
      <c r="D14" s="82" t="s">
        <v>112</v>
      </c>
      <c r="E14" s="85">
        <v>11</v>
      </c>
      <c r="F14" s="86">
        <v>344031</v>
      </c>
      <c r="G14" s="86">
        <v>5862744</v>
      </c>
      <c r="H14" s="85" t="s">
        <v>131</v>
      </c>
      <c r="I14" s="85" t="s">
        <v>132</v>
      </c>
      <c r="K14" s="85" t="s">
        <v>97</v>
      </c>
      <c r="L14" s="82" t="s">
        <v>104</v>
      </c>
      <c r="M14" s="82" t="s">
        <v>105</v>
      </c>
      <c r="N14" s="89">
        <v>1.4</v>
      </c>
      <c r="O14" s="89">
        <v>22</v>
      </c>
      <c r="P14" s="82" t="s">
        <v>106</v>
      </c>
      <c r="Q14" s="94"/>
      <c r="R14" s="82" t="s">
        <v>106</v>
      </c>
      <c r="S14" s="82" t="s">
        <v>106</v>
      </c>
      <c r="T14" s="94"/>
      <c r="U14" s="89">
        <v>0.7</v>
      </c>
      <c r="V14" s="82">
        <v>0.4</v>
      </c>
      <c r="W14" s="89">
        <v>1</v>
      </c>
      <c r="X14" s="82" t="s">
        <v>106</v>
      </c>
      <c r="Y14" s="89">
        <v>2</v>
      </c>
      <c r="Z14" s="89">
        <v>7</v>
      </c>
      <c r="AA14" s="82">
        <v>2.5</v>
      </c>
      <c r="AB14" s="82" t="s">
        <v>106</v>
      </c>
      <c r="AC14" s="82" t="s">
        <v>106</v>
      </c>
      <c r="AD14" s="82" t="s">
        <v>107</v>
      </c>
      <c r="AE14" s="82"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82" t="s">
        <v>148</v>
      </c>
      <c r="AO14" s="89">
        <v>15</v>
      </c>
      <c r="AP14" s="82" t="s">
        <v>161</v>
      </c>
    </row>
    <row r="15" spans="1:42" ht="16">
      <c r="A15" s="83">
        <v>45568</v>
      </c>
      <c r="B15" s="84">
        <v>199171</v>
      </c>
      <c r="D15" s="82" t="s">
        <v>133</v>
      </c>
      <c r="E15" s="85">
        <v>10</v>
      </c>
      <c r="F15" s="86">
        <v>388944</v>
      </c>
      <c r="G15" s="86">
        <v>5997001</v>
      </c>
      <c r="H15" s="85" t="s">
        <v>134</v>
      </c>
      <c r="I15" s="85" t="s">
        <v>135</v>
      </c>
      <c r="K15" s="85" t="s">
        <v>97</v>
      </c>
      <c r="L15" s="82" t="s">
        <v>104</v>
      </c>
      <c r="M15" s="82" t="s">
        <v>105</v>
      </c>
      <c r="N15" s="89">
        <v>1.05</v>
      </c>
      <c r="O15" s="89">
        <v>11.5</v>
      </c>
      <c r="P15" s="82" t="s">
        <v>106</v>
      </c>
      <c r="Q15" s="94"/>
      <c r="R15" s="82" t="s">
        <v>106</v>
      </c>
      <c r="S15" s="82" t="s">
        <v>106</v>
      </c>
      <c r="T15" s="95"/>
      <c r="U15" s="89">
        <v>0.5</v>
      </c>
      <c r="V15" s="82">
        <v>0.9</v>
      </c>
      <c r="W15" s="89">
        <v>0.35</v>
      </c>
      <c r="X15" s="82" t="s">
        <v>106</v>
      </c>
      <c r="Y15" s="89">
        <v>7</v>
      </c>
      <c r="Z15" s="89">
        <v>3.1</v>
      </c>
      <c r="AA15" s="82">
        <v>3</v>
      </c>
      <c r="AB15" s="82" t="s">
        <v>106</v>
      </c>
      <c r="AC15" s="82" t="s">
        <v>106</v>
      </c>
      <c r="AD15" s="82" t="s">
        <v>107</v>
      </c>
      <c r="AE15" s="82" t="s">
        <v>108</v>
      </c>
      <c r="AF15" s="20">
        <f t="shared" si="8"/>
        <v>2.9523809523809526</v>
      </c>
      <c r="AG15" s="13">
        <f t="shared" si="1"/>
        <v>0</v>
      </c>
      <c r="AH15" s="7">
        <f t="shared" si="2"/>
        <v>10</v>
      </c>
      <c r="AI15" s="7">
        <f t="shared" si="3"/>
        <v>10</v>
      </c>
      <c r="AJ15" s="7">
        <f t="shared" si="4"/>
        <v>10</v>
      </c>
      <c r="AK15" s="7">
        <f t="shared" si="5"/>
        <v>6</v>
      </c>
      <c r="AL15" s="12">
        <f t="shared" si="9"/>
        <v>36</v>
      </c>
      <c r="AM15" s="14" t="str">
        <f t="shared" si="7"/>
        <v>Barrier</v>
      </c>
      <c r="AN15" s="82" t="s">
        <v>148</v>
      </c>
      <c r="AO15" s="89">
        <v>15</v>
      </c>
      <c r="AP15" s="82" t="s">
        <v>155</v>
      </c>
    </row>
    <row r="16" spans="1:42" ht="16">
      <c r="A16" s="83">
        <v>45569</v>
      </c>
      <c r="B16" s="84">
        <v>199204</v>
      </c>
      <c r="D16" s="82" t="s">
        <v>133</v>
      </c>
      <c r="E16" s="85">
        <v>10</v>
      </c>
      <c r="F16" s="86">
        <v>403906</v>
      </c>
      <c r="G16" s="86">
        <v>5998777</v>
      </c>
      <c r="H16" s="85" t="s">
        <v>136</v>
      </c>
      <c r="I16" s="85" t="s">
        <v>137</v>
      </c>
      <c r="K16" s="85" t="s">
        <v>97</v>
      </c>
      <c r="L16" s="82" t="s">
        <v>104</v>
      </c>
      <c r="M16" s="82" t="s">
        <v>105</v>
      </c>
      <c r="N16" s="89">
        <v>3.2</v>
      </c>
      <c r="O16" s="89">
        <v>11.5</v>
      </c>
      <c r="P16" s="82" t="s">
        <v>106</v>
      </c>
      <c r="Q16" s="94"/>
      <c r="R16" s="82" t="s">
        <v>106</v>
      </c>
      <c r="S16" s="82" t="s">
        <v>106</v>
      </c>
      <c r="T16" s="95"/>
      <c r="U16" s="89">
        <v>0.5</v>
      </c>
      <c r="V16" s="82">
        <v>0.5</v>
      </c>
      <c r="W16" s="89">
        <v>1.4</v>
      </c>
      <c r="X16" s="82" t="s">
        <v>106</v>
      </c>
      <c r="Y16" s="89">
        <v>2</v>
      </c>
      <c r="Z16" s="89">
        <v>5.5</v>
      </c>
      <c r="AA16" s="82">
        <v>0.5</v>
      </c>
      <c r="AB16" s="82" t="s">
        <v>121</v>
      </c>
      <c r="AC16" s="82" t="s">
        <v>121</v>
      </c>
      <c r="AD16" s="82" t="s">
        <v>107</v>
      </c>
      <c r="AE16" s="82"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82" t="s">
        <v>148</v>
      </c>
      <c r="AO16" s="89">
        <v>15</v>
      </c>
      <c r="AP16" s="82" t="s">
        <v>156</v>
      </c>
    </row>
    <row r="17" spans="1:42" ht="16">
      <c r="A17" s="83">
        <v>45569</v>
      </c>
      <c r="B17" s="84">
        <v>199190</v>
      </c>
      <c r="D17" s="82" t="s">
        <v>133</v>
      </c>
      <c r="E17" s="85">
        <v>10</v>
      </c>
      <c r="F17" s="86">
        <v>425557</v>
      </c>
      <c r="G17" s="86">
        <v>5996165</v>
      </c>
      <c r="H17" s="85" t="s">
        <v>138</v>
      </c>
      <c r="I17" s="85" t="s">
        <v>139</v>
      </c>
      <c r="K17" s="85" t="s">
        <v>97</v>
      </c>
      <c r="L17" s="82" t="s">
        <v>104</v>
      </c>
      <c r="M17" s="82" t="s">
        <v>105</v>
      </c>
      <c r="N17" s="89">
        <v>1.85</v>
      </c>
      <c r="O17" s="89">
        <v>28</v>
      </c>
      <c r="P17" s="82" t="s">
        <v>106</v>
      </c>
      <c r="Q17" s="95"/>
      <c r="R17" s="82" t="s">
        <v>106</v>
      </c>
      <c r="S17" s="82" t="s">
        <v>106</v>
      </c>
      <c r="T17" s="94"/>
      <c r="U17" s="89">
        <v>3</v>
      </c>
      <c r="V17" s="82">
        <v>1</v>
      </c>
      <c r="W17" s="89">
        <v>0.2</v>
      </c>
      <c r="X17" s="82" t="s">
        <v>106</v>
      </c>
      <c r="Y17" s="89">
        <v>3</v>
      </c>
      <c r="Z17" s="89">
        <v>5.22</v>
      </c>
      <c r="AA17" s="82">
        <v>1.25</v>
      </c>
      <c r="AB17" s="82" t="s">
        <v>106</v>
      </c>
      <c r="AC17" s="82" t="s">
        <v>106</v>
      </c>
      <c r="AD17" s="82" t="s">
        <v>107</v>
      </c>
      <c r="AE17" s="82"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82" t="s">
        <v>148</v>
      </c>
      <c r="AO17" s="89">
        <v>15</v>
      </c>
      <c r="AP17" s="82" t="s">
        <v>157</v>
      </c>
    </row>
    <row r="18" spans="1:42" ht="16">
      <c r="A18" s="83">
        <v>45572</v>
      </c>
      <c r="B18" s="84">
        <v>199256</v>
      </c>
      <c r="D18" s="82" t="s">
        <v>133</v>
      </c>
      <c r="E18" s="85">
        <v>10</v>
      </c>
      <c r="F18" s="86">
        <v>582279</v>
      </c>
      <c r="G18" s="86">
        <v>5975090</v>
      </c>
      <c r="H18" s="85" t="s">
        <v>140</v>
      </c>
      <c r="I18" s="85" t="s">
        <v>126</v>
      </c>
      <c r="K18" s="85" t="s">
        <v>97</v>
      </c>
      <c r="L18" s="82" t="s">
        <v>104</v>
      </c>
      <c r="M18" s="82" t="s">
        <v>119</v>
      </c>
      <c r="N18" s="89">
        <v>5.5</v>
      </c>
      <c r="O18" s="89">
        <v>30</v>
      </c>
      <c r="P18" s="82" t="s">
        <v>106</v>
      </c>
      <c r="Q18" s="94"/>
      <c r="R18" s="82" t="s">
        <v>106</v>
      </c>
      <c r="S18" s="82" t="s">
        <v>106</v>
      </c>
      <c r="T18" s="95"/>
      <c r="U18" s="89">
        <v>1.5</v>
      </c>
      <c r="V18" s="82">
        <v>0.7</v>
      </c>
      <c r="W18" s="89">
        <v>2</v>
      </c>
      <c r="X18" s="82" t="s">
        <v>106</v>
      </c>
      <c r="Y18" s="89">
        <v>1</v>
      </c>
      <c r="Z18" s="89">
        <v>19</v>
      </c>
      <c r="AA18" s="82">
        <v>0.5</v>
      </c>
      <c r="AB18" s="82" t="s">
        <v>106</v>
      </c>
      <c r="AC18" s="82" t="s">
        <v>106</v>
      </c>
      <c r="AD18" s="82" t="s">
        <v>107</v>
      </c>
      <c r="AE18" s="82"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82" t="s">
        <v>148</v>
      </c>
      <c r="AO18" s="89">
        <v>24</v>
      </c>
      <c r="AP18" s="82" t="s">
        <v>158</v>
      </c>
    </row>
    <row r="19" spans="1:42" ht="32">
      <c r="A19" s="83">
        <v>45550</v>
      </c>
      <c r="B19" s="84">
        <v>199173</v>
      </c>
      <c r="D19" s="82" t="s">
        <v>141</v>
      </c>
      <c r="E19" s="85">
        <v>10</v>
      </c>
      <c r="F19" s="86">
        <v>398923</v>
      </c>
      <c r="G19" s="86">
        <v>5996362</v>
      </c>
      <c r="H19" s="85" t="s">
        <v>113</v>
      </c>
      <c r="I19" s="85" t="s">
        <v>142</v>
      </c>
      <c r="J19" s="33"/>
      <c r="K19" s="85" t="s">
        <v>97</v>
      </c>
      <c r="L19" s="82" t="s">
        <v>104</v>
      </c>
      <c r="M19" s="82" t="s">
        <v>105</v>
      </c>
      <c r="N19" s="89">
        <v>0.9</v>
      </c>
      <c r="O19" s="89">
        <v>10.5</v>
      </c>
      <c r="P19" s="82" t="s">
        <v>106</v>
      </c>
      <c r="Q19" s="94"/>
      <c r="R19" s="82" t="s">
        <v>106</v>
      </c>
      <c r="S19" s="82" t="s">
        <v>106</v>
      </c>
      <c r="T19" s="95"/>
      <c r="U19" s="89">
        <v>1</v>
      </c>
      <c r="V19" s="82">
        <v>0.35</v>
      </c>
      <c r="W19" s="89">
        <v>0.7</v>
      </c>
      <c r="X19" s="82" t="s">
        <v>106</v>
      </c>
      <c r="Y19" s="89">
        <v>2.5</v>
      </c>
      <c r="Z19" s="89">
        <v>3</v>
      </c>
      <c r="AA19" s="82">
        <v>4</v>
      </c>
      <c r="AB19" s="82" t="s">
        <v>121</v>
      </c>
      <c r="AC19" s="82" t="s">
        <v>121</v>
      </c>
      <c r="AD19" s="82" t="s">
        <v>107</v>
      </c>
      <c r="AE19" s="82"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82" t="s">
        <v>148</v>
      </c>
      <c r="AO19" s="89">
        <v>15</v>
      </c>
      <c r="AP19" s="82" t="s">
        <v>162</v>
      </c>
    </row>
    <row r="20" spans="1:42" ht="16">
      <c r="A20" s="83">
        <v>45569</v>
      </c>
      <c r="B20" s="84">
        <v>199328</v>
      </c>
      <c r="D20" s="82" t="s">
        <v>100</v>
      </c>
      <c r="E20" s="85">
        <v>10</v>
      </c>
      <c r="F20" s="86">
        <v>388380</v>
      </c>
      <c r="G20" s="86">
        <v>5996779</v>
      </c>
      <c r="H20" s="82" t="s">
        <v>101</v>
      </c>
      <c r="I20" s="85" t="s">
        <v>143</v>
      </c>
      <c r="J20" s="33"/>
      <c r="K20" s="85" t="s">
        <v>127</v>
      </c>
      <c r="L20" s="82" t="s">
        <v>104</v>
      </c>
      <c r="M20" s="82" t="s">
        <v>105</v>
      </c>
      <c r="N20" s="89">
        <v>1.4</v>
      </c>
      <c r="O20" s="89">
        <v>13</v>
      </c>
      <c r="P20" s="82" t="s">
        <v>121</v>
      </c>
      <c r="Q20" s="82">
        <v>0.35</v>
      </c>
      <c r="R20" s="82" t="s">
        <v>121</v>
      </c>
      <c r="S20" s="82" t="s">
        <v>121</v>
      </c>
      <c r="T20" s="82">
        <v>100</v>
      </c>
      <c r="U20" s="82">
        <v>1.5</v>
      </c>
      <c r="V20" s="82">
        <v>0</v>
      </c>
      <c r="W20" s="82">
        <v>0.1</v>
      </c>
      <c r="X20" s="82" t="s">
        <v>106</v>
      </c>
      <c r="Y20" s="82">
        <v>0.5</v>
      </c>
      <c r="Z20" s="82">
        <v>2</v>
      </c>
      <c r="AA20" s="82">
        <v>1.5</v>
      </c>
      <c r="AB20" s="82" t="s">
        <v>106</v>
      </c>
      <c r="AC20" s="82" t="s">
        <v>106</v>
      </c>
      <c r="AD20" s="82" t="s">
        <v>107</v>
      </c>
      <c r="AE20" s="82"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N20" s="82"/>
      <c r="AO20" s="82"/>
      <c r="AP20" s="82" t="s">
        <v>147</v>
      </c>
    </row>
    <row r="21" spans="1:42">
      <c r="A21" s="83">
        <v>45574</v>
      </c>
      <c r="B21" s="84">
        <v>203302</v>
      </c>
      <c r="D21" s="82" t="s">
        <v>100</v>
      </c>
      <c r="E21" s="82">
        <v>11</v>
      </c>
      <c r="F21" s="89">
        <v>344222</v>
      </c>
      <c r="G21" s="89">
        <v>5862742</v>
      </c>
      <c r="H21" s="82" t="s">
        <v>131</v>
      </c>
      <c r="I21" s="82" t="s">
        <v>149</v>
      </c>
      <c r="J21" s="33"/>
      <c r="K21" s="82" t="s">
        <v>150</v>
      </c>
      <c r="L21" s="82" t="s">
        <v>104</v>
      </c>
      <c r="M21" s="82" t="s">
        <v>105</v>
      </c>
      <c r="N21" s="89">
        <v>2.7</v>
      </c>
      <c r="O21" s="89">
        <v>14</v>
      </c>
      <c r="P21" s="82" t="s">
        <v>106</v>
      </c>
      <c r="Q21" s="95"/>
      <c r="R21" s="82" t="s">
        <v>106</v>
      </c>
      <c r="S21" s="82" t="s">
        <v>106</v>
      </c>
      <c r="T21" s="95"/>
      <c r="U21" s="89">
        <v>2</v>
      </c>
      <c r="V21" s="82">
        <v>0.75</v>
      </c>
      <c r="W21" s="89">
        <v>0.25</v>
      </c>
      <c r="X21" s="82" t="s">
        <v>121</v>
      </c>
      <c r="Y21" s="89">
        <v>6</v>
      </c>
      <c r="Z21" s="89">
        <v>4.2</v>
      </c>
      <c r="AA21" s="82">
        <v>7</v>
      </c>
      <c r="AB21" s="82" t="s">
        <v>106</v>
      </c>
      <c r="AC21" s="82" t="s">
        <v>106</v>
      </c>
      <c r="AD21" s="82" t="s">
        <v>107</v>
      </c>
      <c r="AE21" s="82" t="s">
        <v>108</v>
      </c>
      <c r="AF21" s="20">
        <f t="shared" si="8"/>
        <v>1.5555555555555556</v>
      </c>
      <c r="AG21" s="13">
        <f t="shared" si="1"/>
        <v>0</v>
      </c>
      <c r="AH21" s="7">
        <f t="shared" si="2"/>
        <v>10</v>
      </c>
      <c r="AI21" s="7">
        <f t="shared" si="3"/>
        <v>10</v>
      </c>
      <c r="AJ21" s="7">
        <f t="shared" si="4"/>
        <v>10</v>
      </c>
      <c r="AK21" s="7">
        <f t="shared" si="5"/>
        <v>6</v>
      </c>
      <c r="AL21" s="12">
        <f t="shared" si="9"/>
        <v>36</v>
      </c>
      <c r="AM21" s="14" t="str">
        <f t="shared" si="7"/>
        <v>Barrier</v>
      </c>
      <c r="AN21" s="82" t="s">
        <v>148</v>
      </c>
      <c r="AO21" s="89">
        <v>15</v>
      </c>
      <c r="AP21" s="82" t="s">
        <v>163</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40fia5RCp5L+Um9v1pU+bRix2esywwxDTYtAthZKgQBTJltH5A1W0J36rHNLk4v8R6Umn3GTjgigMw0Inw5Uw==" saltValue="a/IZcHKB2I3UGZvXaPMls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1">
    <dataValidation type="list" allowBlank="1" showInputMessage="1" showErrorMessage="1" sqref="AM5284:AM65536" xr:uid="{00000000-0002-0000-0200-000000000000}">
      <formula1>"Passable, Potential, Barrier, Unkown"</formula1>
    </dataValidation>
    <dataValidation type="list" allowBlank="1" showInputMessage="1" showErrorMessage="1" sqref="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4F348EEE-C01E-D04C-A100-EA5D8150379F}">
      <formula1>"Round Culvert,Oval Culvert,Concrete Box"</formula1>
    </dataValidation>
    <dataValidation type="decimal" allowBlank="1" showInputMessage="1" showErrorMessage="1" errorTitle="Invalid Diamter or Span" error="The Diameter or Span entered is invalid. Diameter or Span must be &gt; 0 and &lt; 300" sqref="N5" xr:uid="{FB2CFACB-483F-374B-BFCD-DA23D5B7F09A}">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xr:uid="{F18E55A4-8D53-1941-A2B0-1FAF2C34FBD6}">
      <formula1>0.01</formula1>
      <formula2>1.09</formula2>
    </dataValidation>
    <dataValidation type="list" allowBlank="1" showInputMessage="1" showErrorMessage="1" errorTitle="Invalid value entered" error="The crossing subtype is not compatible with a crossing type of Closed Bottom Structure" sqref="M6" xr:uid="{C419BEEA-78BC-1943-86EB-DD62AB4D0E16}">
      <formula1>"Round Culvert,Oval Culvert,Concrete Box"</formula1>
    </dataValidation>
    <dataValidation type="decimal" allowBlank="1" showInputMessage="1" showErrorMessage="1" errorTitle="Invalid Diamter or Span" error="The Diameter or Span entered is invalid. Diameter or Span must be &gt; 0 and &lt; 300" sqref="N6" xr:uid="{7B81285B-0218-DC40-A05F-7F2285A8D9F8}">
      <formula1>0.01</formula1>
      <formula2>300</formula2>
    </dataValidation>
    <dataValidation type="decimal" allowBlank="1" showInputMessage="1" showErrorMessage="1" errorTitle="Invalid value entered" error="The Average Depth Embededdment you entered is invalid. The Average Depth Embededdment must be &lt;= 1.14 and &gt;= 0.01" sqref="Q6" xr:uid="{44C5FAE8-46DA-C944-9308-AD17F32F3E5A}">
      <formula1>0.01</formula1>
      <formula2>1.14</formula2>
    </dataValidation>
    <dataValidation type="list" allowBlank="1" showInputMessage="1" showErrorMessage="1" errorTitle="Invalid value entered" error="The crossing subtype is not compatible with a crossing type of Closed Bottom Structure" sqref="M7" xr:uid="{177C4331-FD73-5F4D-B0F1-425223D8C473}">
      <formula1>"Round Culvert,Oval Culvert,Concrete Box"</formula1>
    </dataValidation>
    <dataValidation type="decimal" allowBlank="1" showInputMessage="1" showErrorMessage="1" errorTitle="Invalid Diamter or Span" error="The Diameter or Span entered is invalid. Diameter or Span must be &gt; 0 and &lt; 300" sqref="N7" xr:uid="{0416E0F4-48CB-8F45-A976-1E6F4767F91B}">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7" xr:uid="{0180412E-FC7F-AE47-AF1A-7CC339314911}">
      <formula1>0.01</formula1>
      <formula2>1.49</formula2>
    </dataValidation>
    <dataValidation type="list" allowBlank="1" showInputMessage="1" showErrorMessage="1" errorTitle="Invalid value entered" error="The crossing subtype is not compatible with a crossing type of Closed Bottom Structure" sqref="M8" xr:uid="{5F40ED74-580C-3640-A677-118F348EB5B3}">
      <formula1>"Round Culvert,Oval Culvert,Concrete Box"</formula1>
    </dataValidation>
    <dataValidation type="decimal" allowBlank="1" showInputMessage="1" showErrorMessage="1" errorTitle="Invalid Diamter or Span" error="The Diameter or Span entered is invalid. Diameter or Span must be &gt; 0 and &lt; 300" sqref="N8" xr:uid="{C14A9490-89E6-964E-A1A5-8408CF306BDC}">
      <formula1>0.01</formula1>
      <formula2>300</formula2>
    </dataValidation>
    <dataValidation type="decimal" allowBlank="1" showInputMessage="1" showErrorMessage="1" errorTitle="Invalid value entered" error="The Average Depth Embededdment you entered is invalid. The Average Depth Embededdment must be &lt;= 5.59 and &gt;= 0.01" sqref="Q8" xr:uid="{4BACC4DA-6D94-4F49-81BC-F000FF7ABEC5}">
      <formula1>0.01</formula1>
      <formula2>5.59</formula2>
    </dataValidation>
    <dataValidation type="list" allowBlank="1" showInputMessage="1" showErrorMessage="1" errorTitle="Invalid value entered" error="The crossing subtype is not compatible with a crossing type of Closed Bottom Structure" sqref="M9" xr:uid="{7B4C6C00-E3B0-F84D-81CD-0CCD9426ACCF}">
      <formula1>"Round Culvert,Oval Culvert,Concrete Box"</formula1>
    </dataValidation>
    <dataValidation type="decimal" allowBlank="1" showInputMessage="1" showErrorMessage="1" errorTitle="Invalid Diamter or Span" error="The Diameter or Span entered is invalid. Diameter or Span must be &gt; 0 and &lt; 300" sqref="N9" xr:uid="{6B13FA52-84A9-314C-9B73-0A65A3FFBE9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 xr:uid="{6469E6DC-4D4C-7F48-BBAB-9E3810B95D22}">
      <formula1>0.01</formula1>
      <formula2>1.19</formula2>
    </dataValidation>
    <dataValidation type="list" allowBlank="1" showInputMessage="1" showErrorMessage="1" errorTitle="Invalid value entered" error="The crossing subtype is not compatible with a crossing type of Closed Bottom Structure" sqref="M10" xr:uid="{96004E28-810F-4542-A7C4-A4D4AA2905E6}">
      <formula1>"Round Culvert,Oval Culvert,Concrete Box"</formula1>
    </dataValidation>
    <dataValidation type="decimal" allowBlank="1" showInputMessage="1" showErrorMessage="1" errorTitle="Invalid Diamter or Span" error="The Diameter or Span entered is invalid. Diameter or Span must be &gt; 0 and &lt; 300" sqref="N10" xr:uid="{06EC8889-EE33-A147-9B94-16546B1562D0}">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0" xr:uid="{40569B6B-9DF7-EC4F-B028-55C2F70D2392}">
      <formula1>0.01</formula1>
      <formula2>1.09</formula2>
    </dataValidation>
    <dataValidation type="list" allowBlank="1" showInputMessage="1" showErrorMessage="1" errorTitle="Invalid value entered" error="The crossing subtype is not compatible with a crossing type of Closed Bottom Structure" sqref="M11" xr:uid="{FBE87176-5900-8F45-A73C-F05C31BBDCFD}">
      <formula1>"Round Culvert,Oval Culvert,Concrete Box"</formula1>
    </dataValidation>
    <dataValidation type="decimal" allowBlank="1" showInputMessage="1" showErrorMessage="1" errorTitle="Invalid Diamter or Span" error="The Diameter or Span entered is invalid. Diameter or Span must be &gt; 0 and &lt; 300" sqref="N11" xr:uid="{ACDD1556-768D-CA4F-B792-AC842C6E6DFC}">
      <formula1>0.01</formula1>
      <formula2>300</formula2>
    </dataValidation>
    <dataValidation type="decimal" allowBlank="1" showInputMessage="1" showErrorMessage="1" errorTitle="Invalid value entered" error="The Average Depth Embededdment you entered is invalid. The Average Depth Embededdment must be &lt;= 2.29 and &gt;= 0.01" sqref="Q11" xr:uid="{42FD802A-CD84-6C4D-97E2-C60C021CD73A}">
      <formula1>0.01</formula1>
      <formula2>2.29</formula2>
    </dataValidation>
    <dataValidation type="list" allowBlank="1" showInputMessage="1" showErrorMessage="1" errorTitle="Invalid value entered" error="The crossing subtype is not compatible with a crossing type of Closed Bottom Structure" sqref="M12" xr:uid="{1424CF7C-B15C-FE4F-ACDA-111AB3380EA5}">
      <formula1>"Round Culvert,Oval Culvert,Concrete Box"</formula1>
    </dataValidation>
    <dataValidation type="decimal" allowBlank="1" showInputMessage="1" showErrorMessage="1" errorTitle="Invalid Diamter or Span" error="The Diameter or Span entered is invalid. Diameter or Span must be &gt; 0 and &lt; 300" sqref="N12" xr:uid="{A655C035-7363-0441-8235-E626E026B1B9}">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 xr:uid="{1E54BDBC-F7C3-C74E-B4B1-0D1A686B7B01}">
      <formula1>0.01</formula1>
      <formula2>2.49</formula2>
    </dataValidation>
    <dataValidation type="list" allowBlank="1" showInputMessage="1" showErrorMessage="1" errorTitle="Invalid value entered" error="The crossing subtype is not compatible with a crossing type of Closed Bottom Structure" sqref="M13" xr:uid="{F9360813-8972-DF48-9327-9FDFF7BBEF1B}">
      <formula1>"Round Culvert,Oval Culvert,Concrete Box"</formula1>
    </dataValidation>
    <dataValidation type="decimal" allowBlank="1" showInputMessage="1" showErrorMessage="1" errorTitle="Invalid Diamter or Span" error="The Diameter or Span entered is invalid. Diameter or Span must be &gt; 0 and &lt; 300" sqref="N13" xr:uid="{3633AE5F-8BC7-8048-9CF1-49C8139EC9F8}">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13" xr:uid="{C7846D51-3E44-7A42-A34C-5B9C5858570E}">
      <formula1>0.01</formula1>
      <formula2>3.99</formula2>
    </dataValidation>
    <dataValidation type="list" allowBlank="1" showInputMessage="1" showErrorMessage="1" errorTitle="Invalid value entered" error="The crossing subtype is not compatible with a crossing type of Closed Bottom Structure" sqref="M14" xr:uid="{C2CD1DA5-AC6D-8045-9906-A59AAC738E65}">
      <formula1>"Round Culvert,Oval Culvert,Concrete Box"</formula1>
    </dataValidation>
    <dataValidation type="decimal" allowBlank="1" showInputMessage="1" showErrorMessage="1" errorTitle="Invalid Diamter or Span" error="The Diameter or Span entered is invalid. Diameter or Span must be &gt; 0 and &lt; 300" sqref="N14" xr:uid="{640276E7-65AA-934F-9C49-7EC8807F93F4}">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4" xr:uid="{94EF65E1-6469-6642-8071-7DE404CDB531}">
      <formula1>0.01</formula1>
      <formula2>1.39</formula2>
    </dataValidation>
    <dataValidation type="list" allowBlank="1" showInputMessage="1" showErrorMessage="1" errorTitle="Invalid value entered" error="The crossing subtype is not compatible with a crossing type of Closed Bottom Structure" sqref="M15" xr:uid="{75CCD01B-B5D3-6D4F-B7DC-7CD2084E9B21}">
      <formula1>"Round Culvert,Oval Culvert,Concrete Box"</formula1>
    </dataValidation>
    <dataValidation type="decimal" allowBlank="1" showInputMessage="1" showErrorMessage="1" errorTitle="Invalid Diamter or Span" error="The Diameter or Span entered is invalid. Diameter or Span must be &gt; 0 and &lt; 300" sqref="N15" xr:uid="{1B534B37-E558-0E4C-8A09-A57BC4DEF6ED}">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5" xr:uid="{A3E0C3E7-F619-AA41-83D2-04F73FA7A5F8}">
      <formula1>0.01</formula1>
      <formula2>1.04</formula2>
    </dataValidation>
    <dataValidation type="list" allowBlank="1" showInputMessage="1" showErrorMessage="1" errorTitle="Invalid value entered" error="The crossing subtype is not compatible with a crossing type of Closed Bottom Structure" sqref="M16" xr:uid="{22CE8E51-1087-D74C-A959-03648E2708FB}">
      <formula1>"Round Culvert,Oval Culvert,Concrete Box"</formula1>
    </dataValidation>
    <dataValidation type="decimal" allowBlank="1" showInputMessage="1" showErrorMessage="1" errorTitle="Invalid Diamter or Span" error="The Diameter or Span entered is invalid. Diameter or Span must be &gt; 0 and &lt; 300" sqref="N16" xr:uid="{32500C8F-402D-1D41-8C80-5911DA517638}">
      <formula1>0.01</formula1>
      <formula2>300</formula2>
    </dataValidation>
    <dataValidation type="decimal" allowBlank="1" showInputMessage="1" showErrorMessage="1" errorTitle="Invalid value entered" error="The Average Depth Embededdment you entered is invalid. The Average Depth Embededdment must be &lt;= 3.19 and &gt;= 0.01" sqref="Q16" xr:uid="{A597AD58-0B5C-1149-B260-74106ECDA40A}">
      <formula1>0.01</formula1>
      <formula2>3.19</formula2>
    </dataValidation>
    <dataValidation type="list" allowBlank="1" showInputMessage="1" showErrorMessage="1" errorTitle="Invalid value entered" error="The crossing subtype is not compatible with a crossing type of Closed Bottom Structure" sqref="M17" xr:uid="{79B364A1-288A-994E-AEEE-BFFAB4BC9E5B}">
      <formula1>"Round Culvert,Oval Culvert,Concrete Box"</formula1>
    </dataValidation>
    <dataValidation type="decimal" allowBlank="1" showInputMessage="1" showErrorMessage="1" errorTitle="Invalid Diamter or Span" error="The Diameter or Span entered is invalid. Diameter or Span must be &gt; 0 and &lt; 300" sqref="N17" xr:uid="{F3A83896-E778-AF4C-8EAB-E3C10F6E8CE7}">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17" xr:uid="{B9A60A7D-71D1-DB45-835A-5FB4DD9D0EA3}">
      <formula1>0.01</formula1>
      <formula2>1.84</formula2>
    </dataValidation>
    <dataValidation type="list" allowBlank="1" showInputMessage="1" showErrorMessage="1" errorTitle="Invalid value entered" error="The crossing subtype is not compatible with a crossing type of Closed Bottom Structure" sqref="M18" xr:uid="{E2E9006A-BA93-3543-818E-52CB10A8F7EE}">
      <formula1>"Round Culvert,Oval Culvert,Concrete Box"</formula1>
    </dataValidation>
    <dataValidation type="decimal" allowBlank="1" showInputMessage="1" showErrorMessage="1" errorTitle="Invalid Diamter or Span" error="The Diameter or Span entered is invalid. Diameter or Span must be &gt; 0 and &lt; 300" sqref="N18" xr:uid="{210447FD-A952-DA4D-8319-A73EA4E92039}">
      <formula1>0.01</formula1>
      <formula2>300</formula2>
    </dataValidation>
    <dataValidation type="decimal" allowBlank="1" showInputMessage="1" showErrorMessage="1" errorTitle="Invalid value entered" error="The Average Depth Embededdment you entered is invalid. The Average Depth Embededdment must be &lt;= 5.49 and &gt;= 0.01" sqref="Q18" xr:uid="{26754C5B-0B4F-6B41-BCEC-EEAB8EF836B0}">
      <formula1>0.01</formula1>
      <formula2>5.49</formula2>
    </dataValidation>
    <dataValidation type="list" allowBlank="1" showInputMessage="1" showErrorMessage="1" errorTitle="Invalid value entered" error="The crossing subtype is not compatible with a crossing type of Closed Bottom Structure" sqref="M19" xr:uid="{CAEBA4DE-5D57-8049-9D50-F660C6810FB7}">
      <formula1>"Round Culvert,Oval Culvert,Concrete Box"</formula1>
    </dataValidation>
    <dataValidation type="decimal" allowBlank="1" showInputMessage="1" showErrorMessage="1" errorTitle="Invalid Diamter or Span" error="The Diameter or Span entered is invalid. Diameter or Span must be &gt; 0 and &lt; 300" sqref="N19" xr:uid="{9F9BAF44-9BCF-CE4B-B2DC-EE72AE4DFC5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9" xr:uid="{CAC8FE43-137E-8941-88A5-38D044A5321E}">
      <formula1>0.01</formula1>
      <formula2>0.89</formula2>
    </dataValidation>
    <dataValidation type="list" allowBlank="1" showInputMessage="1" showErrorMessage="1" errorTitle="Invalid value entered" error="The crossing subtype is not compatible with a crossing type of Closed Bottom Structure" sqref="M20" xr:uid="{7216FAC2-872B-7146-B51D-D997F3421C3B}">
      <formula1>"Round Culvert,Oval Culvert,Concrete Box"</formula1>
    </dataValidation>
    <dataValidation type="decimal" allowBlank="1" showInputMessage="1" showErrorMessage="1" errorTitle="Invalid Diamter or Span" error="The Diameter or Span entered is invalid. Diameter or Span must be &gt; 0 and &lt; 300" sqref="N20" xr:uid="{FC352616-8DCC-9B45-87CB-AB4C60897B83}">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20" xr:uid="{4A778EA3-45FB-E046-BC1F-B4A2C1A9EEDA}">
      <formula1>0.01</formula1>
      <formula2>1.39</formula2>
    </dataValidation>
    <dataValidation type="list" allowBlank="1" showInputMessage="1" showErrorMessage="1" errorTitle="Invalid value entered" error="The crossing subtype is not compatible with a crossing type of Closed Bottom Structure" sqref="M21" xr:uid="{03F9B312-E04F-7849-AD12-00972FEF1F4F}">
      <formula1>"Round Culvert,Oval Culvert,Concrete Box"</formula1>
    </dataValidation>
    <dataValidation type="decimal" allowBlank="1" showInputMessage="1" showErrorMessage="1" errorTitle="Invalid Diamter or Span" error="The Diameter or Span entered is invalid. Diameter or Span must be &gt; 0 and &lt; 300" sqref="N21" xr:uid="{D233164F-FE77-0747-A1CD-DB55B1E4CA8B}">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21" xr:uid="{11C6225A-384C-D746-B329-6383914A62D6}">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2025-06-23T22:03:04Z</dcterms:modified>
</cp:coreProperties>
</file>