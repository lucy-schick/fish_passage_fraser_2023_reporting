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27" codeName="{C80E003A-6C80-AF87-3323-10F97C11A349}"/>
  <workbookPr codeName="ThisWorkbook" defaultThemeVersion="124226"/>
  <mc:AlternateContent xmlns:mc="http://schemas.openxmlformats.org/markup-compatibility/2006">
    <mc:Choice Requires="x15">
      <x15ac:absPath xmlns:x15ac="http://schemas.microsoft.com/office/spreadsheetml/2010/11/ac" url="/Users/lucyschick/Projects/repo/fish_passage_fraser_2023_reporting/data/"/>
    </mc:Choice>
  </mc:AlternateContent>
  <xr:revisionPtr revIDLastSave="0" documentId="13_ncr:1_{F182B74B-49B1-E648-9AAF-FD821EEBD2C1}" xr6:coauthVersionLast="47" xr6:coauthVersionMax="47" xr10:uidLastSave="{00000000-0000-0000-0000-000000000000}"/>
  <bookViews>
    <workbookView xWindow="0" yWindow="0" windowWidth="28800" windowHeight="1800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J5283" i="2"/>
  <c r="AI5283" i="2"/>
  <c r="AH5283" i="2"/>
  <c r="AG5283" i="2"/>
  <c r="AF5283" i="2"/>
  <c r="AK5283" i="2"/>
  <c r="AJ5282" i="2"/>
  <c r="AI5282" i="2"/>
  <c r="AH5282" i="2"/>
  <c r="AG5282" i="2"/>
  <c r="AF5282" i="2"/>
  <c r="AK5282" i="2" s="1"/>
  <c r="AJ5281" i="2"/>
  <c r="AI5281" i="2"/>
  <c r="AH5281" i="2"/>
  <c r="AG5281" i="2"/>
  <c r="AF5281" i="2"/>
  <c r="AK5281" i="2"/>
  <c r="AJ5280" i="2"/>
  <c r="AI5280" i="2"/>
  <c r="AH5280" i="2"/>
  <c r="AG5280" i="2"/>
  <c r="AF5280" i="2"/>
  <c r="AK5280" i="2" s="1"/>
  <c r="AJ5279" i="2"/>
  <c r="AI5279" i="2"/>
  <c r="AH5279" i="2"/>
  <c r="AG5279" i="2"/>
  <c r="AF5279" i="2"/>
  <c r="AK5279" i="2"/>
  <c r="AJ5278" i="2"/>
  <c r="AI5278" i="2"/>
  <c r="AH5278" i="2"/>
  <c r="AG5278" i="2"/>
  <c r="AF5278" i="2"/>
  <c r="AK5278" i="2" s="1"/>
  <c r="AJ5277" i="2"/>
  <c r="AI5277" i="2"/>
  <c r="AH5277" i="2"/>
  <c r="AG5277" i="2"/>
  <c r="AF5277" i="2"/>
  <c r="AK5277" i="2" s="1"/>
  <c r="AJ5276" i="2"/>
  <c r="AI5276" i="2"/>
  <c r="AH5276" i="2"/>
  <c r="AG5276" i="2"/>
  <c r="AF5276" i="2"/>
  <c r="AK5276" i="2" s="1"/>
  <c r="AJ5275" i="2"/>
  <c r="AI5275" i="2"/>
  <c r="AH5275" i="2"/>
  <c r="AG5275" i="2"/>
  <c r="AF5275" i="2"/>
  <c r="AK5275" i="2"/>
  <c r="AJ5274" i="2"/>
  <c r="AI5274" i="2"/>
  <c r="AH5274" i="2"/>
  <c r="AG5274" i="2"/>
  <c r="AF5274" i="2"/>
  <c r="AK5274" i="2" s="1"/>
  <c r="AJ5273" i="2"/>
  <c r="AI5273" i="2"/>
  <c r="AH5273" i="2"/>
  <c r="AG5273" i="2"/>
  <c r="AF5273" i="2"/>
  <c r="AK5273" i="2" s="1"/>
  <c r="AJ5272" i="2"/>
  <c r="AI5272" i="2"/>
  <c r="AH5272" i="2"/>
  <c r="AG5272" i="2"/>
  <c r="AF5272" i="2"/>
  <c r="AK5272" i="2" s="1"/>
  <c r="AJ5271" i="2"/>
  <c r="AI5271" i="2"/>
  <c r="AH5271" i="2"/>
  <c r="AG5271" i="2"/>
  <c r="AF5271" i="2"/>
  <c r="AK5271" i="2" s="1"/>
  <c r="AJ5270" i="2"/>
  <c r="AI5270" i="2"/>
  <c r="AH5270" i="2"/>
  <c r="AG5270" i="2"/>
  <c r="AF5270" i="2"/>
  <c r="AK5270" i="2" s="1"/>
  <c r="AJ5269" i="2"/>
  <c r="AI5269" i="2"/>
  <c r="AH5269" i="2"/>
  <c r="AG5269" i="2"/>
  <c r="AF5269" i="2"/>
  <c r="AK5269" i="2" s="1"/>
  <c r="AJ5268" i="2"/>
  <c r="AI5268" i="2"/>
  <c r="AH5268" i="2"/>
  <c r="AG5268" i="2"/>
  <c r="AF5268" i="2"/>
  <c r="AK5268" i="2" s="1"/>
  <c r="AJ5267" i="2"/>
  <c r="AI5267" i="2"/>
  <c r="AH5267" i="2"/>
  <c r="AG5267" i="2"/>
  <c r="AF5267" i="2"/>
  <c r="AK5267" i="2" s="1"/>
  <c r="AJ5266" i="2"/>
  <c r="AI5266" i="2"/>
  <c r="AH5266" i="2"/>
  <c r="AG5266" i="2"/>
  <c r="AF5266" i="2"/>
  <c r="AK5266" i="2" s="1"/>
  <c r="AJ5265" i="2"/>
  <c r="AI5265" i="2"/>
  <c r="AH5265" i="2"/>
  <c r="AG5265" i="2"/>
  <c r="AF5265" i="2"/>
  <c r="AK5265" i="2" s="1"/>
  <c r="AJ5264" i="2"/>
  <c r="AI5264" i="2"/>
  <c r="AH5264" i="2"/>
  <c r="AG5264" i="2"/>
  <c r="AF5264" i="2"/>
  <c r="AK5264" i="2" s="1"/>
  <c r="AJ5263" i="2"/>
  <c r="AI5263" i="2"/>
  <c r="AH5263" i="2"/>
  <c r="AG5263" i="2"/>
  <c r="AF5263" i="2"/>
  <c r="AK5263" i="2" s="1"/>
  <c r="AJ5262" i="2"/>
  <c r="AI5262" i="2"/>
  <c r="AH5262" i="2"/>
  <c r="AG5262" i="2"/>
  <c r="AF5262" i="2"/>
  <c r="AK5262" i="2" s="1"/>
  <c r="AJ5261" i="2"/>
  <c r="AI5261" i="2"/>
  <c r="AH5261" i="2"/>
  <c r="AG5261" i="2"/>
  <c r="AF5261" i="2"/>
  <c r="AK5261" i="2" s="1"/>
  <c r="AJ5260" i="2"/>
  <c r="AI5260" i="2"/>
  <c r="AH5260" i="2"/>
  <c r="AG5260" i="2"/>
  <c r="AF5260" i="2"/>
  <c r="AK5260" i="2" s="1"/>
  <c r="AJ5259" i="2"/>
  <c r="AI5259" i="2"/>
  <c r="AH5259" i="2"/>
  <c r="AG5259" i="2"/>
  <c r="AF5259" i="2"/>
  <c r="AK5259" i="2" s="1"/>
  <c r="AJ5258" i="2"/>
  <c r="AI5258" i="2"/>
  <c r="AH5258" i="2"/>
  <c r="AG5258" i="2"/>
  <c r="AF5258" i="2"/>
  <c r="AK5258" i="2" s="1"/>
  <c r="AJ5257" i="2"/>
  <c r="AI5257" i="2"/>
  <c r="AH5257" i="2"/>
  <c r="AG5257" i="2"/>
  <c r="AF5257" i="2"/>
  <c r="AK5257" i="2" s="1"/>
  <c r="AJ5256" i="2"/>
  <c r="AI5256" i="2"/>
  <c r="AH5256" i="2"/>
  <c r="AG5256" i="2"/>
  <c r="AF5256" i="2"/>
  <c r="AK5256" i="2" s="1"/>
  <c r="AJ5255" i="2"/>
  <c r="AI5255" i="2"/>
  <c r="AH5255" i="2"/>
  <c r="AG5255" i="2"/>
  <c r="AF5255" i="2"/>
  <c r="AK5255" i="2" s="1"/>
  <c r="AJ5254" i="2"/>
  <c r="AI5254" i="2"/>
  <c r="AH5254" i="2"/>
  <c r="AG5254" i="2"/>
  <c r="AF5254" i="2"/>
  <c r="AK5254" i="2" s="1"/>
  <c r="AJ5253" i="2"/>
  <c r="AI5253" i="2"/>
  <c r="AH5253" i="2"/>
  <c r="AG5253" i="2"/>
  <c r="AF5253" i="2"/>
  <c r="AK5253" i="2" s="1"/>
  <c r="AJ5252" i="2"/>
  <c r="AI5252" i="2"/>
  <c r="AH5252" i="2"/>
  <c r="AG5252" i="2"/>
  <c r="AF5252" i="2"/>
  <c r="AK5252" i="2" s="1"/>
  <c r="AJ5251" i="2"/>
  <c r="AI5251" i="2"/>
  <c r="AH5251" i="2"/>
  <c r="AG5251" i="2"/>
  <c r="AF5251" i="2"/>
  <c r="AK5251" i="2" s="1"/>
  <c r="AJ5250" i="2"/>
  <c r="AI5250" i="2"/>
  <c r="AH5250" i="2"/>
  <c r="AG5250" i="2"/>
  <c r="AF5250" i="2"/>
  <c r="AK5250" i="2" s="1"/>
  <c r="AJ5249" i="2"/>
  <c r="AI5249" i="2"/>
  <c r="AH5249" i="2"/>
  <c r="AG5249" i="2"/>
  <c r="AF5249" i="2"/>
  <c r="AK5249" i="2" s="1"/>
  <c r="AJ5248" i="2"/>
  <c r="AI5248" i="2"/>
  <c r="AH5248" i="2"/>
  <c r="AG5248" i="2"/>
  <c r="AF5248" i="2"/>
  <c r="AK5248" i="2" s="1"/>
  <c r="AJ5247" i="2"/>
  <c r="AI5247" i="2"/>
  <c r="AH5247" i="2"/>
  <c r="AG5247" i="2"/>
  <c r="AF5247" i="2"/>
  <c r="AK5247" i="2" s="1"/>
  <c r="AJ5246" i="2"/>
  <c r="AI5246" i="2"/>
  <c r="AH5246" i="2"/>
  <c r="AG5246" i="2"/>
  <c r="AF5246" i="2"/>
  <c r="AK5246" i="2" s="1"/>
  <c r="AJ5245" i="2"/>
  <c r="AI5245" i="2"/>
  <c r="AH5245" i="2"/>
  <c r="AG5245" i="2"/>
  <c r="AF5245" i="2"/>
  <c r="AK5245" i="2" s="1"/>
  <c r="AJ5244" i="2"/>
  <c r="AI5244" i="2"/>
  <c r="AH5244" i="2"/>
  <c r="AG5244" i="2"/>
  <c r="AF5244" i="2"/>
  <c r="AK5244" i="2" s="1"/>
  <c r="AJ5243" i="2"/>
  <c r="AI5243" i="2"/>
  <c r="AH5243" i="2"/>
  <c r="AG5243" i="2"/>
  <c r="AF5243" i="2"/>
  <c r="AK5243" i="2" s="1"/>
  <c r="AJ5242" i="2"/>
  <c r="AI5242" i="2"/>
  <c r="AH5242" i="2"/>
  <c r="AG5242" i="2"/>
  <c r="AF5242" i="2"/>
  <c r="AK5242" i="2" s="1"/>
  <c r="AJ5241" i="2"/>
  <c r="AI5241" i="2"/>
  <c r="AH5241" i="2"/>
  <c r="AG5241" i="2"/>
  <c r="AF5241" i="2"/>
  <c r="AK5241" i="2" s="1"/>
  <c r="AJ5240" i="2"/>
  <c r="AI5240" i="2"/>
  <c r="AH5240" i="2"/>
  <c r="AG5240" i="2"/>
  <c r="AF5240" i="2"/>
  <c r="AK5240" i="2" s="1"/>
  <c r="AJ5239" i="2"/>
  <c r="AI5239" i="2"/>
  <c r="AH5239" i="2"/>
  <c r="AG5239" i="2"/>
  <c r="AF5239" i="2"/>
  <c r="AK5239" i="2" s="1"/>
  <c r="AJ5238" i="2"/>
  <c r="AI5238" i="2"/>
  <c r="AH5238" i="2"/>
  <c r="AG5238" i="2"/>
  <c r="AF5238" i="2"/>
  <c r="AK5238" i="2" s="1"/>
  <c r="AJ5237" i="2"/>
  <c r="AI5237" i="2"/>
  <c r="AH5237" i="2"/>
  <c r="AG5237" i="2"/>
  <c r="AF5237" i="2"/>
  <c r="AK5237" i="2" s="1"/>
  <c r="AJ5236" i="2"/>
  <c r="AI5236" i="2"/>
  <c r="AH5236" i="2"/>
  <c r="AG5236" i="2"/>
  <c r="AF5236" i="2"/>
  <c r="AK5236" i="2" s="1"/>
  <c r="AJ5235" i="2"/>
  <c r="AI5235" i="2"/>
  <c r="AH5235" i="2"/>
  <c r="AG5235" i="2"/>
  <c r="AF5235" i="2"/>
  <c r="AK5235" i="2" s="1"/>
  <c r="AJ5234" i="2"/>
  <c r="AI5234" i="2"/>
  <c r="AH5234" i="2"/>
  <c r="AG5234" i="2"/>
  <c r="AF5234" i="2"/>
  <c r="AK5234" i="2" s="1"/>
  <c r="AJ5233" i="2"/>
  <c r="AI5233" i="2"/>
  <c r="AH5233" i="2"/>
  <c r="AG5233" i="2"/>
  <c r="AF5233" i="2"/>
  <c r="AK5233" i="2" s="1"/>
  <c r="AJ5232" i="2"/>
  <c r="AI5232" i="2"/>
  <c r="AH5232" i="2"/>
  <c r="AG5232" i="2"/>
  <c r="AF5232" i="2"/>
  <c r="AK5232" i="2" s="1"/>
  <c r="AJ5231" i="2"/>
  <c r="AI5231" i="2"/>
  <c r="AH5231" i="2"/>
  <c r="AG5231" i="2"/>
  <c r="AF5231" i="2"/>
  <c r="AK5231" i="2" s="1"/>
  <c r="AJ5230" i="2"/>
  <c r="AI5230" i="2"/>
  <c r="AH5230" i="2"/>
  <c r="AG5230" i="2"/>
  <c r="AF5230" i="2"/>
  <c r="AK5230" i="2" s="1"/>
  <c r="AJ5229" i="2"/>
  <c r="AI5229" i="2"/>
  <c r="AH5229" i="2"/>
  <c r="AG5229" i="2"/>
  <c r="AF5229" i="2"/>
  <c r="AK5229" i="2" s="1"/>
  <c r="AJ5228" i="2"/>
  <c r="AI5228" i="2"/>
  <c r="AH5228" i="2"/>
  <c r="AG5228" i="2"/>
  <c r="AF5228" i="2"/>
  <c r="AK5228" i="2" s="1"/>
  <c r="AJ5227" i="2"/>
  <c r="AI5227" i="2"/>
  <c r="AH5227" i="2"/>
  <c r="AL5227" i="2" s="1"/>
  <c r="AG5227" i="2"/>
  <c r="AF5227" i="2"/>
  <c r="AK5227" i="2"/>
  <c r="AJ5226" i="2"/>
  <c r="AI5226" i="2"/>
  <c r="AH5226" i="2"/>
  <c r="AG5226" i="2"/>
  <c r="AF5226" i="2"/>
  <c r="AK5226" i="2"/>
  <c r="AJ5225" i="2"/>
  <c r="AI5225" i="2"/>
  <c r="AH5225" i="2"/>
  <c r="AG5225" i="2"/>
  <c r="AF5225" i="2"/>
  <c r="AK5225" i="2"/>
  <c r="AJ5224" i="2"/>
  <c r="AI5224" i="2"/>
  <c r="AH5224" i="2"/>
  <c r="AG5224" i="2"/>
  <c r="AF5224" i="2"/>
  <c r="AK5224" i="2"/>
  <c r="AJ5223" i="2"/>
  <c r="AI5223" i="2"/>
  <c r="AH5223" i="2"/>
  <c r="AG5223" i="2"/>
  <c r="AF5223" i="2"/>
  <c r="AK5223" i="2"/>
  <c r="AJ5222" i="2"/>
  <c r="AI5222" i="2"/>
  <c r="AH5222" i="2"/>
  <c r="AG5222" i="2"/>
  <c r="AF5222" i="2"/>
  <c r="AK5222" i="2"/>
  <c r="AJ5221" i="2"/>
  <c r="AI5221" i="2"/>
  <c r="AH5221" i="2"/>
  <c r="AG5221" i="2"/>
  <c r="AF5221" i="2"/>
  <c r="AK5221" i="2"/>
  <c r="AJ5220" i="2"/>
  <c r="AI5220" i="2"/>
  <c r="AH5220" i="2"/>
  <c r="AG5220" i="2"/>
  <c r="AF5220" i="2"/>
  <c r="AK5220" i="2"/>
  <c r="AJ5219" i="2"/>
  <c r="AI5219" i="2"/>
  <c r="AH5219" i="2"/>
  <c r="AG5219" i="2"/>
  <c r="AF5219" i="2"/>
  <c r="AK5219" i="2"/>
  <c r="AJ5218" i="2"/>
  <c r="AI5218" i="2"/>
  <c r="AH5218" i="2"/>
  <c r="AG5218" i="2"/>
  <c r="AF5218" i="2"/>
  <c r="AK5218" i="2"/>
  <c r="AJ5217" i="2"/>
  <c r="AI5217" i="2"/>
  <c r="AH5217" i="2"/>
  <c r="AG5217" i="2"/>
  <c r="AF5217" i="2"/>
  <c r="AK5217" i="2"/>
  <c r="AJ5216" i="2"/>
  <c r="AI5216" i="2"/>
  <c r="AH5216" i="2"/>
  <c r="AG5216" i="2"/>
  <c r="AF5216" i="2"/>
  <c r="AK5216" i="2"/>
  <c r="AJ5215" i="2"/>
  <c r="AI5215" i="2"/>
  <c r="AH5215" i="2"/>
  <c r="AG5215" i="2"/>
  <c r="AF5215" i="2"/>
  <c r="AK5215" i="2"/>
  <c r="AJ5214" i="2"/>
  <c r="AI5214" i="2"/>
  <c r="AH5214" i="2"/>
  <c r="AG5214" i="2"/>
  <c r="AF5214" i="2"/>
  <c r="AK5214" i="2"/>
  <c r="AJ5213" i="2"/>
  <c r="AI5213" i="2"/>
  <c r="AH5213" i="2"/>
  <c r="AG5213" i="2"/>
  <c r="AF5213" i="2"/>
  <c r="AK5213" i="2"/>
  <c r="AJ5212" i="2"/>
  <c r="AI5212" i="2"/>
  <c r="AH5212" i="2"/>
  <c r="AG5212" i="2"/>
  <c r="AF5212" i="2"/>
  <c r="AK5212" i="2"/>
  <c r="AJ5211" i="2"/>
  <c r="AI5211" i="2"/>
  <c r="AH5211" i="2"/>
  <c r="AG5211" i="2"/>
  <c r="AF5211" i="2"/>
  <c r="AK5211" i="2"/>
  <c r="AJ5210" i="2"/>
  <c r="AI5210" i="2"/>
  <c r="AH5210" i="2"/>
  <c r="AG5210" i="2"/>
  <c r="AF5210" i="2"/>
  <c r="AK5210" i="2"/>
  <c r="AJ5209" i="2"/>
  <c r="AI5209" i="2"/>
  <c r="AH5209" i="2"/>
  <c r="AG5209" i="2"/>
  <c r="AF5209" i="2"/>
  <c r="AK5209" i="2"/>
  <c r="AJ5208" i="2"/>
  <c r="AI5208" i="2"/>
  <c r="AH5208" i="2"/>
  <c r="AG5208" i="2"/>
  <c r="AF5208" i="2"/>
  <c r="AK5208" i="2"/>
  <c r="AJ5207" i="2"/>
  <c r="AI5207" i="2"/>
  <c r="AH5207" i="2"/>
  <c r="AG5207" i="2"/>
  <c r="AF5207" i="2"/>
  <c r="AK5207" i="2"/>
  <c r="AJ5206" i="2"/>
  <c r="AI5206" i="2"/>
  <c r="AH5206" i="2"/>
  <c r="AG5206" i="2"/>
  <c r="AF5206" i="2"/>
  <c r="AK5206" i="2"/>
  <c r="AJ5205" i="2"/>
  <c r="AI5205" i="2"/>
  <c r="AH5205" i="2"/>
  <c r="AG5205" i="2"/>
  <c r="AF5205" i="2"/>
  <c r="AK5205" i="2"/>
  <c r="AJ5204" i="2"/>
  <c r="AI5204" i="2"/>
  <c r="AH5204" i="2"/>
  <c r="AG5204" i="2"/>
  <c r="AF5204" i="2"/>
  <c r="AK5204" i="2"/>
  <c r="AJ5203" i="2"/>
  <c r="AI5203" i="2"/>
  <c r="AH5203" i="2"/>
  <c r="AG5203" i="2"/>
  <c r="AF5203" i="2"/>
  <c r="AK5203" i="2"/>
  <c r="AJ5202" i="2"/>
  <c r="AI5202" i="2"/>
  <c r="AH5202" i="2"/>
  <c r="AG5202" i="2"/>
  <c r="AF5202" i="2"/>
  <c r="AK5202" i="2"/>
  <c r="AJ5201" i="2"/>
  <c r="AI5201" i="2"/>
  <c r="AH5201" i="2"/>
  <c r="AG5201" i="2"/>
  <c r="AF5201" i="2"/>
  <c r="AK5201" i="2"/>
  <c r="AJ5200" i="2"/>
  <c r="AI5200" i="2"/>
  <c r="AH5200" i="2"/>
  <c r="AG5200" i="2"/>
  <c r="AF5200" i="2"/>
  <c r="AK5200" i="2"/>
  <c r="AJ5199" i="2"/>
  <c r="AI5199" i="2"/>
  <c r="AH5199" i="2"/>
  <c r="AG5199" i="2"/>
  <c r="AF5199" i="2"/>
  <c r="AK5199" i="2"/>
  <c r="AJ5198" i="2"/>
  <c r="AI5198" i="2"/>
  <c r="AH5198" i="2"/>
  <c r="AG5198" i="2"/>
  <c r="AF5198" i="2"/>
  <c r="AK5198" i="2"/>
  <c r="AJ5197" i="2"/>
  <c r="AI5197" i="2"/>
  <c r="AH5197" i="2"/>
  <c r="AG5197" i="2"/>
  <c r="AF5197" i="2"/>
  <c r="AK5197" i="2"/>
  <c r="AJ5196" i="2"/>
  <c r="AI5196" i="2"/>
  <c r="AH5196" i="2"/>
  <c r="AG5196" i="2"/>
  <c r="AF5196" i="2"/>
  <c r="AK5196" i="2"/>
  <c r="AJ5195" i="2"/>
  <c r="AI5195" i="2"/>
  <c r="AH5195" i="2"/>
  <c r="AG5195" i="2"/>
  <c r="AF5195" i="2"/>
  <c r="AK5195" i="2"/>
  <c r="AJ5194" i="2"/>
  <c r="AI5194" i="2"/>
  <c r="AH5194" i="2"/>
  <c r="AG5194" i="2"/>
  <c r="AF5194" i="2"/>
  <c r="AK5194" i="2"/>
  <c r="AJ5193" i="2"/>
  <c r="AI5193" i="2"/>
  <c r="AH5193" i="2"/>
  <c r="AG5193" i="2"/>
  <c r="AF5193" i="2"/>
  <c r="AK5193" i="2"/>
  <c r="AJ5192" i="2"/>
  <c r="AI5192" i="2"/>
  <c r="AH5192" i="2"/>
  <c r="AG5192" i="2"/>
  <c r="AF5192" i="2"/>
  <c r="AK5192" i="2"/>
  <c r="AJ5191" i="2"/>
  <c r="AI5191" i="2"/>
  <c r="AH5191" i="2"/>
  <c r="AG5191" i="2"/>
  <c r="AF5191" i="2"/>
  <c r="AK5191" i="2"/>
  <c r="AJ5190" i="2"/>
  <c r="AI5190" i="2"/>
  <c r="AH5190" i="2"/>
  <c r="AG5190" i="2"/>
  <c r="AF5190" i="2"/>
  <c r="AK5190" i="2"/>
  <c r="AJ5189" i="2"/>
  <c r="AI5189" i="2"/>
  <c r="AH5189" i="2"/>
  <c r="AG5189" i="2"/>
  <c r="AF5189" i="2"/>
  <c r="AK5189" i="2"/>
  <c r="AJ5188" i="2"/>
  <c r="AI5188" i="2"/>
  <c r="AH5188" i="2"/>
  <c r="AG5188" i="2"/>
  <c r="AF5188" i="2"/>
  <c r="AK5188" i="2"/>
  <c r="AJ5187" i="2"/>
  <c r="AI5187" i="2"/>
  <c r="AH5187" i="2"/>
  <c r="AG5187" i="2"/>
  <c r="AF5187" i="2"/>
  <c r="AK5187" i="2"/>
  <c r="AJ5186" i="2"/>
  <c r="AI5186" i="2"/>
  <c r="AH5186" i="2"/>
  <c r="AG5186" i="2"/>
  <c r="AF5186" i="2"/>
  <c r="AK5186" i="2"/>
  <c r="AJ5185" i="2"/>
  <c r="AI5185" i="2"/>
  <c r="AH5185" i="2"/>
  <c r="AG5185" i="2"/>
  <c r="AF5185" i="2"/>
  <c r="AK5185" i="2"/>
  <c r="AJ5184" i="2"/>
  <c r="AI5184" i="2"/>
  <c r="AH5184" i="2"/>
  <c r="AG5184" i="2"/>
  <c r="AF5184" i="2"/>
  <c r="AK5184" i="2"/>
  <c r="AJ5183" i="2"/>
  <c r="AI5183" i="2"/>
  <c r="AH5183" i="2"/>
  <c r="AG5183" i="2"/>
  <c r="AF5183" i="2"/>
  <c r="AK5183" i="2"/>
  <c r="AJ5182" i="2"/>
  <c r="AI5182" i="2"/>
  <c r="AH5182" i="2"/>
  <c r="AG5182" i="2"/>
  <c r="AF5182" i="2"/>
  <c r="AK5182" i="2"/>
  <c r="AJ5181" i="2"/>
  <c r="AI5181" i="2"/>
  <c r="AH5181" i="2"/>
  <c r="AG5181" i="2"/>
  <c r="AF5181" i="2"/>
  <c r="AK5181" i="2"/>
  <c r="AJ5180" i="2"/>
  <c r="AI5180" i="2"/>
  <c r="AH5180" i="2"/>
  <c r="AG5180" i="2"/>
  <c r="AF5180" i="2"/>
  <c r="AK5180" i="2"/>
  <c r="AJ5179" i="2"/>
  <c r="AI5179" i="2"/>
  <c r="AH5179" i="2"/>
  <c r="AG5179" i="2"/>
  <c r="AF5179" i="2"/>
  <c r="AK5179" i="2"/>
  <c r="AJ5178" i="2"/>
  <c r="AI5178" i="2"/>
  <c r="AH5178" i="2"/>
  <c r="AG5178" i="2"/>
  <c r="AF5178" i="2"/>
  <c r="AK5178" i="2"/>
  <c r="AJ5177" i="2"/>
  <c r="AI5177" i="2"/>
  <c r="AH5177" i="2"/>
  <c r="AG5177" i="2"/>
  <c r="AF5177" i="2"/>
  <c r="AK5177" i="2"/>
  <c r="AJ5176" i="2"/>
  <c r="AI5176" i="2"/>
  <c r="AH5176" i="2"/>
  <c r="AG5176" i="2"/>
  <c r="AF5176" i="2"/>
  <c r="AK5176" i="2"/>
  <c r="AJ5175" i="2"/>
  <c r="AI5175" i="2"/>
  <c r="AH5175" i="2"/>
  <c r="AG5175" i="2"/>
  <c r="AF5175" i="2"/>
  <c r="AK5175" i="2"/>
  <c r="AJ5174" i="2"/>
  <c r="AI5174" i="2"/>
  <c r="AH5174" i="2"/>
  <c r="AG5174" i="2"/>
  <c r="AF5174" i="2"/>
  <c r="AK5174" i="2"/>
  <c r="AJ5173" i="2"/>
  <c r="AI5173" i="2"/>
  <c r="AH5173" i="2"/>
  <c r="AG5173" i="2"/>
  <c r="AF5173" i="2"/>
  <c r="AK5173" i="2"/>
  <c r="AJ5172" i="2"/>
  <c r="AI5172" i="2"/>
  <c r="AH5172" i="2"/>
  <c r="AG5172" i="2"/>
  <c r="AF5172" i="2"/>
  <c r="AK5172" i="2"/>
  <c r="AJ5171" i="2"/>
  <c r="AI5171" i="2"/>
  <c r="AH5171" i="2"/>
  <c r="AG5171" i="2"/>
  <c r="AF5171" i="2"/>
  <c r="AK5171" i="2"/>
  <c r="AJ5170" i="2"/>
  <c r="AI5170" i="2"/>
  <c r="AH5170" i="2"/>
  <c r="AG5170" i="2"/>
  <c r="AF5170" i="2"/>
  <c r="AK5170" i="2"/>
  <c r="AJ5169" i="2"/>
  <c r="AI5169" i="2"/>
  <c r="AH5169" i="2"/>
  <c r="AG5169" i="2"/>
  <c r="AF5169" i="2"/>
  <c r="AK5169" i="2"/>
  <c r="AJ5168" i="2"/>
  <c r="AI5168" i="2"/>
  <c r="AH5168" i="2"/>
  <c r="AG5168" i="2"/>
  <c r="AF5168" i="2"/>
  <c r="AK5168" i="2"/>
  <c r="AJ5167" i="2"/>
  <c r="AI5167" i="2"/>
  <c r="AH5167" i="2"/>
  <c r="AG5167" i="2"/>
  <c r="AF5167" i="2"/>
  <c r="AK5167" i="2"/>
  <c r="AJ5166" i="2"/>
  <c r="AI5166" i="2"/>
  <c r="AH5166" i="2"/>
  <c r="AL5166" i="2" s="1"/>
  <c r="AG5166" i="2"/>
  <c r="AF5166" i="2"/>
  <c r="AK5166" i="2"/>
  <c r="AJ5165" i="2"/>
  <c r="AI5165" i="2"/>
  <c r="AH5165" i="2"/>
  <c r="AG5165" i="2"/>
  <c r="AF5165" i="2"/>
  <c r="AK5165" i="2" s="1"/>
  <c r="AJ5164" i="2"/>
  <c r="AI5164" i="2"/>
  <c r="AH5164" i="2"/>
  <c r="AG5164" i="2"/>
  <c r="AF5164" i="2"/>
  <c r="AK5164" i="2"/>
  <c r="AJ5163" i="2"/>
  <c r="AI5163" i="2"/>
  <c r="AH5163" i="2"/>
  <c r="AG5163" i="2"/>
  <c r="AF5163" i="2"/>
  <c r="AK5163" i="2" s="1"/>
  <c r="AJ5162" i="2"/>
  <c r="AI5162" i="2"/>
  <c r="AH5162" i="2"/>
  <c r="AG5162" i="2"/>
  <c r="AF5162" i="2"/>
  <c r="AK5162" i="2"/>
  <c r="AJ5161" i="2"/>
  <c r="AI5161" i="2"/>
  <c r="AH5161" i="2"/>
  <c r="AG5161" i="2"/>
  <c r="AF5161" i="2"/>
  <c r="AK5161" i="2" s="1"/>
  <c r="AJ5160" i="2"/>
  <c r="AI5160" i="2"/>
  <c r="AH5160" i="2"/>
  <c r="AG5160" i="2"/>
  <c r="AF5160" i="2"/>
  <c r="AK5160" i="2"/>
  <c r="AJ5159" i="2"/>
  <c r="AI5159" i="2"/>
  <c r="AH5159" i="2"/>
  <c r="AG5159" i="2"/>
  <c r="AF5159" i="2"/>
  <c r="AK5159" i="2" s="1"/>
  <c r="AJ5158" i="2"/>
  <c r="AI5158" i="2"/>
  <c r="AH5158" i="2"/>
  <c r="AG5158" i="2"/>
  <c r="AF5158" i="2"/>
  <c r="AK5158" i="2"/>
  <c r="AJ5157" i="2"/>
  <c r="AI5157" i="2"/>
  <c r="AH5157" i="2"/>
  <c r="AG5157" i="2"/>
  <c r="AF5157" i="2"/>
  <c r="AK5157" i="2" s="1"/>
  <c r="AJ5156" i="2"/>
  <c r="AI5156" i="2"/>
  <c r="AH5156" i="2"/>
  <c r="AG5156" i="2"/>
  <c r="AF5156" i="2"/>
  <c r="AK5156" i="2"/>
  <c r="AJ5155" i="2"/>
  <c r="AI5155" i="2"/>
  <c r="AH5155" i="2"/>
  <c r="AG5155" i="2"/>
  <c r="AF5155" i="2"/>
  <c r="AK5155" i="2" s="1"/>
  <c r="AJ5154" i="2"/>
  <c r="AI5154" i="2"/>
  <c r="AH5154" i="2"/>
  <c r="AG5154" i="2"/>
  <c r="AF5154" i="2"/>
  <c r="AK5154" i="2"/>
  <c r="AJ5153" i="2"/>
  <c r="AI5153" i="2"/>
  <c r="AH5153" i="2"/>
  <c r="AG5153" i="2"/>
  <c r="AF5153" i="2"/>
  <c r="AK5153" i="2" s="1"/>
  <c r="AJ5152" i="2"/>
  <c r="AI5152" i="2"/>
  <c r="AH5152" i="2"/>
  <c r="AG5152" i="2"/>
  <c r="AF5152" i="2"/>
  <c r="AK5152" i="2"/>
  <c r="AJ5151" i="2"/>
  <c r="AI5151" i="2"/>
  <c r="AH5151" i="2"/>
  <c r="AG5151" i="2"/>
  <c r="AF5151" i="2"/>
  <c r="AK5151" i="2" s="1"/>
  <c r="AJ5150" i="2"/>
  <c r="AI5150" i="2"/>
  <c r="AH5150" i="2"/>
  <c r="AG5150" i="2"/>
  <c r="AF5150" i="2"/>
  <c r="AK5150" i="2"/>
  <c r="AJ5149" i="2"/>
  <c r="AI5149" i="2"/>
  <c r="AH5149" i="2"/>
  <c r="AG5149" i="2"/>
  <c r="AF5149" i="2"/>
  <c r="AK5149" i="2" s="1"/>
  <c r="AJ5148" i="2"/>
  <c r="AI5148" i="2"/>
  <c r="AH5148" i="2"/>
  <c r="AG5148" i="2"/>
  <c r="AF5148" i="2"/>
  <c r="AK5148" i="2"/>
  <c r="AJ5147" i="2"/>
  <c r="AI5147" i="2"/>
  <c r="AH5147" i="2"/>
  <c r="AG5147" i="2"/>
  <c r="AF5147" i="2"/>
  <c r="AK5147" i="2" s="1"/>
  <c r="AJ5146" i="2"/>
  <c r="AI5146" i="2"/>
  <c r="AH5146" i="2"/>
  <c r="AG5146" i="2"/>
  <c r="AF5146" i="2"/>
  <c r="AK5146" i="2"/>
  <c r="AJ5145" i="2"/>
  <c r="AI5145" i="2"/>
  <c r="AH5145" i="2"/>
  <c r="AG5145" i="2"/>
  <c r="AF5145" i="2"/>
  <c r="AK5145" i="2" s="1"/>
  <c r="AJ5144" i="2"/>
  <c r="AI5144" i="2"/>
  <c r="AH5144" i="2"/>
  <c r="AG5144" i="2"/>
  <c r="AF5144" i="2"/>
  <c r="AK5144" i="2"/>
  <c r="AJ5143" i="2"/>
  <c r="AI5143" i="2"/>
  <c r="AH5143" i="2"/>
  <c r="AG5143" i="2"/>
  <c r="AF5143" i="2"/>
  <c r="AK5143" i="2" s="1"/>
  <c r="AJ5142" i="2"/>
  <c r="AI5142" i="2"/>
  <c r="AH5142" i="2"/>
  <c r="AG5142" i="2"/>
  <c r="AF5142" i="2"/>
  <c r="AK5142" i="2"/>
  <c r="AJ5141" i="2"/>
  <c r="AI5141" i="2"/>
  <c r="AH5141" i="2"/>
  <c r="AG5141" i="2"/>
  <c r="AF5141" i="2"/>
  <c r="AK5141" i="2" s="1"/>
  <c r="AJ5140" i="2"/>
  <c r="AI5140" i="2"/>
  <c r="AH5140" i="2"/>
  <c r="AG5140" i="2"/>
  <c r="AF5140" i="2"/>
  <c r="AK5140" i="2"/>
  <c r="AJ5139" i="2"/>
  <c r="AI5139" i="2"/>
  <c r="AH5139" i="2"/>
  <c r="AG5139" i="2"/>
  <c r="AF5139" i="2"/>
  <c r="AK5139" i="2" s="1"/>
  <c r="AJ5138" i="2"/>
  <c r="AI5138" i="2"/>
  <c r="AH5138" i="2"/>
  <c r="AG5138" i="2"/>
  <c r="AF5138" i="2"/>
  <c r="AK5138" i="2"/>
  <c r="AJ5137" i="2"/>
  <c r="AI5137" i="2"/>
  <c r="AH5137" i="2"/>
  <c r="AG5137" i="2"/>
  <c r="AF5137" i="2"/>
  <c r="AK5137" i="2" s="1"/>
  <c r="AJ5136" i="2"/>
  <c r="AI5136" i="2"/>
  <c r="AH5136" i="2"/>
  <c r="AG5136" i="2"/>
  <c r="AF5136" i="2"/>
  <c r="AK5136" i="2"/>
  <c r="AJ5135" i="2"/>
  <c r="AI5135" i="2"/>
  <c r="AH5135" i="2"/>
  <c r="AG5135" i="2"/>
  <c r="AF5135" i="2"/>
  <c r="AK5135" i="2" s="1"/>
  <c r="AJ5134" i="2"/>
  <c r="AI5134" i="2"/>
  <c r="AH5134" i="2"/>
  <c r="AG5134" i="2"/>
  <c r="AF5134" i="2"/>
  <c r="AK5134" i="2"/>
  <c r="AJ5133" i="2"/>
  <c r="AI5133" i="2"/>
  <c r="AH5133" i="2"/>
  <c r="AG5133" i="2"/>
  <c r="AF5133" i="2"/>
  <c r="AK5133" i="2" s="1"/>
  <c r="AJ5132" i="2"/>
  <c r="AI5132" i="2"/>
  <c r="AH5132" i="2"/>
  <c r="AG5132" i="2"/>
  <c r="AF5132" i="2"/>
  <c r="AK5132" i="2"/>
  <c r="AJ5131" i="2"/>
  <c r="AI5131" i="2"/>
  <c r="AH5131" i="2"/>
  <c r="AG5131" i="2"/>
  <c r="AL5131" i="2" s="1"/>
  <c r="AF5131" i="2"/>
  <c r="AK5131" i="2"/>
  <c r="AJ5130" i="2"/>
  <c r="AI5130" i="2"/>
  <c r="AH5130" i="2"/>
  <c r="AG5130" i="2"/>
  <c r="AF5130" i="2"/>
  <c r="AK5130" i="2"/>
  <c r="AJ5129" i="2"/>
  <c r="AI5129" i="2"/>
  <c r="AH5129" i="2"/>
  <c r="AG5129" i="2"/>
  <c r="AF5129" i="2"/>
  <c r="AK5129" i="2"/>
  <c r="AJ5128" i="2"/>
  <c r="AI5128" i="2"/>
  <c r="AH5128" i="2"/>
  <c r="AG5128" i="2"/>
  <c r="AF5128" i="2"/>
  <c r="AK5128" i="2"/>
  <c r="AJ5127" i="2"/>
  <c r="AI5127" i="2"/>
  <c r="AH5127" i="2"/>
  <c r="AG5127" i="2"/>
  <c r="AF5127" i="2"/>
  <c r="AK5127" i="2"/>
  <c r="AJ5126" i="2"/>
  <c r="AI5126" i="2"/>
  <c r="AH5126" i="2"/>
  <c r="AG5126" i="2"/>
  <c r="AF5126" i="2"/>
  <c r="AK5126" i="2"/>
  <c r="AJ5125" i="2"/>
  <c r="AI5125" i="2"/>
  <c r="AH5125" i="2"/>
  <c r="AG5125" i="2"/>
  <c r="AF5125" i="2"/>
  <c r="AK5125" i="2"/>
  <c r="AJ5124" i="2"/>
  <c r="AI5124" i="2"/>
  <c r="AH5124" i="2"/>
  <c r="AG5124" i="2"/>
  <c r="AF5124" i="2"/>
  <c r="AK5124" i="2"/>
  <c r="AJ5123" i="2"/>
  <c r="AI5123" i="2"/>
  <c r="AH5123" i="2"/>
  <c r="AG5123" i="2"/>
  <c r="AF5123" i="2"/>
  <c r="AK5123" i="2"/>
  <c r="AJ5122" i="2"/>
  <c r="AI5122" i="2"/>
  <c r="AH5122" i="2"/>
  <c r="AG5122" i="2"/>
  <c r="AF5122" i="2"/>
  <c r="AK5122" i="2"/>
  <c r="AJ5121" i="2"/>
  <c r="AI5121" i="2"/>
  <c r="AH5121" i="2"/>
  <c r="AG5121" i="2"/>
  <c r="AF5121" i="2"/>
  <c r="AK5121" i="2"/>
  <c r="AJ5120" i="2"/>
  <c r="AI5120" i="2"/>
  <c r="AH5120" i="2"/>
  <c r="AG5120" i="2"/>
  <c r="AF5120" i="2"/>
  <c r="AK5120" i="2"/>
  <c r="AJ5119" i="2"/>
  <c r="AI5119" i="2"/>
  <c r="AH5119" i="2"/>
  <c r="AG5119" i="2"/>
  <c r="AF5119" i="2"/>
  <c r="AK5119" i="2"/>
  <c r="AJ5118" i="2"/>
  <c r="AI5118" i="2"/>
  <c r="AH5118" i="2"/>
  <c r="AG5118" i="2"/>
  <c r="AF5118" i="2"/>
  <c r="AK5118" i="2" s="1"/>
  <c r="AJ5117" i="2"/>
  <c r="AI5117" i="2"/>
  <c r="AH5117" i="2"/>
  <c r="AG5117" i="2"/>
  <c r="AF5117" i="2"/>
  <c r="AK5117" i="2" s="1"/>
  <c r="AJ5116" i="2"/>
  <c r="AI5116" i="2"/>
  <c r="AH5116" i="2"/>
  <c r="AG5116" i="2"/>
  <c r="AF5116" i="2"/>
  <c r="AK5116" i="2" s="1"/>
  <c r="AJ5115" i="2"/>
  <c r="AI5115" i="2"/>
  <c r="AH5115" i="2"/>
  <c r="AG5115" i="2"/>
  <c r="AF5115" i="2"/>
  <c r="AK5115" i="2" s="1"/>
  <c r="AJ5114" i="2"/>
  <c r="AI5114" i="2"/>
  <c r="AH5114" i="2"/>
  <c r="AG5114" i="2"/>
  <c r="AF5114" i="2"/>
  <c r="AK5114" i="2" s="1"/>
  <c r="AJ5113" i="2"/>
  <c r="AI5113" i="2"/>
  <c r="AH5113" i="2"/>
  <c r="AG5113" i="2"/>
  <c r="AF5113" i="2"/>
  <c r="AK5113" i="2" s="1"/>
  <c r="AJ5112" i="2"/>
  <c r="AI5112" i="2"/>
  <c r="AH5112" i="2"/>
  <c r="AG5112" i="2"/>
  <c r="AF5112" i="2"/>
  <c r="AK5112" i="2" s="1"/>
  <c r="AJ5111" i="2"/>
  <c r="AI5111" i="2"/>
  <c r="AH5111" i="2"/>
  <c r="AG5111" i="2"/>
  <c r="AF5111" i="2"/>
  <c r="AK5111" i="2" s="1"/>
  <c r="AJ5110" i="2"/>
  <c r="AI5110" i="2"/>
  <c r="AH5110" i="2"/>
  <c r="AG5110" i="2"/>
  <c r="AF5110" i="2"/>
  <c r="AK5110" i="2" s="1"/>
  <c r="AJ5109" i="2"/>
  <c r="AI5109" i="2"/>
  <c r="AH5109" i="2"/>
  <c r="AG5109" i="2"/>
  <c r="AF5109" i="2"/>
  <c r="AK5109" i="2" s="1"/>
  <c r="AJ5108" i="2"/>
  <c r="AI5108" i="2"/>
  <c r="AH5108" i="2"/>
  <c r="AG5108" i="2"/>
  <c r="AF5108" i="2"/>
  <c r="AK5108" i="2" s="1"/>
  <c r="AJ5107" i="2"/>
  <c r="AI5107" i="2"/>
  <c r="AH5107" i="2"/>
  <c r="AG5107" i="2"/>
  <c r="AF5107" i="2"/>
  <c r="AK5107" i="2" s="1"/>
  <c r="AJ5106" i="2"/>
  <c r="AI5106" i="2"/>
  <c r="AH5106" i="2"/>
  <c r="AG5106" i="2"/>
  <c r="AF5106" i="2"/>
  <c r="AK5106" i="2" s="1"/>
  <c r="AJ5105" i="2"/>
  <c r="AI5105" i="2"/>
  <c r="AH5105" i="2"/>
  <c r="AG5105" i="2"/>
  <c r="AF5105" i="2"/>
  <c r="AK5105" i="2" s="1"/>
  <c r="AJ5104" i="2"/>
  <c r="AI5104" i="2"/>
  <c r="AH5104" i="2"/>
  <c r="AG5104" i="2"/>
  <c r="AF5104" i="2"/>
  <c r="AK5104" i="2" s="1"/>
  <c r="AJ5103" i="2"/>
  <c r="AI5103" i="2"/>
  <c r="AH5103" i="2"/>
  <c r="AG5103" i="2"/>
  <c r="AF5103" i="2"/>
  <c r="AK5103" i="2" s="1"/>
  <c r="AJ5102" i="2"/>
  <c r="AI5102" i="2"/>
  <c r="AH5102" i="2"/>
  <c r="AG5102" i="2"/>
  <c r="AF5102" i="2"/>
  <c r="AK5102" i="2" s="1"/>
  <c r="AJ5101" i="2"/>
  <c r="AI5101" i="2"/>
  <c r="AH5101" i="2"/>
  <c r="AG5101" i="2"/>
  <c r="AF5101" i="2"/>
  <c r="AK5101" i="2" s="1"/>
  <c r="AJ5100" i="2"/>
  <c r="AI5100" i="2"/>
  <c r="AH5100" i="2"/>
  <c r="AG5100" i="2"/>
  <c r="AF5100" i="2"/>
  <c r="AK5100" i="2" s="1"/>
  <c r="AJ5099" i="2"/>
  <c r="AI5099" i="2"/>
  <c r="AH5099" i="2"/>
  <c r="AG5099" i="2"/>
  <c r="AF5099" i="2"/>
  <c r="AK5099" i="2" s="1"/>
  <c r="AJ5098" i="2"/>
  <c r="AI5098" i="2"/>
  <c r="AH5098" i="2"/>
  <c r="AG5098" i="2"/>
  <c r="AF5098" i="2"/>
  <c r="AK5098" i="2" s="1"/>
  <c r="AJ5097" i="2"/>
  <c r="AI5097" i="2"/>
  <c r="AH5097" i="2"/>
  <c r="AG5097" i="2"/>
  <c r="AF5097" i="2"/>
  <c r="AK5097" i="2" s="1"/>
  <c r="AJ5096" i="2"/>
  <c r="AI5096" i="2"/>
  <c r="AH5096" i="2"/>
  <c r="AG5096" i="2"/>
  <c r="AF5096" i="2"/>
  <c r="AK5096" i="2" s="1"/>
  <c r="AJ5095" i="2"/>
  <c r="AI5095" i="2"/>
  <c r="AH5095" i="2"/>
  <c r="AG5095" i="2"/>
  <c r="AF5095" i="2"/>
  <c r="AK5095" i="2" s="1"/>
  <c r="AJ5094" i="2"/>
  <c r="AI5094" i="2"/>
  <c r="AH5094" i="2"/>
  <c r="AG5094" i="2"/>
  <c r="AF5094" i="2"/>
  <c r="AK5094" i="2" s="1"/>
  <c r="AJ5093" i="2"/>
  <c r="AI5093" i="2"/>
  <c r="AH5093" i="2"/>
  <c r="AG5093" i="2"/>
  <c r="AF5093" i="2"/>
  <c r="AK5093" i="2" s="1"/>
  <c r="AJ5092" i="2"/>
  <c r="AI5092" i="2"/>
  <c r="AH5092" i="2"/>
  <c r="AG5092" i="2"/>
  <c r="AF5092" i="2"/>
  <c r="AK5092" i="2" s="1"/>
  <c r="AJ5091" i="2"/>
  <c r="AI5091" i="2"/>
  <c r="AH5091" i="2"/>
  <c r="AG5091" i="2"/>
  <c r="AF5091" i="2"/>
  <c r="AK5091" i="2" s="1"/>
  <c r="AJ5090" i="2"/>
  <c r="AI5090" i="2"/>
  <c r="AH5090" i="2"/>
  <c r="AG5090" i="2"/>
  <c r="AF5090" i="2"/>
  <c r="AK5090" i="2" s="1"/>
  <c r="AJ5089" i="2"/>
  <c r="AI5089" i="2"/>
  <c r="AH5089" i="2"/>
  <c r="AG5089" i="2"/>
  <c r="AF5089" i="2"/>
  <c r="AK5089" i="2" s="1"/>
  <c r="AJ5088" i="2"/>
  <c r="AI5088" i="2"/>
  <c r="AH5088" i="2"/>
  <c r="AG5088" i="2"/>
  <c r="AF5088" i="2"/>
  <c r="AK5088" i="2" s="1"/>
  <c r="AJ5087" i="2"/>
  <c r="AI5087" i="2"/>
  <c r="AH5087" i="2"/>
  <c r="AG5087" i="2"/>
  <c r="AF5087" i="2"/>
  <c r="AK5087" i="2" s="1"/>
  <c r="AJ5086" i="2"/>
  <c r="AI5086" i="2"/>
  <c r="AH5086" i="2"/>
  <c r="AG5086" i="2"/>
  <c r="AF5086" i="2"/>
  <c r="AK5086" i="2" s="1"/>
  <c r="AJ5085" i="2"/>
  <c r="AI5085" i="2"/>
  <c r="AH5085" i="2"/>
  <c r="AG5085" i="2"/>
  <c r="AF5085" i="2"/>
  <c r="AK5085" i="2" s="1"/>
  <c r="AJ5084" i="2"/>
  <c r="AI5084" i="2"/>
  <c r="AH5084" i="2"/>
  <c r="AG5084" i="2"/>
  <c r="AF5084" i="2"/>
  <c r="AK5084" i="2" s="1"/>
  <c r="AJ5083" i="2"/>
  <c r="AI5083" i="2"/>
  <c r="AH5083" i="2"/>
  <c r="AG5083" i="2"/>
  <c r="AF5083" i="2"/>
  <c r="AK5083" i="2" s="1"/>
  <c r="AJ5082" i="2"/>
  <c r="AI5082" i="2"/>
  <c r="AH5082" i="2"/>
  <c r="AG5082" i="2"/>
  <c r="AL5082" i="2"/>
  <c r="AF5082" i="2"/>
  <c r="AK5082" i="2"/>
  <c r="AJ5081" i="2"/>
  <c r="AI5081" i="2"/>
  <c r="AH5081" i="2"/>
  <c r="AG5081" i="2"/>
  <c r="AF5081" i="2"/>
  <c r="AK5081" i="2"/>
  <c r="AJ5080" i="2"/>
  <c r="AI5080" i="2"/>
  <c r="AH5080" i="2"/>
  <c r="AG5080" i="2"/>
  <c r="AF5080" i="2"/>
  <c r="AK5080" i="2"/>
  <c r="AJ5079" i="2"/>
  <c r="AI5079" i="2"/>
  <c r="AH5079" i="2"/>
  <c r="AG5079" i="2"/>
  <c r="AF5079" i="2"/>
  <c r="AK5079" i="2"/>
  <c r="AJ5078" i="2"/>
  <c r="AI5078" i="2"/>
  <c r="AH5078" i="2"/>
  <c r="AG5078" i="2"/>
  <c r="AF5078" i="2"/>
  <c r="AK5078" i="2"/>
  <c r="AJ5077" i="2"/>
  <c r="AI5077" i="2"/>
  <c r="AH5077" i="2"/>
  <c r="AG5077" i="2"/>
  <c r="AF5077" i="2"/>
  <c r="AK5077" i="2"/>
  <c r="AJ5076" i="2"/>
  <c r="AI5076" i="2"/>
  <c r="AH5076" i="2"/>
  <c r="AG5076" i="2"/>
  <c r="AF5076" i="2"/>
  <c r="AK5076" i="2"/>
  <c r="AJ5075" i="2"/>
  <c r="AI5075" i="2"/>
  <c r="AH5075" i="2"/>
  <c r="AG5075" i="2"/>
  <c r="AF5075" i="2"/>
  <c r="AK5075" i="2"/>
  <c r="AJ5074" i="2"/>
  <c r="AI5074" i="2"/>
  <c r="AH5074" i="2"/>
  <c r="AG5074" i="2"/>
  <c r="AF5074" i="2"/>
  <c r="AK5074" i="2"/>
  <c r="AJ5073" i="2"/>
  <c r="AI5073" i="2"/>
  <c r="AH5073" i="2"/>
  <c r="AG5073" i="2"/>
  <c r="AF5073" i="2"/>
  <c r="AK5073" i="2"/>
  <c r="AJ5072" i="2"/>
  <c r="AI5072" i="2"/>
  <c r="AH5072" i="2"/>
  <c r="AG5072" i="2"/>
  <c r="AF5072" i="2"/>
  <c r="AK5072" i="2"/>
  <c r="AJ5071" i="2"/>
  <c r="AI5071" i="2"/>
  <c r="AH5071" i="2"/>
  <c r="AG5071" i="2"/>
  <c r="AF5071" i="2"/>
  <c r="AK5071" i="2"/>
  <c r="AJ5070" i="2"/>
  <c r="AI5070" i="2"/>
  <c r="AH5070" i="2"/>
  <c r="AG5070" i="2"/>
  <c r="AF5070" i="2"/>
  <c r="AK5070" i="2"/>
  <c r="AJ5069" i="2"/>
  <c r="AI5069" i="2"/>
  <c r="AH5069" i="2"/>
  <c r="AG5069" i="2"/>
  <c r="AF5069" i="2"/>
  <c r="AK5069" i="2"/>
  <c r="AJ5068" i="2"/>
  <c r="AI5068" i="2"/>
  <c r="AH5068" i="2"/>
  <c r="AG5068" i="2"/>
  <c r="AF5068" i="2"/>
  <c r="AK5068" i="2"/>
  <c r="AJ5067" i="2"/>
  <c r="AI5067" i="2"/>
  <c r="AH5067" i="2"/>
  <c r="AG5067" i="2"/>
  <c r="AF5067" i="2"/>
  <c r="AK5067" i="2"/>
  <c r="AJ5066" i="2"/>
  <c r="AI5066" i="2"/>
  <c r="AH5066" i="2"/>
  <c r="AG5066" i="2"/>
  <c r="AF5066" i="2"/>
  <c r="AK5066" i="2"/>
  <c r="AJ5065" i="2"/>
  <c r="AI5065" i="2"/>
  <c r="AH5065" i="2"/>
  <c r="AG5065" i="2"/>
  <c r="AF5065" i="2"/>
  <c r="AK5065" i="2"/>
  <c r="AJ5064" i="2"/>
  <c r="AI5064" i="2"/>
  <c r="AH5064" i="2"/>
  <c r="AG5064" i="2"/>
  <c r="AF5064" i="2"/>
  <c r="AK5064" i="2"/>
  <c r="AJ5063" i="2"/>
  <c r="AI5063" i="2"/>
  <c r="AH5063" i="2"/>
  <c r="AG5063" i="2"/>
  <c r="AF5063" i="2"/>
  <c r="AK5063" i="2"/>
  <c r="AJ5062" i="2"/>
  <c r="AI5062" i="2"/>
  <c r="AH5062" i="2"/>
  <c r="AG5062" i="2"/>
  <c r="AF5062" i="2"/>
  <c r="AK5062" i="2"/>
  <c r="AJ5061" i="2"/>
  <c r="AI5061" i="2"/>
  <c r="AH5061" i="2"/>
  <c r="AG5061" i="2"/>
  <c r="AF5061" i="2"/>
  <c r="AK5061" i="2"/>
  <c r="AJ5060" i="2"/>
  <c r="AI5060" i="2"/>
  <c r="AH5060" i="2"/>
  <c r="AG5060" i="2"/>
  <c r="AF5060" i="2"/>
  <c r="AK5060" i="2"/>
  <c r="AJ5059" i="2"/>
  <c r="AI5059" i="2"/>
  <c r="AH5059" i="2"/>
  <c r="AG5059" i="2"/>
  <c r="AF5059" i="2"/>
  <c r="AK5059" i="2"/>
  <c r="AJ5058" i="2"/>
  <c r="AI5058" i="2"/>
  <c r="AH5058" i="2"/>
  <c r="AG5058" i="2"/>
  <c r="AF5058" i="2"/>
  <c r="AK5058" i="2"/>
  <c r="AJ5057" i="2"/>
  <c r="AI5057" i="2"/>
  <c r="AH5057" i="2"/>
  <c r="AG5057" i="2"/>
  <c r="AF5057" i="2"/>
  <c r="AK5057" i="2" s="1"/>
  <c r="AL5057" i="2" s="1"/>
  <c r="AJ5056" i="2"/>
  <c r="AI5056" i="2"/>
  <c r="AH5056" i="2"/>
  <c r="AG5056" i="2"/>
  <c r="AF5056" i="2"/>
  <c r="AK5056" i="2" s="1"/>
  <c r="AJ5055" i="2"/>
  <c r="AI5055" i="2"/>
  <c r="AH5055" i="2"/>
  <c r="AG5055" i="2"/>
  <c r="AF5055" i="2"/>
  <c r="AK5055" i="2" s="1"/>
  <c r="AJ5054" i="2"/>
  <c r="AI5054" i="2"/>
  <c r="AH5054" i="2"/>
  <c r="AG5054" i="2"/>
  <c r="AF5054" i="2"/>
  <c r="AK5054" i="2" s="1"/>
  <c r="AJ5053" i="2"/>
  <c r="AI5053" i="2"/>
  <c r="AH5053" i="2"/>
  <c r="AG5053" i="2"/>
  <c r="AF5053" i="2"/>
  <c r="AK5053" i="2" s="1"/>
  <c r="AJ5052" i="2"/>
  <c r="AI5052" i="2"/>
  <c r="AH5052" i="2"/>
  <c r="AG5052" i="2"/>
  <c r="AF5052" i="2"/>
  <c r="AK5052" i="2" s="1"/>
  <c r="AJ5051" i="2"/>
  <c r="AI5051" i="2"/>
  <c r="AH5051" i="2"/>
  <c r="AG5051" i="2"/>
  <c r="AF5051" i="2"/>
  <c r="AK5051" i="2" s="1"/>
  <c r="AJ5050" i="2"/>
  <c r="AI5050" i="2"/>
  <c r="AH5050" i="2"/>
  <c r="AG5050" i="2"/>
  <c r="AF5050" i="2"/>
  <c r="AK5050" i="2" s="1"/>
  <c r="AJ5049" i="2"/>
  <c r="AI5049" i="2"/>
  <c r="AH5049" i="2"/>
  <c r="AG5049" i="2"/>
  <c r="AF5049" i="2"/>
  <c r="AK5049" i="2" s="1"/>
  <c r="AJ5048" i="2"/>
  <c r="AI5048" i="2"/>
  <c r="AH5048" i="2"/>
  <c r="AG5048" i="2"/>
  <c r="AF5048" i="2"/>
  <c r="AK5048" i="2" s="1"/>
  <c r="AJ5047" i="2"/>
  <c r="AI5047" i="2"/>
  <c r="AH5047" i="2"/>
  <c r="AG5047" i="2"/>
  <c r="AF5047" i="2"/>
  <c r="AK5047" i="2" s="1"/>
  <c r="AJ5046" i="2"/>
  <c r="AI5046" i="2"/>
  <c r="AH5046" i="2"/>
  <c r="AG5046" i="2"/>
  <c r="AF5046" i="2"/>
  <c r="AK5046" i="2" s="1"/>
  <c r="AJ5045" i="2"/>
  <c r="AI5045" i="2"/>
  <c r="AH5045" i="2"/>
  <c r="AG5045" i="2"/>
  <c r="AF5045" i="2"/>
  <c r="AK5045" i="2" s="1"/>
  <c r="AJ5044" i="2"/>
  <c r="AI5044" i="2"/>
  <c r="AH5044" i="2"/>
  <c r="AG5044" i="2"/>
  <c r="AF5044" i="2"/>
  <c r="AK5044" i="2" s="1"/>
  <c r="AJ5043" i="2"/>
  <c r="AI5043" i="2"/>
  <c r="AH5043" i="2"/>
  <c r="AG5043" i="2"/>
  <c r="AF5043" i="2"/>
  <c r="AK5043" i="2" s="1"/>
  <c r="AJ5042" i="2"/>
  <c r="AI5042" i="2"/>
  <c r="AH5042" i="2"/>
  <c r="AG5042" i="2"/>
  <c r="AF5042" i="2"/>
  <c r="AK5042" i="2" s="1"/>
  <c r="AJ5041" i="2"/>
  <c r="AI5041" i="2"/>
  <c r="AH5041" i="2"/>
  <c r="AG5041" i="2"/>
  <c r="AF5041" i="2"/>
  <c r="AK5041" i="2" s="1"/>
  <c r="AJ5040" i="2"/>
  <c r="AI5040" i="2"/>
  <c r="AH5040" i="2"/>
  <c r="AG5040" i="2"/>
  <c r="AF5040" i="2"/>
  <c r="AK5040" i="2" s="1"/>
  <c r="AJ5039" i="2"/>
  <c r="AI5039" i="2"/>
  <c r="AH5039" i="2"/>
  <c r="AG5039" i="2"/>
  <c r="AF5039" i="2"/>
  <c r="AK5039" i="2" s="1"/>
  <c r="AJ5038" i="2"/>
  <c r="AI5038" i="2"/>
  <c r="AH5038" i="2"/>
  <c r="AG5038" i="2"/>
  <c r="AF5038" i="2"/>
  <c r="AK5038" i="2" s="1"/>
  <c r="AJ5037" i="2"/>
  <c r="AI5037" i="2"/>
  <c r="AH5037" i="2"/>
  <c r="AG5037" i="2"/>
  <c r="AF5037" i="2"/>
  <c r="AK5037" i="2" s="1"/>
  <c r="AJ5036" i="2"/>
  <c r="AI5036" i="2"/>
  <c r="AH5036" i="2"/>
  <c r="AG5036" i="2"/>
  <c r="AF5036" i="2"/>
  <c r="AK5036" i="2" s="1"/>
  <c r="AJ5035" i="2"/>
  <c r="AI5035" i="2"/>
  <c r="AH5035" i="2"/>
  <c r="AG5035" i="2"/>
  <c r="AF5035" i="2"/>
  <c r="AK5035" i="2" s="1"/>
  <c r="AJ5034" i="2"/>
  <c r="AI5034" i="2"/>
  <c r="AH5034" i="2"/>
  <c r="AG5034" i="2"/>
  <c r="AF5034" i="2"/>
  <c r="AK5034" i="2" s="1"/>
  <c r="AJ5033" i="2"/>
  <c r="AI5033" i="2"/>
  <c r="AH5033" i="2"/>
  <c r="AG5033" i="2"/>
  <c r="AF5033" i="2"/>
  <c r="AK5033" i="2" s="1"/>
  <c r="AJ5032" i="2"/>
  <c r="AI5032" i="2"/>
  <c r="AH5032" i="2"/>
  <c r="AG5032" i="2"/>
  <c r="AF5032" i="2"/>
  <c r="AK5032" i="2" s="1"/>
  <c r="AJ5031" i="2"/>
  <c r="AI5031" i="2"/>
  <c r="AH5031" i="2"/>
  <c r="AG5031" i="2"/>
  <c r="AF5031" i="2"/>
  <c r="AK5031" i="2" s="1"/>
  <c r="AJ5030" i="2"/>
  <c r="AI5030" i="2"/>
  <c r="AH5030" i="2"/>
  <c r="AG5030" i="2"/>
  <c r="AF5030" i="2"/>
  <c r="AK5030" i="2" s="1"/>
  <c r="AJ5029" i="2"/>
  <c r="AI5029" i="2"/>
  <c r="AH5029" i="2"/>
  <c r="AG5029" i="2"/>
  <c r="AF5029" i="2"/>
  <c r="AK5029" i="2" s="1"/>
  <c r="AJ5028" i="2"/>
  <c r="AI5028" i="2"/>
  <c r="AH5028" i="2"/>
  <c r="AG5028" i="2"/>
  <c r="AF5028" i="2"/>
  <c r="AK5028" i="2" s="1"/>
  <c r="AJ5027" i="2"/>
  <c r="AI5027" i="2"/>
  <c r="AH5027" i="2"/>
  <c r="AG5027" i="2"/>
  <c r="AF5027" i="2"/>
  <c r="AK5027" i="2" s="1"/>
  <c r="AJ5026" i="2"/>
  <c r="AI5026" i="2"/>
  <c r="AH5026" i="2"/>
  <c r="AG5026" i="2"/>
  <c r="AF5026" i="2"/>
  <c r="AK5026" i="2" s="1"/>
  <c r="AJ5025" i="2"/>
  <c r="AI5025" i="2"/>
  <c r="AH5025" i="2"/>
  <c r="AG5025" i="2"/>
  <c r="AF5025" i="2"/>
  <c r="AK5025" i="2" s="1"/>
  <c r="AJ5024" i="2"/>
  <c r="AI5024" i="2"/>
  <c r="AH5024" i="2"/>
  <c r="AG5024" i="2"/>
  <c r="AF5024" i="2"/>
  <c r="AK5024" i="2" s="1"/>
  <c r="AJ5023" i="2"/>
  <c r="AI5023" i="2"/>
  <c r="AH5023" i="2"/>
  <c r="AG5023" i="2"/>
  <c r="AF5023" i="2"/>
  <c r="AK5023" i="2" s="1"/>
  <c r="AJ5022" i="2"/>
  <c r="AI5022" i="2"/>
  <c r="AH5022" i="2"/>
  <c r="AG5022" i="2"/>
  <c r="AF5022" i="2"/>
  <c r="AK5022" i="2" s="1"/>
  <c r="AJ5021" i="2"/>
  <c r="AI5021" i="2"/>
  <c r="AH5021" i="2"/>
  <c r="AG5021" i="2"/>
  <c r="AF5021" i="2"/>
  <c r="AK5021" i="2" s="1"/>
  <c r="AJ5020" i="2"/>
  <c r="AI5020" i="2"/>
  <c r="AH5020" i="2"/>
  <c r="AG5020" i="2"/>
  <c r="AF5020" i="2"/>
  <c r="AK5020" i="2" s="1"/>
  <c r="AJ5019" i="2"/>
  <c r="AI5019" i="2"/>
  <c r="AH5019" i="2"/>
  <c r="AG5019" i="2"/>
  <c r="AF5019" i="2"/>
  <c r="AK5019" i="2" s="1"/>
  <c r="AJ5018" i="2"/>
  <c r="AI5018" i="2"/>
  <c r="AH5018" i="2"/>
  <c r="AG5018" i="2"/>
  <c r="AF5018" i="2"/>
  <c r="AK5018" i="2" s="1"/>
  <c r="AJ5017" i="2"/>
  <c r="AI5017" i="2"/>
  <c r="AH5017" i="2"/>
  <c r="AG5017" i="2"/>
  <c r="AF5017" i="2"/>
  <c r="AK5017" i="2" s="1"/>
  <c r="AJ5016" i="2"/>
  <c r="AI5016" i="2"/>
  <c r="AH5016" i="2"/>
  <c r="AG5016" i="2"/>
  <c r="AF5016" i="2"/>
  <c r="AK5016" i="2" s="1"/>
  <c r="AJ5015" i="2"/>
  <c r="AI5015" i="2"/>
  <c r="AH5015" i="2"/>
  <c r="AG5015" i="2"/>
  <c r="AF5015" i="2"/>
  <c r="AK5015" i="2"/>
  <c r="AJ5014" i="2"/>
  <c r="AI5014" i="2"/>
  <c r="AH5014" i="2"/>
  <c r="AG5014" i="2"/>
  <c r="AF5014" i="2"/>
  <c r="AK5014" i="2" s="1"/>
  <c r="AJ5013" i="2"/>
  <c r="AI5013" i="2"/>
  <c r="AH5013" i="2"/>
  <c r="AG5013" i="2"/>
  <c r="AF5013" i="2"/>
  <c r="AK5013" i="2" s="1"/>
  <c r="AJ5012" i="2"/>
  <c r="AI5012" i="2"/>
  <c r="AH5012" i="2"/>
  <c r="AG5012" i="2"/>
  <c r="AF5012" i="2"/>
  <c r="AK5012" i="2" s="1"/>
  <c r="AJ5011" i="2"/>
  <c r="AI5011" i="2"/>
  <c r="AH5011" i="2"/>
  <c r="AG5011" i="2"/>
  <c r="AF5011" i="2"/>
  <c r="AK5011" i="2"/>
  <c r="AJ5010" i="2"/>
  <c r="AI5010" i="2"/>
  <c r="AH5010" i="2"/>
  <c r="AG5010" i="2"/>
  <c r="AF5010" i="2"/>
  <c r="AK5010" i="2" s="1"/>
  <c r="AJ5009" i="2"/>
  <c r="AI5009" i="2"/>
  <c r="AH5009" i="2"/>
  <c r="AG5009" i="2"/>
  <c r="AF5009" i="2"/>
  <c r="AK5009" i="2"/>
  <c r="AJ5008" i="2"/>
  <c r="AI5008" i="2"/>
  <c r="AH5008" i="2"/>
  <c r="AG5008" i="2"/>
  <c r="AF5008" i="2"/>
  <c r="AK5008" i="2" s="1"/>
  <c r="AJ5007" i="2"/>
  <c r="AI5007" i="2"/>
  <c r="AH5007" i="2"/>
  <c r="AG5007" i="2"/>
  <c r="AF5007" i="2"/>
  <c r="AK5007" i="2"/>
  <c r="AJ5006" i="2"/>
  <c r="AI5006" i="2"/>
  <c r="AH5006" i="2"/>
  <c r="AG5006" i="2"/>
  <c r="AF5006" i="2"/>
  <c r="AK5006" i="2" s="1"/>
  <c r="AJ5005" i="2"/>
  <c r="AI5005" i="2"/>
  <c r="AH5005" i="2"/>
  <c r="AG5005" i="2"/>
  <c r="AF5005" i="2"/>
  <c r="AK5005" i="2" s="1"/>
  <c r="AJ5004" i="2"/>
  <c r="AI5004" i="2"/>
  <c r="AH5004" i="2"/>
  <c r="AG5004" i="2"/>
  <c r="AF5004" i="2"/>
  <c r="AK5004" i="2" s="1"/>
  <c r="AJ5003" i="2"/>
  <c r="AI5003" i="2"/>
  <c r="AH5003" i="2"/>
  <c r="AG5003" i="2"/>
  <c r="AF5003" i="2"/>
  <c r="AK5003" i="2"/>
  <c r="AJ5002" i="2"/>
  <c r="AI5002" i="2"/>
  <c r="AH5002" i="2"/>
  <c r="AG5002" i="2"/>
  <c r="AF5002" i="2"/>
  <c r="AK5002" i="2" s="1"/>
  <c r="AJ5001" i="2"/>
  <c r="AI5001" i="2"/>
  <c r="AH5001" i="2"/>
  <c r="AG5001" i="2"/>
  <c r="AF5001" i="2"/>
  <c r="AK5001" i="2"/>
  <c r="AJ5000" i="2"/>
  <c r="AI5000" i="2"/>
  <c r="AH5000" i="2"/>
  <c r="AG5000" i="2"/>
  <c r="AF5000" i="2"/>
  <c r="AK5000" i="2" s="1"/>
  <c r="AJ4999" i="2"/>
  <c r="AI4999" i="2"/>
  <c r="AH4999" i="2"/>
  <c r="AG4999" i="2"/>
  <c r="AF4999" i="2"/>
  <c r="AK4999" i="2"/>
  <c r="AF6" i="2"/>
  <c r="AK6" i="2" s="1"/>
  <c r="AG6" i="2"/>
  <c r="AH6" i="2"/>
  <c r="AI6" i="2"/>
  <c r="AJ6" i="2"/>
  <c r="AF7" i="2"/>
  <c r="AK7" i="2" s="1"/>
  <c r="AG7" i="2"/>
  <c r="AH7" i="2"/>
  <c r="AI7" i="2"/>
  <c r="AJ7" i="2"/>
  <c r="AF8" i="2"/>
  <c r="AK8" i="2" s="1"/>
  <c r="AG8" i="2"/>
  <c r="AH8" i="2"/>
  <c r="AI8" i="2"/>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s="1"/>
  <c r="AG14" i="2"/>
  <c r="AH14" i="2"/>
  <c r="AI14" i="2"/>
  <c r="AJ14" i="2"/>
  <c r="AF15" i="2"/>
  <c r="AK15" i="2" s="1"/>
  <c r="AG15" i="2"/>
  <c r="AH15" i="2"/>
  <c r="AI15" i="2"/>
  <c r="AJ15" i="2"/>
  <c r="AF16" i="2"/>
  <c r="AK16" i="2" s="1"/>
  <c r="AG16" i="2"/>
  <c r="AH16" i="2"/>
  <c r="AI16" i="2"/>
  <c r="AJ16" i="2"/>
  <c r="AF17" i="2"/>
  <c r="AK17" i="2" s="1"/>
  <c r="AG17" i="2"/>
  <c r="AH17" i="2"/>
  <c r="AI17" i="2"/>
  <c r="AJ17" i="2"/>
  <c r="AF18" i="2"/>
  <c r="AK18" i="2" s="1"/>
  <c r="AG18" i="2"/>
  <c r="AH18" i="2"/>
  <c r="AI18" i="2"/>
  <c r="AJ18" i="2"/>
  <c r="AF19" i="2"/>
  <c r="AK19" i="2" s="1"/>
  <c r="AG19" i="2"/>
  <c r="AH19" i="2"/>
  <c r="AI19" i="2"/>
  <c r="AJ19" i="2"/>
  <c r="AF20" i="2"/>
  <c r="AK20" i="2" s="1"/>
  <c r="AG20" i="2"/>
  <c r="AH20" i="2"/>
  <c r="AI20" i="2"/>
  <c r="AJ20" i="2"/>
  <c r="AF21" i="2"/>
  <c r="AK21" i="2" s="1"/>
  <c r="AG21" i="2"/>
  <c r="AH21" i="2"/>
  <c r="AI21" i="2"/>
  <c r="AJ21" i="2"/>
  <c r="AF22" i="2"/>
  <c r="AK22" i="2" s="1"/>
  <c r="AG22" i="2"/>
  <c r="AH22" i="2"/>
  <c r="AI22" i="2"/>
  <c r="AJ22" i="2"/>
  <c r="AF23" i="2"/>
  <c r="AK23" i="2" s="1"/>
  <c r="AG23" i="2"/>
  <c r="AH23" i="2"/>
  <c r="AI23" i="2"/>
  <c r="AJ23" i="2"/>
  <c r="AF24" i="2"/>
  <c r="AK24" i="2" s="1"/>
  <c r="AG24" i="2"/>
  <c r="AH24" i="2"/>
  <c r="AI24" i="2"/>
  <c r="AJ24" i="2"/>
  <c r="AF25" i="2"/>
  <c r="AK25" i="2" s="1"/>
  <c r="AG25" i="2"/>
  <c r="AH25" i="2"/>
  <c r="AI25" i="2"/>
  <c r="AJ25" i="2"/>
  <c r="AF26" i="2"/>
  <c r="AK26" i="2" s="1"/>
  <c r="AG26" i="2"/>
  <c r="AH26" i="2"/>
  <c r="AI26" i="2"/>
  <c r="AJ26" i="2"/>
  <c r="AF27" i="2"/>
  <c r="AK27" i="2" s="1"/>
  <c r="AG27" i="2"/>
  <c r="AH27" i="2"/>
  <c r="AI27" i="2"/>
  <c r="AJ27" i="2"/>
  <c r="AF28" i="2"/>
  <c r="AK28" i="2" s="1"/>
  <c r="AG28" i="2"/>
  <c r="AH28" i="2"/>
  <c r="AI28" i="2"/>
  <c r="AJ28" i="2"/>
  <c r="AF29" i="2"/>
  <c r="AK29" i="2" s="1"/>
  <c r="AG29" i="2"/>
  <c r="AH29" i="2"/>
  <c r="AI29" i="2"/>
  <c r="AJ29" i="2"/>
  <c r="AF30" i="2"/>
  <c r="AK30" i="2" s="1"/>
  <c r="AG30" i="2"/>
  <c r="AH30" i="2"/>
  <c r="AI30" i="2"/>
  <c r="AJ30" i="2"/>
  <c r="AF31" i="2"/>
  <c r="AK31" i="2" s="1"/>
  <c r="AG31" i="2"/>
  <c r="AH31" i="2"/>
  <c r="AI31" i="2"/>
  <c r="AJ31" i="2"/>
  <c r="AF32" i="2"/>
  <c r="AK32" i="2" s="1"/>
  <c r="AG32" i="2"/>
  <c r="AH32" i="2"/>
  <c r="AI32" i="2"/>
  <c r="AJ32" i="2"/>
  <c r="AF33" i="2"/>
  <c r="AK33" i="2" s="1"/>
  <c r="AG33" i="2"/>
  <c r="AH33" i="2"/>
  <c r="AI33" i="2"/>
  <c r="AJ33" i="2"/>
  <c r="AF34" i="2"/>
  <c r="AK34" i="2" s="1"/>
  <c r="AG34" i="2"/>
  <c r="AH34" i="2"/>
  <c r="AI34" i="2"/>
  <c r="AJ34" i="2"/>
  <c r="AF35" i="2"/>
  <c r="AK35" i="2" s="1"/>
  <c r="AG35" i="2"/>
  <c r="AH35" i="2"/>
  <c r="AI35" i="2"/>
  <c r="AJ35" i="2"/>
  <c r="AF36" i="2"/>
  <c r="AK36" i="2" s="1"/>
  <c r="AG36" i="2"/>
  <c r="AH36" i="2"/>
  <c r="AI36" i="2"/>
  <c r="AJ36" i="2"/>
  <c r="AF37" i="2"/>
  <c r="AK37" i="2" s="1"/>
  <c r="AG37" i="2"/>
  <c r="AH37" i="2"/>
  <c r="AI37" i="2"/>
  <c r="AJ37" i="2"/>
  <c r="AF38" i="2"/>
  <c r="AK38" i="2" s="1"/>
  <c r="AG38" i="2"/>
  <c r="AH38" i="2"/>
  <c r="AI38" i="2"/>
  <c r="AJ38" i="2"/>
  <c r="AF39" i="2"/>
  <c r="AK39" i="2" s="1"/>
  <c r="AG39" i="2"/>
  <c r="AH39" i="2"/>
  <c r="AI39" i="2"/>
  <c r="AJ39" i="2"/>
  <c r="AF40" i="2"/>
  <c r="AK40" i="2" s="1"/>
  <c r="AG40" i="2"/>
  <c r="AH40" i="2"/>
  <c r="AI40" i="2"/>
  <c r="AJ40" i="2"/>
  <c r="AF41" i="2"/>
  <c r="AK41" i="2" s="1"/>
  <c r="AG41" i="2"/>
  <c r="AH41" i="2"/>
  <c r="AI41" i="2"/>
  <c r="AJ41" i="2"/>
  <c r="AF42" i="2"/>
  <c r="AK42" i="2" s="1"/>
  <c r="AG42" i="2"/>
  <c r="AH42" i="2"/>
  <c r="AI42" i="2"/>
  <c r="AJ42" i="2"/>
  <c r="AF43" i="2"/>
  <c r="AK43" i="2" s="1"/>
  <c r="AG43" i="2"/>
  <c r="AH43" i="2"/>
  <c r="AI43" i="2"/>
  <c r="AJ43" i="2"/>
  <c r="AF44" i="2"/>
  <c r="AK44" i="2" s="1"/>
  <c r="AG44" i="2"/>
  <c r="AH44" i="2"/>
  <c r="AI44" i="2"/>
  <c r="AJ44" i="2"/>
  <c r="AF45" i="2"/>
  <c r="AK45" i="2" s="1"/>
  <c r="AG45" i="2"/>
  <c r="AH45" i="2"/>
  <c r="AI45" i="2"/>
  <c r="AJ45" i="2"/>
  <c r="AF46" i="2"/>
  <c r="AK46" i="2" s="1"/>
  <c r="AG46" i="2"/>
  <c r="AH46" i="2"/>
  <c r="AI46" i="2"/>
  <c r="AJ46" i="2"/>
  <c r="AF47" i="2"/>
  <c r="AK47" i="2" s="1"/>
  <c r="AG47" i="2"/>
  <c r="AH47" i="2"/>
  <c r="AI47" i="2"/>
  <c r="AJ47" i="2"/>
  <c r="AF48" i="2"/>
  <c r="AK48" i="2" s="1"/>
  <c r="AG48" i="2"/>
  <c r="AH48" i="2"/>
  <c r="AI48" i="2"/>
  <c r="AJ48" i="2"/>
  <c r="AF49" i="2"/>
  <c r="AK49" i="2" s="1"/>
  <c r="AG49" i="2"/>
  <c r="AH49" i="2"/>
  <c r="AI49" i="2"/>
  <c r="AJ49" i="2"/>
  <c r="AF50" i="2"/>
  <c r="AK50" i="2" s="1"/>
  <c r="AG50" i="2"/>
  <c r="AH50" i="2"/>
  <c r="AI50" i="2"/>
  <c r="AJ50" i="2"/>
  <c r="AF51" i="2"/>
  <c r="AK51" i="2"/>
  <c r="AG51" i="2"/>
  <c r="AH51" i="2"/>
  <c r="AI51" i="2"/>
  <c r="AJ51" i="2"/>
  <c r="AF52" i="2"/>
  <c r="AK52" i="2" s="1"/>
  <c r="AG52" i="2"/>
  <c r="AH52" i="2"/>
  <c r="AI52" i="2"/>
  <c r="AJ52" i="2"/>
  <c r="AF53" i="2"/>
  <c r="AK53" i="2" s="1"/>
  <c r="AL53" i="2" s="1"/>
  <c r="AM53" i="2" s="1"/>
  <c r="AG53" i="2"/>
  <c r="AH53" i="2"/>
  <c r="AI53" i="2"/>
  <c r="AJ53" i="2"/>
  <c r="AF54" i="2"/>
  <c r="AK54" i="2" s="1"/>
  <c r="AG54" i="2"/>
  <c r="AH54" i="2"/>
  <c r="AI54" i="2"/>
  <c r="AJ54" i="2"/>
  <c r="AF55" i="2"/>
  <c r="AK55" i="2" s="1"/>
  <c r="AG55" i="2"/>
  <c r="AH55" i="2"/>
  <c r="AI55" i="2"/>
  <c r="AJ55" i="2"/>
  <c r="AF56" i="2"/>
  <c r="AK56" i="2" s="1"/>
  <c r="AG56" i="2"/>
  <c r="AH56" i="2"/>
  <c r="AI56" i="2"/>
  <c r="AJ56" i="2"/>
  <c r="AF57" i="2"/>
  <c r="AK57" i="2" s="1"/>
  <c r="AG57" i="2"/>
  <c r="AH57" i="2"/>
  <c r="AI57" i="2"/>
  <c r="AJ57" i="2"/>
  <c r="AF58" i="2"/>
  <c r="AK58" i="2" s="1"/>
  <c r="AG58" i="2"/>
  <c r="AH58" i="2"/>
  <c r="AI58" i="2"/>
  <c r="AJ58" i="2"/>
  <c r="AF59" i="2"/>
  <c r="AK59" i="2" s="1"/>
  <c r="AG59" i="2"/>
  <c r="AH59" i="2"/>
  <c r="AI59" i="2"/>
  <c r="AJ59" i="2"/>
  <c r="AF60" i="2"/>
  <c r="AK60" i="2" s="1"/>
  <c r="AG60" i="2"/>
  <c r="AH60" i="2"/>
  <c r="AI60" i="2"/>
  <c r="AJ60" i="2"/>
  <c r="AF61" i="2"/>
  <c r="AK61" i="2" s="1"/>
  <c r="AG61" i="2"/>
  <c r="AH61" i="2"/>
  <c r="AI61" i="2"/>
  <c r="AJ61" i="2"/>
  <c r="AF62" i="2"/>
  <c r="AK62" i="2" s="1"/>
  <c r="AG62" i="2"/>
  <c r="AH62" i="2"/>
  <c r="AI62" i="2"/>
  <c r="AJ62" i="2"/>
  <c r="AF63" i="2"/>
  <c r="AK63" i="2" s="1"/>
  <c r="AG63" i="2"/>
  <c r="AH63" i="2"/>
  <c r="AI63" i="2"/>
  <c r="AJ63" i="2"/>
  <c r="AF64" i="2"/>
  <c r="AK64" i="2" s="1"/>
  <c r="AG64" i="2"/>
  <c r="AH64" i="2"/>
  <c r="AI64" i="2"/>
  <c r="AJ64" i="2"/>
  <c r="AF65" i="2"/>
  <c r="AK65" i="2" s="1"/>
  <c r="AG65" i="2"/>
  <c r="AH65" i="2"/>
  <c r="AI65" i="2"/>
  <c r="AJ65" i="2"/>
  <c r="AF66" i="2"/>
  <c r="AK66" i="2" s="1"/>
  <c r="AG66" i="2"/>
  <c r="AH66" i="2"/>
  <c r="AI66" i="2"/>
  <c r="AJ66" i="2"/>
  <c r="AF67" i="2"/>
  <c r="AK67" i="2" s="1"/>
  <c r="AG67" i="2"/>
  <c r="AH67" i="2"/>
  <c r="AI67" i="2"/>
  <c r="AJ67" i="2"/>
  <c r="AF68" i="2"/>
  <c r="AK68" i="2" s="1"/>
  <c r="AG68" i="2"/>
  <c r="AH68" i="2"/>
  <c r="AI68" i="2"/>
  <c r="AJ68" i="2"/>
  <c r="AF69" i="2"/>
  <c r="AK69" i="2" s="1"/>
  <c r="AG69" i="2"/>
  <c r="AH69" i="2"/>
  <c r="AI69" i="2"/>
  <c r="AJ69" i="2"/>
  <c r="AF70" i="2"/>
  <c r="AK70" i="2" s="1"/>
  <c r="AG70" i="2"/>
  <c r="AH70" i="2"/>
  <c r="AI70" i="2"/>
  <c r="AJ70" i="2"/>
  <c r="AF71" i="2"/>
  <c r="AK71" i="2" s="1"/>
  <c r="AG71" i="2"/>
  <c r="AH71" i="2"/>
  <c r="AI71" i="2"/>
  <c r="AJ71" i="2"/>
  <c r="AF72" i="2"/>
  <c r="AK72" i="2" s="1"/>
  <c r="AG72" i="2"/>
  <c r="AH72" i="2"/>
  <c r="AI72" i="2"/>
  <c r="AJ72" i="2"/>
  <c r="AF73" i="2"/>
  <c r="AK73" i="2" s="1"/>
  <c r="AG73" i="2"/>
  <c r="AH73" i="2"/>
  <c r="AI73" i="2"/>
  <c r="AJ73" i="2"/>
  <c r="AF74" i="2"/>
  <c r="AK74" i="2" s="1"/>
  <c r="AG74" i="2"/>
  <c r="AH74" i="2"/>
  <c r="AI74" i="2"/>
  <c r="AJ74" i="2"/>
  <c r="AF75" i="2"/>
  <c r="AK75" i="2" s="1"/>
  <c r="AG75" i="2"/>
  <c r="AH75" i="2"/>
  <c r="AI75" i="2"/>
  <c r="AJ75" i="2"/>
  <c r="AF76" i="2"/>
  <c r="AK76" i="2" s="1"/>
  <c r="AG76" i="2"/>
  <c r="AH76" i="2"/>
  <c r="AI76" i="2"/>
  <c r="AJ76" i="2"/>
  <c r="AF77" i="2"/>
  <c r="AK77" i="2" s="1"/>
  <c r="AL77" i="2" s="1"/>
  <c r="AM77" i="2" s="1"/>
  <c r="AG77" i="2"/>
  <c r="AH77" i="2"/>
  <c r="AI77" i="2"/>
  <c r="AJ77" i="2"/>
  <c r="AF78" i="2"/>
  <c r="AK78" i="2" s="1"/>
  <c r="AG78" i="2"/>
  <c r="AH78" i="2"/>
  <c r="AI78" i="2"/>
  <c r="AJ78" i="2"/>
  <c r="AF79" i="2"/>
  <c r="AK79" i="2" s="1"/>
  <c r="AG79" i="2"/>
  <c r="AH79" i="2"/>
  <c r="AI79" i="2"/>
  <c r="AJ79" i="2"/>
  <c r="AF80" i="2"/>
  <c r="AK80" i="2" s="1"/>
  <c r="AG80" i="2"/>
  <c r="AH80" i="2"/>
  <c r="AI80" i="2"/>
  <c r="AJ80" i="2"/>
  <c r="AF81" i="2"/>
  <c r="AK81" i="2" s="1"/>
  <c r="AG81" i="2"/>
  <c r="AH81" i="2"/>
  <c r="AI81" i="2"/>
  <c r="AJ81" i="2"/>
  <c r="AF82" i="2"/>
  <c r="AK82" i="2" s="1"/>
  <c r="AG82" i="2"/>
  <c r="AH82" i="2"/>
  <c r="AI82" i="2"/>
  <c r="AJ82" i="2"/>
  <c r="AF83" i="2"/>
  <c r="AK83" i="2" s="1"/>
  <c r="AG83" i="2"/>
  <c r="AH83" i="2"/>
  <c r="AI83" i="2"/>
  <c r="AJ83" i="2"/>
  <c r="AF84" i="2"/>
  <c r="AK84" i="2" s="1"/>
  <c r="AG84" i="2"/>
  <c r="AH84" i="2"/>
  <c r="AI84" i="2"/>
  <c r="AJ84" i="2"/>
  <c r="AF85" i="2"/>
  <c r="AK85" i="2" s="1"/>
  <c r="AG85" i="2"/>
  <c r="AH85" i="2"/>
  <c r="AI85" i="2"/>
  <c r="AJ85" i="2"/>
  <c r="AF86" i="2"/>
  <c r="AK86" i="2" s="1"/>
  <c r="AG86" i="2"/>
  <c r="AH86" i="2"/>
  <c r="AI86" i="2"/>
  <c r="AJ86" i="2"/>
  <c r="AF87" i="2"/>
  <c r="AK87" i="2" s="1"/>
  <c r="AG87" i="2"/>
  <c r="AH87" i="2"/>
  <c r="AI87" i="2"/>
  <c r="AJ87" i="2"/>
  <c r="AF88" i="2"/>
  <c r="AK88" i="2" s="1"/>
  <c r="AG88" i="2"/>
  <c r="AH88" i="2"/>
  <c r="AI88" i="2"/>
  <c r="AJ88" i="2"/>
  <c r="AF89" i="2"/>
  <c r="AK89" i="2" s="1"/>
  <c r="AG89" i="2"/>
  <c r="AH89" i="2"/>
  <c r="AI89" i="2"/>
  <c r="AJ89" i="2"/>
  <c r="AF90" i="2"/>
  <c r="AK90" i="2" s="1"/>
  <c r="AG90" i="2"/>
  <c r="AH90" i="2"/>
  <c r="AI90" i="2"/>
  <c r="AJ90" i="2"/>
  <c r="AF91" i="2"/>
  <c r="AK91" i="2" s="1"/>
  <c r="AL91" i="2" s="1"/>
  <c r="AM91" i="2" s="1"/>
  <c r="AG91" i="2"/>
  <c r="AH91" i="2"/>
  <c r="AI91" i="2"/>
  <c r="AJ91" i="2"/>
  <c r="AF92" i="2"/>
  <c r="AK92" i="2" s="1"/>
  <c r="AG92" i="2"/>
  <c r="AH92" i="2"/>
  <c r="AI92" i="2"/>
  <c r="AJ92" i="2"/>
  <c r="AF93" i="2"/>
  <c r="AK93" i="2" s="1"/>
  <c r="AG93" i="2"/>
  <c r="AH93" i="2"/>
  <c r="AI93" i="2"/>
  <c r="AJ93" i="2"/>
  <c r="AF94" i="2"/>
  <c r="AK94" i="2" s="1"/>
  <c r="AG94" i="2"/>
  <c r="AH94" i="2"/>
  <c r="AI94" i="2"/>
  <c r="AJ94" i="2"/>
  <c r="AF95" i="2"/>
  <c r="AK95" i="2" s="1"/>
  <c r="AG95" i="2"/>
  <c r="AH95" i="2"/>
  <c r="AI95" i="2"/>
  <c r="AJ95" i="2"/>
  <c r="AF96" i="2"/>
  <c r="AK96" i="2" s="1"/>
  <c r="AG96" i="2"/>
  <c r="AH96" i="2"/>
  <c r="AI96" i="2"/>
  <c r="AJ96" i="2"/>
  <c r="AF97" i="2"/>
  <c r="AK97" i="2" s="1"/>
  <c r="AG97" i="2"/>
  <c r="AH97" i="2"/>
  <c r="AI97" i="2"/>
  <c r="AJ97" i="2"/>
  <c r="AF98" i="2"/>
  <c r="AK98" i="2" s="1"/>
  <c r="AG98" i="2"/>
  <c r="AH98" i="2"/>
  <c r="AI98" i="2"/>
  <c r="AJ98" i="2"/>
  <c r="AF99" i="2"/>
  <c r="AK99" i="2" s="1"/>
  <c r="AG99" i="2"/>
  <c r="AH99" i="2"/>
  <c r="AI99" i="2"/>
  <c r="AJ99" i="2"/>
  <c r="AF100" i="2"/>
  <c r="AK100" i="2" s="1"/>
  <c r="AG100" i="2"/>
  <c r="AH100" i="2"/>
  <c r="AI100" i="2"/>
  <c r="AJ100" i="2"/>
  <c r="AF101" i="2"/>
  <c r="AK101" i="2" s="1"/>
  <c r="AG101" i="2"/>
  <c r="AH101" i="2"/>
  <c r="AI101" i="2"/>
  <c r="AJ101" i="2"/>
  <c r="AF102" i="2"/>
  <c r="AK102" i="2" s="1"/>
  <c r="AG102" i="2"/>
  <c r="AH102" i="2"/>
  <c r="AI102" i="2"/>
  <c r="AJ102" i="2"/>
  <c r="AF103" i="2"/>
  <c r="AK103" i="2" s="1"/>
  <c r="AG103" i="2"/>
  <c r="AH103" i="2"/>
  <c r="AI103" i="2"/>
  <c r="AJ103" i="2"/>
  <c r="AF104" i="2"/>
  <c r="AK104" i="2" s="1"/>
  <c r="AG104" i="2"/>
  <c r="AH104" i="2"/>
  <c r="AI104" i="2"/>
  <c r="AJ104" i="2"/>
  <c r="AF105" i="2"/>
  <c r="AK105" i="2"/>
  <c r="AG105" i="2"/>
  <c r="AH105" i="2"/>
  <c r="AI105" i="2"/>
  <c r="AJ105" i="2"/>
  <c r="AF106" i="2"/>
  <c r="AK106" i="2" s="1"/>
  <c r="AG106" i="2"/>
  <c r="AH106" i="2"/>
  <c r="AI106" i="2"/>
  <c r="AJ106" i="2"/>
  <c r="AF107" i="2"/>
  <c r="AK107" i="2" s="1"/>
  <c r="AG107" i="2"/>
  <c r="AH107" i="2"/>
  <c r="AI107" i="2"/>
  <c r="AJ107" i="2"/>
  <c r="AF108" i="2"/>
  <c r="AK108" i="2" s="1"/>
  <c r="AG108" i="2"/>
  <c r="AH108" i="2"/>
  <c r="AI108" i="2"/>
  <c r="AJ108" i="2"/>
  <c r="AF109" i="2"/>
  <c r="AK109" i="2" s="1"/>
  <c r="AG109" i="2"/>
  <c r="AH109" i="2"/>
  <c r="AI109" i="2"/>
  <c r="AJ109" i="2"/>
  <c r="AF110" i="2"/>
  <c r="AK110" i="2" s="1"/>
  <c r="AG110" i="2"/>
  <c r="AH110" i="2"/>
  <c r="AI110" i="2"/>
  <c r="AJ110" i="2"/>
  <c r="AF111" i="2"/>
  <c r="AK111" i="2" s="1"/>
  <c r="AG111" i="2"/>
  <c r="AH111" i="2"/>
  <c r="AI111" i="2"/>
  <c r="AJ111" i="2"/>
  <c r="AF112" i="2"/>
  <c r="AK112" i="2" s="1"/>
  <c r="AG112" i="2"/>
  <c r="AH112" i="2"/>
  <c r="AI112" i="2"/>
  <c r="AJ112" i="2"/>
  <c r="AF113" i="2"/>
  <c r="AK113" i="2" s="1"/>
  <c r="AG113" i="2"/>
  <c r="AH113" i="2"/>
  <c r="AI113" i="2"/>
  <c r="AJ113" i="2"/>
  <c r="AF114" i="2"/>
  <c r="AK114" i="2"/>
  <c r="AG114" i="2"/>
  <c r="AH114" i="2"/>
  <c r="AI114" i="2"/>
  <c r="AJ114" i="2"/>
  <c r="AF115" i="2"/>
  <c r="AK115" i="2" s="1"/>
  <c r="AL115" i="2" s="1"/>
  <c r="AM115" i="2" s="1"/>
  <c r="AG115" i="2"/>
  <c r="AH115" i="2"/>
  <c r="AI115" i="2"/>
  <c r="AJ115" i="2"/>
  <c r="AF116" i="2"/>
  <c r="AK116" i="2"/>
  <c r="AG116" i="2"/>
  <c r="AH116" i="2"/>
  <c r="AI116" i="2"/>
  <c r="AJ116" i="2"/>
  <c r="AF117" i="2"/>
  <c r="AK117" i="2" s="1"/>
  <c r="AL117" i="2" s="1"/>
  <c r="AM117" i="2" s="1"/>
  <c r="AG117" i="2"/>
  <c r="AH117" i="2"/>
  <c r="AI117" i="2"/>
  <c r="AJ117" i="2"/>
  <c r="AF118" i="2"/>
  <c r="AK118" i="2"/>
  <c r="AG118" i="2"/>
  <c r="AH118" i="2"/>
  <c r="AI118" i="2"/>
  <c r="AJ118" i="2"/>
  <c r="AF119" i="2"/>
  <c r="AK119" i="2" s="1"/>
  <c r="AL119" i="2" s="1"/>
  <c r="AM119" i="2" s="1"/>
  <c r="AG119" i="2"/>
  <c r="AH119" i="2"/>
  <c r="AI119" i="2"/>
  <c r="AJ119" i="2"/>
  <c r="AF120" i="2"/>
  <c r="AK120" i="2"/>
  <c r="AG120" i="2"/>
  <c r="AH120" i="2"/>
  <c r="AI120" i="2"/>
  <c r="AJ120" i="2"/>
  <c r="AF121" i="2"/>
  <c r="AK121" i="2" s="1"/>
  <c r="AL121" i="2" s="1"/>
  <c r="AM121" i="2" s="1"/>
  <c r="AG121" i="2"/>
  <c r="AH121" i="2"/>
  <c r="AI121" i="2"/>
  <c r="AJ121" i="2"/>
  <c r="AF122" i="2"/>
  <c r="AK122" i="2"/>
  <c r="AG122" i="2"/>
  <c r="AH122" i="2"/>
  <c r="AI122" i="2"/>
  <c r="AJ122" i="2"/>
  <c r="AF123" i="2"/>
  <c r="AK123" i="2" s="1"/>
  <c r="AL123" i="2" s="1"/>
  <c r="AM123" i="2" s="1"/>
  <c r="AG123" i="2"/>
  <c r="AH123" i="2"/>
  <c r="AI123" i="2"/>
  <c r="AJ123" i="2"/>
  <c r="AF124" i="2"/>
  <c r="AK124" i="2"/>
  <c r="AG124" i="2"/>
  <c r="AH124" i="2"/>
  <c r="AI124" i="2"/>
  <c r="AJ124" i="2"/>
  <c r="AF125" i="2"/>
  <c r="AK125" i="2" s="1"/>
  <c r="AL125" i="2" s="1"/>
  <c r="AM125" i="2" s="1"/>
  <c r="AG125" i="2"/>
  <c r="AH125" i="2"/>
  <c r="AI125" i="2"/>
  <c r="AJ125" i="2"/>
  <c r="AF126" i="2"/>
  <c r="AK126" i="2"/>
  <c r="AG126" i="2"/>
  <c r="AH126" i="2"/>
  <c r="AI126" i="2"/>
  <c r="AJ126" i="2"/>
  <c r="AF127" i="2"/>
  <c r="AK127" i="2" s="1"/>
  <c r="AL127" i="2" s="1"/>
  <c r="AM127" i="2" s="1"/>
  <c r="AG127" i="2"/>
  <c r="AH127" i="2"/>
  <c r="AI127" i="2"/>
  <c r="AJ127" i="2"/>
  <c r="AF128" i="2"/>
  <c r="AK128" i="2"/>
  <c r="AG128" i="2"/>
  <c r="AH128" i="2"/>
  <c r="AI128" i="2"/>
  <c r="AJ128" i="2"/>
  <c r="AF129" i="2"/>
  <c r="AK129" i="2" s="1"/>
  <c r="AL129" i="2" s="1"/>
  <c r="AM129" i="2" s="1"/>
  <c r="AG129" i="2"/>
  <c r="AH129" i="2"/>
  <c r="AI129" i="2"/>
  <c r="AJ129" i="2"/>
  <c r="AF130" i="2"/>
  <c r="AK130" i="2"/>
  <c r="AG130" i="2"/>
  <c r="AH130" i="2"/>
  <c r="AI130" i="2"/>
  <c r="AJ130" i="2"/>
  <c r="AF131" i="2"/>
  <c r="AK131" i="2" s="1"/>
  <c r="AL131" i="2" s="1"/>
  <c r="AM131" i="2" s="1"/>
  <c r="AG131" i="2"/>
  <c r="AH131" i="2"/>
  <c r="AI131" i="2"/>
  <c r="AJ131" i="2"/>
  <c r="AF132" i="2"/>
  <c r="AK132" i="2"/>
  <c r="AG132" i="2"/>
  <c r="AH132" i="2"/>
  <c r="AI132" i="2"/>
  <c r="AJ132" i="2"/>
  <c r="AF133" i="2"/>
  <c r="AK133" i="2" s="1"/>
  <c r="AL133" i="2" s="1"/>
  <c r="AM133" i="2" s="1"/>
  <c r="AG133" i="2"/>
  <c r="AH133" i="2"/>
  <c r="AI133" i="2"/>
  <c r="AJ133" i="2"/>
  <c r="AF134" i="2"/>
  <c r="AK134" i="2"/>
  <c r="AG134" i="2"/>
  <c r="AH134" i="2"/>
  <c r="AI134" i="2"/>
  <c r="AJ134" i="2"/>
  <c r="AF135" i="2"/>
  <c r="AK135" i="2" s="1"/>
  <c r="AL135" i="2" s="1"/>
  <c r="AM135" i="2" s="1"/>
  <c r="AG135" i="2"/>
  <c r="AH135" i="2"/>
  <c r="AI135" i="2"/>
  <c r="AJ135" i="2"/>
  <c r="AF136" i="2"/>
  <c r="AK136" i="2"/>
  <c r="AG136" i="2"/>
  <c r="AH136" i="2"/>
  <c r="AI136" i="2"/>
  <c r="AJ136" i="2"/>
  <c r="AF137" i="2"/>
  <c r="AK137" i="2" s="1"/>
  <c r="AL137" i="2" s="1"/>
  <c r="AM137" i="2" s="1"/>
  <c r="AG137" i="2"/>
  <c r="AH137" i="2"/>
  <c r="AI137" i="2"/>
  <c r="AJ137" i="2"/>
  <c r="AF138" i="2"/>
  <c r="AK138" i="2"/>
  <c r="AG138" i="2"/>
  <c r="AH138" i="2"/>
  <c r="AI138" i="2"/>
  <c r="AJ138" i="2"/>
  <c r="AF139" i="2"/>
  <c r="AK139" i="2" s="1"/>
  <c r="AL139" i="2" s="1"/>
  <c r="AM139" i="2" s="1"/>
  <c r="AG139" i="2"/>
  <c r="AH139" i="2"/>
  <c r="AI139" i="2"/>
  <c r="AJ139" i="2"/>
  <c r="AF140" i="2"/>
  <c r="AK140" i="2" s="1"/>
  <c r="AL140" i="2" s="1"/>
  <c r="AM140" i="2" s="1"/>
  <c r="AG140" i="2"/>
  <c r="AH140" i="2"/>
  <c r="AI140" i="2"/>
  <c r="AJ140" i="2"/>
  <c r="AF141" i="2"/>
  <c r="AK141" i="2" s="1"/>
  <c r="AL141" i="2" s="1"/>
  <c r="AM141" i="2" s="1"/>
  <c r="AG141" i="2"/>
  <c r="AH141" i="2"/>
  <c r="AI141" i="2"/>
  <c r="AJ141" i="2"/>
  <c r="AF142" i="2"/>
  <c r="AK142" i="2" s="1"/>
  <c r="AL142" i="2" s="1"/>
  <c r="AM142" i="2" s="1"/>
  <c r="AG142" i="2"/>
  <c r="AH142" i="2"/>
  <c r="AI142" i="2"/>
  <c r="AJ142" i="2"/>
  <c r="AF143" i="2"/>
  <c r="AK143" i="2" s="1"/>
  <c r="AL143" i="2" s="1"/>
  <c r="AM143" i="2" s="1"/>
  <c r="AG143" i="2"/>
  <c r="AH143" i="2"/>
  <c r="AI143" i="2"/>
  <c r="AJ143" i="2"/>
  <c r="AF144" i="2"/>
  <c r="AK144" i="2" s="1"/>
  <c r="AL144" i="2" s="1"/>
  <c r="AM144" i="2" s="1"/>
  <c r="AG144" i="2"/>
  <c r="AH144" i="2"/>
  <c r="AI144" i="2"/>
  <c r="AJ144" i="2"/>
  <c r="AF145" i="2"/>
  <c r="AK145" i="2" s="1"/>
  <c r="AL145" i="2" s="1"/>
  <c r="AM145" i="2" s="1"/>
  <c r="AG145" i="2"/>
  <c r="AH145" i="2"/>
  <c r="AI145" i="2"/>
  <c r="AJ145" i="2"/>
  <c r="AF146" i="2"/>
  <c r="AK146" i="2" s="1"/>
  <c r="AL146" i="2" s="1"/>
  <c r="AM146" i="2" s="1"/>
  <c r="AG146" i="2"/>
  <c r="AH146" i="2"/>
  <c r="AI146" i="2"/>
  <c r="AJ146" i="2"/>
  <c r="AF147" i="2"/>
  <c r="AK147" i="2" s="1"/>
  <c r="AL147" i="2" s="1"/>
  <c r="AM147" i="2" s="1"/>
  <c r="AG147" i="2"/>
  <c r="AH147" i="2"/>
  <c r="AI147" i="2"/>
  <c r="AJ147" i="2"/>
  <c r="AF148" i="2"/>
  <c r="AK148" i="2"/>
  <c r="AG148" i="2"/>
  <c r="AH148" i="2"/>
  <c r="AI148" i="2"/>
  <c r="AJ148" i="2"/>
  <c r="AF149" i="2"/>
  <c r="AK149" i="2" s="1"/>
  <c r="AL149" i="2" s="1"/>
  <c r="AM149" i="2" s="1"/>
  <c r="AG149" i="2"/>
  <c r="AH149" i="2"/>
  <c r="AI149" i="2"/>
  <c r="AJ149" i="2"/>
  <c r="AF150" i="2"/>
  <c r="AK150" i="2"/>
  <c r="AG150" i="2"/>
  <c r="AH150" i="2"/>
  <c r="AI150" i="2"/>
  <c r="AJ150" i="2"/>
  <c r="AF151" i="2"/>
  <c r="AK151" i="2" s="1"/>
  <c r="AL151" i="2" s="1"/>
  <c r="AM151" i="2" s="1"/>
  <c r="AG151" i="2"/>
  <c r="AH151" i="2"/>
  <c r="AI151" i="2"/>
  <c r="AJ151" i="2"/>
  <c r="AF152" i="2"/>
  <c r="AK152" i="2"/>
  <c r="AG152" i="2"/>
  <c r="AH152" i="2"/>
  <c r="AI152" i="2"/>
  <c r="AJ152" i="2"/>
  <c r="AF153" i="2"/>
  <c r="AK153" i="2" s="1"/>
  <c r="AL153" i="2" s="1"/>
  <c r="AM153" i="2" s="1"/>
  <c r="AG153" i="2"/>
  <c r="AH153" i="2"/>
  <c r="AI153" i="2"/>
  <c r="AJ153" i="2"/>
  <c r="AF154" i="2"/>
  <c r="AK154" i="2"/>
  <c r="AG154" i="2"/>
  <c r="AH154" i="2"/>
  <c r="AI154" i="2"/>
  <c r="AJ154" i="2"/>
  <c r="AF155" i="2"/>
  <c r="AK155" i="2" s="1"/>
  <c r="AL155" i="2" s="1"/>
  <c r="AM155" i="2" s="1"/>
  <c r="AG155" i="2"/>
  <c r="AH155" i="2"/>
  <c r="AI155" i="2"/>
  <c r="AJ155" i="2"/>
  <c r="AF156" i="2"/>
  <c r="AK156" i="2"/>
  <c r="AG156" i="2"/>
  <c r="AH156" i="2"/>
  <c r="AI156" i="2"/>
  <c r="AJ156" i="2"/>
  <c r="AF157" i="2"/>
  <c r="AK157" i="2" s="1"/>
  <c r="AL157" i="2" s="1"/>
  <c r="AM157" i="2" s="1"/>
  <c r="AG157" i="2"/>
  <c r="AH157" i="2"/>
  <c r="AI157" i="2"/>
  <c r="AJ157" i="2"/>
  <c r="AF158" i="2"/>
  <c r="AK158" i="2"/>
  <c r="AG158" i="2"/>
  <c r="AH158" i="2"/>
  <c r="AI158" i="2"/>
  <c r="AJ158" i="2"/>
  <c r="AF159" i="2"/>
  <c r="AK159" i="2" s="1"/>
  <c r="AL159" i="2" s="1"/>
  <c r="AM159" i="2" s="1"/>
  <c r="AG159" i="2"/>
  <c r="AH159" i="2"/>
  <c r="AI159" i="2"/>
  <c r="AJ159" i="2"/>
  <c r="AF160" i="2"/>
  <c r="AK160" i="2"/>
  <c r="AG160" i="2"/>
  <c r="AH160" i="2"/>
  <c r="AI160" i="2"/>
  <c r="AJ160" i="2"/>
  <c r="AF161" i="2"/>
  <c r="AK161" i="2"/>
  <c r="AG161" i="2"/>
  <c r="AH161" i="2"/>
  <c r="AI161" i="2"/>
  <c r="AJ161" i="2"/>
  <c r="AF162" i="2"/>
  <c r="AK162" i="2"/>
  <c r="AG162" i="2"/>
  <c r="AH162" i="2"/>
  <c r="AI162" i="2"/>
  <c r="AJ162" i="2"/>
  <c r="AF163" i="2"/>
  <c r="AK163" i="2"/>
  <c r="AG163" i="2"/>
  <c r="AH163" i="2"/>
  <c r="AI163" i="2"/>
  <c r="AJ163" i="2"/>
  <c r="AF164" i="2"/>
  <c r="AK164" i="2" s="1"/>
  <c r="AG164" i="2"/>
  <c r="AH164" i="2"/>
  <c r="AI164" i="2"/>
  <c r="AJ164" i="2"/>
  <c r="AF165" i="2"/>
  <c r="AK165" i="2" s="1"/>
  <c r="AG165" i="2"/>
  <c r="AH165" i="2"/>
  <c r="AI165" i="2"/>
  <c r="AJ165" i="2"/>
  <c r="AF166" i="2"/>
  <c r="AK166" i="2" s="1"/>
  <c r="AG166" i="2"/>
  <c r="AH166" i="2"/>
  <c r="AI166" i="2"/>
  <c r="AJ166" i="2"/>
  <c r="AF167" i="2"/>
  <c r="AK167" i="2" s="1"/>
  <c r="AG167" i="2"/>
  <c r="AH167" i="2"/>
  <c r="AI167" i="2"/>
  <c r="AJ167" i="2"/>
  <c r="AF168" i="2"/>
  <c r="AK168" i="2" s="1"/>
  <c r="AG168" i="2"/>
  <c r="AL168" i="2" s="1"/>
  <c r="AM168" i="2" s="1"/>
  <c r="AH168" i="2"/>
  <c r="AI168" i="2"/>
  <c r="AJ168" i="2"/>
  <c r="AF169" i="2"/>
  <c r="AK169" i="2" s="1"/>
  <c r="AG169" i="2"/>
  <c r="AH169" i="2"/>
  <c r="AI169" i="2"/>
  <c r="AJ169" i="2"/>
  <c r="AF170" i="2"/>
  <c r="AK170" i="2" s="1"/>
  <c r="AG170" i="2"/>
  <c r="AH170" i="2"/>
  <c r="AI170" i="2"/>
  <c r="AJ170" i="2"/>
  <c r="AF171" i="2"/>
  <c r="AK171" i="2" s="1"/>
  <c r="AG171" i="2"/>
  <c r="AH171" i="2"/>
  <c r="AI171" i="2"/>
  <c r="AJ171" i="2"/>
  <c r="AF172" i="2"/>
  <c r="AK172" i="2" s="1"/>
  <c r="AG172" i="2"/>
  <c r="AH172" i="2"/>
  <c r="AI172" i="2"/>
  <c r="AJ172" i="2"/>
  <c r="AF173" i="2"/>
  <c r="AK173" i="2" s="1"/>
  <c r="AG173" i="2"/>
  <c r="AL173" i="2" s="1"/>
  <c r="AH173" i="2"/>
  <c r="AI173" i="2"/>
  <c r="AJ173" i="2"/>
  <c r="AF174" i="2"/>
  <c r="AK174" i="2" s="1"/>
  <c r="AG174" i="2"/>
  <c r="AH174" i="2"/>
  <c r="AI174" i="2"/>
  <c r="AJ174" i="2"/>
  <c r="AF175" i="2"/>
  <c r="AK175" i="2" s="1"/>
  <c r="AG175" i="2"/>
  <c r="AH175" i="2"/>
  <c r="AI175" i="2"/>
  <c r="AJ175" i="2"/>
  <c r="AF176" i="2"/>
  <c r="AK176" i="2" s="1"/>
  <c r="AG176" i="2"/>
  <c r="AH176" i="2"/>
  <c r="AI176" i="2"/>
  <c r="AJ176" i="2"/>
  <c r="AF177" i="2"/>
  <c r="AK177" i="2" s="1"/>
  <c r="AG177" i="2"/>
  <c r="AH177" i="2"/>
  <c r="AI177" i="2"/>
  <c r="AJ177" i="2"/>
  <c r="AF178" i="2"/>
  <c r="AK178" i="2" s="1"/>
  <c r="AG178" i="2"/>
  <c r="AH178" i="2"/>
  <c r="AL178" i="2" s="1"/>
  <c r="AI178" i="2"/>
  <c r="AJ178" i="2"/>
  <c r="AF179" i="2"/>
  <c r="AK179" i="2" s="1"/>
  <c r="AG179" i="2"/>
  <c r="AH179" i="2"/>
  <c r="AI179" i="2"/>
  <c r="AJ179" i="2"/>
  <c r="AF180" i="2"/>
  <c r="AK180" i="2" s="1"/>
  <c r="AG180" i="2"/>
  <c r="AH180" i="2"/>
  <c r="AI180" i="2"/>
  <c r="AJ180" i="2"/>
  <c r="AF181" i="2"/>
  <c r="AK181" i="2" s="1"/>
  <c r="AG181" i="2"/>
  <c r="AH181" i="2"/>
  <c r="AI181" i="2"/>
  <c r="AJ181" i="2"/>
  <c r="AF182" i="2"/>
  <c r="AK182" i="2" s="1"/>
  <c r="AG182" i="2"/>
  <c r="AH182" i="2"/>
  <c r="AI182" i="2"/>
  <c r="AJ182" i="2"/>
  <c r="AF183" i="2"/>
  <c r="AK183" i="2"/>
  <c r="AG183" i="2"/>
  <c r="AH183" i="2"/>
  <c r="AI183" i="2"/>
  <c r="AJ183" i="2"/>
  <c r="AF184" i="2"/>
  <c r="AK184" i="2"/>
  <c r="AG184" i="2"/>
  <c r="AH184" i="2"/>
  <c r="AI184" i="2"/>
  <c r="AJ184" i="2"/>
  <c r="AF185" i="2"/>
  <c r="AK185" i="2"/>
  <c r="AG185" i="2"/>
  <c r="AH185" i="2"/>
  <c r="AI185" i="2"/>
  <c r="AJ185" i="2"/>
  <c r="AF186" i="2"/>
  <c r="AK186" i="2"/>
  <c r="AG186" i="2"/>
  <c r="AH186" i="2"/>
  <c r="AI186" i="2"/>
  <c r="AJ186" i="2"/>
  <c r="AF187" i="2"/>
  <c r="AK187" i="2"/>
  <c r="AG187" i="2"/>
  <c r="AH187" i="2"/>
  <c r="AI187" i="2"/>
  <c r="AJ187" i="2"/>
  <c r="AF188" i="2"/>
  <c r="AK188" i="2"/>
  <c r="AG188" i="2"/>
  <c r="AH188" i="2"/>
  <c r="AI188" i="2"/>
  <c r="AJ188" i="2"/>
  <c r="AF189" i="2"/>
  <c r="AK189" i="2"/>
  <c r="AG189" i="2"/>
  <c r="AH189" i="2"/>
  <c r="AI189" i="2"/>
  <c r="AJ189" i="2"/>
  <c r="AF190" i="2"/>
  <c r="AK190" i="2"/>
  <c r="AG190" i="2"/>
  <c r="AH190" i="2"/>
  <c r="AI190" i="2"/>
  <c r="AJ190" i="2"/>
  <c r="AF191" i="2"/>
  <c r="AK191" i="2"/>
  <c r="AG191" i="2"/>
  <c r="AH191" i="2"/>
  <c r="AI191" i="2"/>
  <c r="AJ191" i="2"/>
  <c r="AF192" i="2"/>
  <c r="AK192" i="2"/>
  <c r="AG192" i="2"/>
  <c r="AH192" i="2"/>
  <c r="AI192" i="2"/>
  <c r="AJ192" i="2"/>
  <c r="AF193" i="2"/>
  <c r="AK193" i="2"/>
  <c r="AG193" i="2"/>
  <c r="AH193" i="2"/>
  <c r="AI193" i="2"/>
  <c r="AJ193" i="2"/>
  <c r="AF194" i="2"/>
  <c r="AK194" i="2"/>
  <c r="AG194" i="2"/>
  <c r="AH194" i="2"/>
  <c r="AI194" i="2"/>
  <c r="AJ194" i="2"/>
  <c r="AF195" i="2"/>
  <c r="AK195" i="2"/>
  <c r="AG195" i="2"/>
  <c r="AH195" i="2"/>
  <c r="AI195" i="2"/>
  <c r="AJ195" i="2"/>
  <c r="AF196" i="2"/>
  <c r="AK196" i="2"/>
  <c r="AG196" i="2"/>
  <c r="AH196" i="2"/>
  <c r="AI196" i="2"/>
  <c r="AJ196" i="2"/>
  <c r="AF197" i="2"/>
  <c r="AK197" i="2"/>
  <c r="AG197" i="2"/>
  <c r="AH197" i="2"/>
  <c r="AI197" i="2"/>
  <c r="AJ197" i="2"/>
  <c r="AF198" i="2"/>
  <c r="AK198" i="2"/>
  <c r="AG198" i="2"/>
  <c r="AH198" i="2"/>
  <c r="AI198" i="2"/>
  <c r="AJ198" i="2"/>
  <c r="AF199" i="2"/>
  <c r="AK199" i="2"/>
  <c r="AG199" i="2"/>
  <c r="AH199" i="2"/>
  <c r="AI199" i="2"/>
  <c r="AJ199" i="2"/>
  <c r="AF200" i="2"/>
  <c r="AK200" i="2"/>
  <c r="AG200" i="2"/>
  <c r="AH200" i="2"/>
  <c r="AI200" i="2"/>
  <c r="AJ200" i="2"/>
  <c r="AF201" i="2"/>
  <c r="AK201" i="2"/>
  <c r="AG201" i="2"/>
  <c r="AH201" i="2"/>
  <c r="AI201" i="2"/>
  <c r="AJ201" i="2"/>
  <c r="AF202" i="2"/>
  <c r="AK202" i="2"/>
  <c r="AG202" i="2"/>
  <c r="AH202" i="2"/>
  <c r="AI202" i="2"/>
  <c r="AJ202" i="2"/>
  <c r="AF203" i="2"/>
  <c r="AK203" i="2"/>
  <c r="AG203" i="2"/>
  <c r="AH203" i="2"/>
  <c r="AI203" i="2"/>
  <c r="AJ203" i="2"/>
  <c r="AF204" i="2"/>
  <c r="AK204" i="2"/>
  <c r="AG204" i="2"/>
  <c r="AH204" i="2"/>
  <c r="AI204" i="2"/>
  <c r="AJ204" i="2"/>
  <c r="AF205" i="2"/>
  <c r="AK205" i="2"/>
  <c r="AG205" i="2"/>
  <c r="AH205" i="2"/>
  <c r="AI205" i="2"/>
  <c r="AJ205" i="2"/>
  <c r="AF206" i="2"/>
  <c r="AK206" i="2"/>
  <c r="AG206" i="2"/>
  <c r="AH206" i="2"/>
  <c r="AI206" i="2"/>
  <c r="AJ206" i="2"/>
  <c r="AF207" i="2"/>
  <c r="AK207" i="2"/>
  <c r="AG207" i="2"/>
  <c r="AH207" i="2"/>
  <c r="AI207" i="2"/>
  <c r="AJ207" i="2"/>
  <c r="AF208" i="2"/>
  <c r="AK208" i="2"/>
  <c r="AG208" i="2"/>
  <c r="AH208" i="2"/>
  <c r="AI208" i="2"/>
  <c r="AJ208" i="2"/>
  <c r="AF209" i="2"/>
  <c r="AK209" i="2"/>
  <c r="AG209" i="2"/>
  <c r="AH209" i="2"/>
  <c r="AI209" i="2"/>
  <c r="AJ209" i="2"/>
  <c r="AF210" i="2"/>
  <c r="AK210" i="2"/>
  <c r="AG210" i="2"/>
  <c r="AH210" i="2"/>
  <c r="AI210" i="2"/>
  <c r="AJ210" i="2"/>
  <c r="AF211" i="2"/>
  <c r="AK211" i="2"/>
  <c r="AG211" i="2"/>
  <c r="AH211" i="2"/>
  <c r="AI211" i="2"/>
  <c r="AJ211" i="2"/>
  <c r="AF212" i="2"/>
  <c r="AK212" i="2"/>
  <c r="AG212" i="2"/>
  <c r="AH212" i="2"/>
  <c r="AI212" i="2"/>
  <c r="AJ212" i="2"/>
  <c r="AF213" i="2"/>
  <c r="AK213" i="2"/>
  <c r="AG213" i="2"/>
  <c r="AH213" i="2"/>
  <c r="AI213" i="2"/>
  <c r="AJ213" i="2"/>
  <c r="AF214" i="2"/>
  <c r="AK214" i="2"/>
  <c r="AG214" i="2"/>
  <c r="AH214" i="2"/>
  <c r="AI214" i="2"/>
  <c r="AJ214" i="2"/>
  <c r="AF215" i="2"/>
  <c r="AK215" i="2"/>
  <c r="AG215" i="2"/>
  <c r="AH215" i="2"/>
  <c r="AI215" i="2"/>
  <c r="AJ215" i="2"/>
  <c r="AF216" i="2"/>
  <c r="AK216" i="2"/>
  <c r="AG216" i="2"/>
  <c r="AH216" i="2"/>
  <c r="AI216" i="2"/>
  <c r="AJ216" i="2"/>
  <c r="AF217" i="2"/>
  <c r="AK217" i="2"/>
  <c r="AG217" i="2"/>
  <c r="AH217" i="2"/>
  <c r="AI217" i="2"/>
  <c r="AJ217" i="2"/>
  <c r="AF218" i="2"/>
  <c r="AK218" i="2"/>
  <c r="AG218" i="2"/>
  <c r="AH218" i="2"/>
  <c r="AI218" i="2"/>
  <c r="AJ218" i="2"/>
  <c r="AF219" i="2"/>
  <c r="AK219" i="2"/>
  <c r="AG219" i="2"/>
  <c r="AH219" i="2"/>
  <c r="AI219" i="2"/>
  <c r="AJ219" i="2"/>
  <c r="AF220" i="2"/>
  <c r="AK220" i="2"/>
  <c r="AG220" i="2"/>
  <c r="AH220" i="2"/>
  <c r="AI220" i="2"/>
  <c r="AJ220" i="2"/>
  <c r="AF221" i="2"/>
  <c r="AK221" i="2"/>
  <c r="AG221" i="2"/>
  <c r="AH221" i="2"/>
  <c r="AI221" i="2"/>
  <c r="AJ221" i="2"/>
  <c r="AF222" i="2"/>
  <c r="AK222" i="2"/>
  <c r="AG222" i="2"/>
  <c r="AH222" i="2"/>
  <c r="AI222" i="2"/>
  <c r="AJ222" i="2"/>
  <c r="AF223" i="2"/>
  <c r="AK223" i="2"/>
  <c r="AG223" i="2"/>
  <c r="AH223" i="2"/>
  <c r="AI223" i="2"/>
  <c r="AJ223" i="2"/>
  <c r="AF224" i="2"/>
  <c r="AK224" i="2"/>
  <c r="AG224" i="2"/>
  <c r="AH224" i="2"/>
  <c r="AI224" i="2"/>
  <c r="AJ224" i="2"/>
  <c r="AF225" i="2"/>
  <c r="AK225" i="2"/>
  <c r="AG225" i="2"/>
  <c r="AH225" i="2"/>
  <c r="AI225" i="2"/>
  <c r="AJ225" i="2"/>
  <c r="AF226" i="2"/>
  <c r="AK226" i="2"/>
  <c r="AG226" i="2"/>
  <c r="AH226" i="2"/>
  <c r="AI226" i="2"/>
  <c r="AJ226" i="2"/>
  <c r="AF227" i="2"/>
  <c r="AK227" i="2"/>
  <c r="AG227" i="2"/>
  <c r="AH227" i="2"/>
  <c r="AI227" i="2"/>
  <c r="AJ227" i="2"/>
  <c r="AF228" i="2"/>
  <c r="AK228" i="2"/>
  <c r="AG228" i="2"/>
  <c r="AH228" i="2"/>
  <c r="AI228" i="2"/>
  <c r="AJ228" i="2"/>
  <c r="AF229" i="2"/>
  <c r="AK229" i="2"/>
  <c r="AG229" i="2"/>
  <c r="AH229" i="2"/>
  <c r="AI229" i="2"/>
  <c r="AJ229" i="2"/>
  <c r="AF230" i="2"/>
  <c r="AK230" i="2"/>
  <c r="AG230" i="2"/>
  <c r="AH230" i="2"/>
  <c r="AI230" i="2"/>
  <c r="AJ230" i="2"/>
  <c r="AF231" i="2"/>
  <c r="AK231" i="2"/>
  <c r="AG231" i="2"/>
  <c r="AH231" i="2"/>
  <c r="AI231" i="2"/>
  <c r="AJ231" i="2"/>
  <c r="AF232" i="2"/>
  <c r="AK232" i="2"/>
  <c r="AG232" i="2"/>
  <c r="AH232" i="2"/>
  <c r="AI232" i="2"/>
  <c r="AJ232" i="2"/>
  <c r="AF233" i="2"/>
  <c r="AK233" i="2"/>
  <c r="AG233" i="2"/>
  <c r="AH233" i="2"/>
  <c r="AI233" i="2"/>
  <c r="AJ233" i="2"/>
  <c r="AF234" i="2"/>
  <c r="AK234" i="2"/>
  <c r="AG234" i="2"/>
  <c r="AH234" i="2"/>
  <c r="AI234" i="2"/>
  <c r="AJ234" i="2"/>
  <c r="AF235" i="2"/>
  <c r="AK235" i="2"/>
  <c r="AG235" i="2"/>
  <c r="AH235" i="2"/>
  <c r="AI235" i="2"/>
  <c r="AJ235" i="2"/>
  <c r="AF236" i="2"/>
  <c r="AK236" i="2"/>
  <c r="AG236" i="2"/>
  <c r="AH236" i="2"/>
  <c r="AI236" i="2"/>
  <c r="AJ236" i="2"/>
  <c r="AF237" i="2"/>
  <c r="AK237" i="2"/>
  <c r="AG237" i="2"/>
  <c r="AH237" i="2"/>
  <c r="AI237" i="2"/>
  <c r="AJ237" i="2"/>
  <c r="AF238" i="2"/>
  <c r="AK238" i="2"/>
  <c r="AG238" i="2"/>
  <c r="AH238" i="2"/>
  <c r="AI238" i="2"/>
  <c r="AJ238" i="2"/>
  <c r="AF239" i="2"/>
  <c r="AK239" i="2"/>
  <c r="AG239" i="2"/>
  <c r="AH239" i="2"/>
  <c r="AI239" i="2"/>
  <c r="AJ239" i="2"/>
  <c r="AF240" i="2"/>
  <c r="AK240" i="2"/>
  <c r="AG240" i="2"/>
  <c r="AH240" i="2"/>
  <c r="AI240" i="2"/>
  <c r="AJ240" i="2"/>
  <c r="AF241" i="2"/>
  <c r="AK241" i="2"/>
  <c r="AG241" i="2"/>
  <c r="AH241" i="2"/>
  <c r="AI241" i="2"/>
  <c r="AJ241" i="2"/>
  <c r="AF242" i="2"/>
  <c r="AK242" i="2"/>
  <c r="AG242" i="2"/>
  <c r="AH242" i="2"/>
  <c r="AI242" i="2"/>
  <c r="AJ242" i="2"/>
  <c r="AF243" i="2"/>
  <c r="AK243" i="2"/>
  <c r="AG243" i="2"/>
  <c r="AH243" i="2"/>
  <c r="AI243" i="2"/>
  <c r="AJ243" i="2"/>
  <c r="AF244" i="2"/>
  <c r="AK244" i="2"/>
  <c r="AG244" i="2"/>
  <c r="AH244" i="2"/>
  <c r="AI244" i="2"/>
  <c r="AJ244" i="2"/>
  <c r="AF245" i="2"/>
  <c r="AK245" i="2"/>
  <c r="AG245" i="2"/>
  <c r="AH245" i="2"/>
  <c r="AI245" i="2"/>
  <c r="AJ245" i="2"/>
  <c r="AF246" i="2"/>
  <c r="AK246" i="2"/>
  <c r="AG246" i="2"/>
  <c r="AH246" i="2"/>
  <c r="AI246" i="2"/>
  <c r="AJ246" i="2"/>
  <c r="AF247" i="2"/>
  <c r="AK247" i="2"/>
  <c r="AG247" i="2"/>
  <c r="AH247" i="2"/>
  <c r="AI247" i="2"/>
  <c r="AJ247" i="2"/>
  <c r="AF248" i="2"/>
  <c r="AK248" i="2"/>
  <c r="AG248" i="2"/>
  <c r="AH248" i="2"/>
  <c r="AI248" i="2"/>
  <c r="AJ248" i="2"/>
  <c r="AF249" i="2"/>
  <c r="AK249" i="2"/>
  <c r="AG249" i="2"/>
  <c r="AH249" i="2"/>
  <c r="AI249" i="2"/>
  <c r="AJ249" i="2"/>
  <c r="AF250" i="2"/>
  <c r="AK250" i="2"/>
  <c r="AG250" i="2"/>
  <c r="AH250" i="2"/>
  <c r="AI250" i="2"/>
  <c r="AJ250" i="2"/>
  <c r="AF251" i="2"/>
  <c r="AK251" i="2"/>
  <c r="AG251" i="2"/>
  <c r="AH251" i="2"/>
  <c r="AI251" i="2"/>
  <c r="AJ251" i="2"/>
  <c r="AF252" i="2"/>
  <c r="AK252" i="2"/>
  <c r="AG252" i="2"/>
  <c r="AH252" i="2"/>
  <c r="AI252" i="2"/>
  <c r="AJ252" i="2"/>
  <c r="AF253" i="2"/>
  <c r="AK253" i="2"/>
  <c r="AG253" i="2"/>
  <c r="AH253" i="2"/>
  <c r="AI253" i="2"/>
  <c r="AL253" i="2" s="1"/>
  <c r="AJ253" i="2"/>
  <c r="AF254" i="2"/>
  <c r="AK254" i="2" s="1"/>
  <c r="AG254" i="2"/>
  <c r="AH254" i="2"/>
  <c r="AI254" i="2"/>
  <c r="AJ254" i="2"/>
  <c r="AF255" i="2"/>
  <c r="AK255" i="2" s="1"/>
  <c r="AG255" i="2"/>
  <c r="AH255" i="2"/>
  <c r="AI255" i="2"/>
  <c r="AJ255" i="2"/>
  <c r="AF256" i="2"/>
  <c r="AK256" i="2" s="1"/>
  <c r="AG256" i="2"/>
  <c r="AH256" i="2"/>
  <c r="AI256" i="2"/>
  <c r="AJ256" i="2"/>
  <c r="AF257" i="2"/>
  <c r="AK257" i="2" s="1"/>
  <c r="AG257" i="2"/>
  <c r="AH257" i="2"/>
  <c r="AI257" i="2"/>
  <c r="AJ257" i="2"/>
  <c r="AF258" i="2"/>
  <c r="AK258" i="2" s="1"/>
  <c r="AG258" i="2"/>
  <c r="AH258" i="2"/>
  <c r="AI258" i="2"/>
  <c r="AJ258" i="2"/>
  <c r="AF259" i="2"/>
  <c r="AK259" i="2" s="1"/>
  <c r="AG259" i="2"/>
  <c r="AH259" i="2"/>
  <c r="AI259" i="2"/>
  <c r="AJ259" i="2"/>
  <c r="AF260" i="2"/>
  <c r="AK260" i="2" s="1"/>
  <c r="AG260" i="2"/>
  <c r="AH260" i="2"/>
  <c r="AI260" i="2"/>
  <c r="AJ260" i="2"/>
  <c r="AF261" i="2"/>
  <c r="AK261" i="2" s="1"/>
  <c r="AG261" i="2"/>
  <c r="AH261" i="2"/>
  <c r="AI261" i="2"/>
  <c r="AJ261" i="2"/>
  <c r="AF262" i="2"/>
  <c r="AK262" i="2" s="1"/>
  <c r="AG262" i="2"/>
  <c r="AH262" i="2"/>
  <c r="AI262" i="2"/>
  <c r="AJ262" i="2"/>
  <c r="AF263" i="2"/>
  <c r="AK263" i="2" s="1"/>
  <c r="AG263" i="2"/>
  <c r="AH263" i="2"/>
  <c r="AI263" i="2"/>
  <c r="AJ263" i="2"/>
  <c r="AF264" i="2"/>
  <c r="AK264" i="2" s="1"/>
  <c r="AG264" i="2"/>
  <c r="AH264" i="2"/>
  <c r="AI264" i="2"/>
  <c r="AJ264" i="2"/>
  <c r="AF265" i="2"/>
  <c r="AK265" i="2" s="1"/>
  <c r="AG265" i="2"/>
  <c r="AH265" i="2"/>
  <c r="AI265" i="2"/>
  <c r="AJ265" i="2"/>
  <c r="AF266" i="2"/>
  <c r="AK266" i="2" s="1"/>
  <c r="AG266" i="2"/>
  <c r="AH266" i="2"/>
  <c r="AI266" i="2"/>
  <c r="AJ266" i="2"/>
  <c r="AF267" i="2"/>
  <c r="AK267" i="2" s="1"/>
  <c r="AG267" i="2"/>
  <c r="AH267" i="2"/>
  <c r="AI267" i="2"/>
  <c r="AJ267" i="2"/>
  <c r="AF268" i="2"/>
  <c r="AK268" i="2" s="1"/>
  <c r="AG268" i="2"/>
  <c r="AH268" i="2"/>
  <c r="AI268" i="2"/>
  <c r="AJ268" i="2"/>
  <c r="AF269" i="2"/>
  <c r="AK269" i="2" s="1"/>
  <c r="AG269" i="2"/>
  <c r="AH269" i="2"/>
  <c r="AI269" i="2"/>
  <c r="AJ269" i="2"/>
  <c r="AF270" i="2"/>
  <c r="AK270" i="2" s="1"/>
  <c r="AG270" i="2"/>
  <c r="AH270" i="2"/>
  <c r="AI270" i="2"/>
  <c r="AJ270" i="2"/>
  <c r="AF271" i="2"/>
  <c r="AK271" i="2" s="1"/>
  <c r="AG271" i="2"/>
  <c r="AH271" i="2"/>
  <c r="AI271" i="2"/>
  <c r="AJ271" i="2"/>
  <c r="AF272" i="2"/>
  <c r="AK272" i="2" s="1"/>
  <c r="AG272" i="2"/>
  <c r="AH272" i="2"/>
  <c r="AI272" i="2"/>
  <c r="AJ272" i="2"/>
  <c r="AF273" i="2"/>
  <c r="AK273" i="2" s="1"/>
  <c r="AG273" i="2"/>
  <c r="AH273" i="2"/>
  <c r="AI273" i="2"/>
  <c r="AJ273" i="2"/>
  <c r="AF274" i="2"/>
  <c r="AK274" i="2" s="1"/>
  <c r="AG274" i="2"/>
  <c r="AH274" i="2"/>
  <c r="AI274" i="2"/>
  <c r="AJ274" i="2"/>
  <c r="AF275" i="2"/>
  <c r="AK275" i="2" s="1"/>
  <c r="AG275" i="2"/>
  <c r="AH275" i="2"/>
  <c r="AI275" i="2"/>
  <c r="AJ275" i="2"/>
  <c r="AF276" i="2"/>
  <c r="AK276" i="2" s="1"/>
  <c r="AG276" i="2"/>
  <c r="AH276" i="2"/>
  <c r="AI276" i="2"/>
  <c r="AJ276" i="2"/>
  <c r="AF277" i="2"/>
  <c r="AK277" i="2" s="1"/>
  <c r="AG277" i="2"/>
  <c r="AH277" i="2"/>
  <c r="AI277" i="2"/>
  <c r="AJ277" i="2"/>
  <c r="AF278" i="2"/>
  <c r="AK278" i="2" s="1"/>
  <c r="AG278" i="2"/>
  <c r="AH278" i="2"/>
  <c r="AI278" i="2"/>
  <c r="AJ278" i="2"/>
  <c r="AF279" i="2"/>
  <c r="AK279" i="2" s="1"/>
  <c r="AG279" i="2"/>
  <c r="AH279" i="2"/>
  <c r="AI279" i="2"/>
  <c r="AJ279" i="2"/>
  <c r="AF280" i="2"/>
  <c r="AK280" i="2" s="1"/>
  <c r="AG280" i="2"/>
  <c r="AH280" i="2"/>
  <c r="AI280" i="2"/>
  <c r="AJ280" i="2"/>
  <c r="AF281" i="2"/>
  <c r="AK281" i="2" s="1"/>
  <c r="AG281" i="2"/>
  <c r="AH281" i="2"/>
  <c r="AI281" i="2"/>
  <c r="AJ281" i="2"/>
  <c r="AF282" i="2"/>
  <c r="AK282" i="2" s="1"/>
  <c r="AG282" i="2"/>
  <c r="AH282" i="2"/>
  <c r="AI282" i="2"/>
  <c r="AJ282" i="2"/>
  <c r="AF283" i="2"/>
  <c r="AK283" i="2" s="1"/>
  <c r="AG283" i="2"/>
  <c r="AH283" i="2"/>
  <c r="AI283" i="2"/>
  <c r="AJ283" i="2"/>
  <c r="AF284" i="2"/>
  <c r="AK284" i="2" s="1"/>
  <c r="AG284" i="2"/>
  <c r="AH284" i="2"/>
  <c r="AI284" i="2"/>
  <c r="AJ284" i="2"/>
  <c r="AF285" i="2"/>
  <c r="AK285" i="2" s="1"/>
  <c r="AG285" i="2"/>
  <c r="AH285" i="2"/>
  <c r="AI285" i="2"/>
  <c r="AJ285" i="2"/>
  <c r="AF286" i="2"/>
  <c r="AK286" i="2" s="1"/>
  <c r="AG286" i="2"/>
  <c r="AH286" i="2"/>
  <c r="AI286" i="2"/>
  <c r="AJ286" i="2"/>
  <c r="AF287" i="2"/>
  <c r="AK287" i="2" s="1"/>
  <c r="AG287" i="2"/>
  <c r="AH287" i="2"/>
  <c r="AI287" i="2"/>
  <c r="AJ287" i="2"/>
  <c r="AF288" i="2"/>
  <c r="AK288" i="2" s="1"/>
  <c r="AG288" i="2"/>
  <c r="AH288" i="2"/>
  <c r="AI288" i="2"/>
  <c r="AJ288" i="2"/>
  <c r="AF289" i="2"/>
  <c r="AK289" i="2" s="1"/>
  <c r="AG289" i="2"/>
  <c r="AH289" i="2"/>
  <c r="AI289" i="2"/>
  <c r="AJ289" i="2"/>
  <c r="AF290" i="2"/>
  <c r="AK290" i="2" s="1"/>
  <c r="AG290" i="2"/>
  <c r="AH290" i="2"/>
  <c r="AI290" i="2"/>
  <c r="AJ290" i="2"/>
  <c r="AF291" i="2"/>
  <c r="AK291" i="2" s="1"/>
  <c r="AG291" i="2"/>
  <c r="AH291" i="2"/>
  <c r="AI291" i="2"/>
  <c r="AJ291" i="2"/>
  <c r="AF292" i="2"/>
  <c r="AK292" i="2" s="1"/>
  <c r="AG292" i="2"/>
  <c r="AH292" i="2"/>
  <c r="AI292" i="2"/>
  <c r="AJ292" i="2"/>
  <c r="AF293" i="2"/>
  <c r="AK293" i="2"/>
  <c r="AG293" i="2"/>
  <c r="AH293" i="2"/>
  <c r="AI293" i="2"/>
  <c r="AJ293" i="2"/>
  <c r="AF294" i="2"/>
  <c r="AK294" i="2"/>
  <c r="AG294" i="2"/>
  <c r="AH294" i="2"/>
  <c r="AI294" i="2"/>
  <c r="AJ294" i="2"/>
  <c r="AF295" i="2"/>
  <c r="AK295" i="2"/>
  <c r="AG295" i="2"/>
  <c r="AH295" i="2"/>
  <c r="AI295" i="2"/>
  <c r="AJ295" i="2"/>
  <c r="AF296" i="2"/>
  <c r="AK296" i="2"/>
  <c r="AG296" i="2"/>
  <c r="AH296" i="2"/>
  <c r="AI296" i="2"/>
  <c r="AJ296" i="2"/>
  <c r="AF297" i="2"/>
  <c r="AK297" i="2"/>
  <c r="AG297" i="2"/>
  <c r="AH297" i="2"/>
  <c r="AL297" i="2" s="1"/>
  <c r="AI297" i="2"/>
  <c r="AJ297" i="2"/>
  <c r="AF298" i="2"/>
  <c r="AK298" i="2" s="1"/>
  <c r="AG298" i="2"/>
  <c r="AH298" i="2"/>
  <c r="AI298" i="2"/>
  <c r="AJ298" i="2"/>
  <c r="AF299" i="2"/>
  <c r="AK299" i="2" s="1"/>
  <c r="AG299" i="2"/>
  <c r="AH299" i="2"/>
  <c r="AI299" i="2"/>
  <c r="AJ299" i="2"/>
  <c r="AF300" i="2"/>
  <c r="AK300" i="2" s="1"/>
  <c r="AG300" i="2"/>
  <c r="AH300" i="2"/>
  <c r="AI300" i="2"/>
  <c r="AJ300" i="2"/>
  <c r="AF301" i="2"/>
  <c r="AK301" i="2" s="1"/>
  <c r="AG301" i="2"/>
  <c r="AH301" i="2"/>
  <c r="AI301" i="2"/>
  <c r="AJ301" i="2"/>
  <c r="AF302" i="2"/>
  <c r="AK302" i="2" s="1"/>
  <c r="AG302" i="2"/>
  <c r="AH302" i="2"/>
  <c r="AI302" i="2"/>
  <c r="AJ302" i="2"/>
  <c r="AF303" i="2"/>
  <c r="AK303" i="2" s="1"/>
  <c r="AG303" i="2"/>
  <c r="AH303" i="2"/>
  <c r="AI303" i="2"/>
  <c r="AJ303" i="2"/>
  <c r="AF304" i="2"/>
  <c r="AK304" i="2" s="1"/>
  <c r="AG304" i="2"/>
  <c r="AH304" i="2"/>
  <c r="AI304" i="2"/>
  <c r="AJ304" i="2"/>
  <c r="AF305" i="2"/>
  <c r="AK305" i="2" s="1"/>
  <c r="AG305" i="2"/>
  <c r="AH305" i="2"/>
  <c r="AI305" i="2"/>
  <c r="AJ305" i="2"/>
  <c r="AF306" i="2"/>
  <c r="AK306" i="2" s="1"/>
  <c r="AG306" i="2"/>
  <c r="AH306" i="2"/>
  <c r="AI306" i="2"/>
  <c r="AJ306" i="2"/>
  <c r="AF307" i="2"/>
  <c r="AK307" i="2" s="1"/>
  <c r="AG307" i="2"/>
  <c r="AH307" i="2"/>
  <c r="AI307" i="2"/>
  <c r="AJ307" i="2"/>
  <c r="AF308" i="2"/>
  <c r="AK308" i="2" s="1"/>
  <c r="AG308" i="2"/>
  <c r="AH308" i="2"/>
  <c r="AI308" i="2"/>
  <c r="AJ308" i="2"/>
  <c r="AF309" i="2"/>
  <c r="AK309" i="2" s="1"/>
  <c r="AG309" i="2"/>
  <c r="AH309" i="2"/>
  <c r="AI309" i="2"/>
  <c r="AJ309" i="2"/>
  <c r="AF310" i="2"/>
  <c r="AK310" i="2" s="1"/>
  <c r="AG310" i="2"/>
  <c r="AH310" i="2"/>
  <c r="AI310" i="2"/>
  <c r="AJ310" i="2"/>
  <c r="AF311" i="2"/>
  <c r="AK311" i="2" s="1"/>
  <c r="AG311" i="2"/>
  <c r="AH311" i="2"/>
  <c r="AI311" i="2"/>
  <c r="AJ311" i="2"/>
  <c r="AF312" i="2"/>
  <c r="AK312" i="2" s="1"/>
  <c r="AG312" i="2"/>
  <c r="AH312" i="2"/>
  <c r="AI312" i="2"/>
  <c r="AJ312" i="2"/>
  <c r="AF313" i="2"/>
  <c r="AK313" i="2" s="1"/>
  <c r="AG313" i="2"/>
  <c r="AH313" i="2"/>
  <c r="AI313" i="2"/>
  <c r="AJ313" i="2"/>
  <c r="AF314" i="2"/>
  <c r="AK314" i="2" s="1"/>
  <c r="AG314" i="2"/>
  <c r="AH314" i="2"/>
  <c r="AI314" i="2"/>
  <c r="AJ314" i="2"/>
  <c r="AF315" i="2"/>
  <c r="AK315" i="2" s="1"/>
  <c r="AG315" i="2"/>
  <c r="AH315" i="2"/>
  <c r="AI315" i="2"/>
  <c r="AJ315" i="2"/>
  <c r="AF316" i="2"/>
  <c r="AK316" i="2" s="1"/>
  <c r="AG316" i="2"/>
  <c r="AH316" i="2"/>
  <c r="AI316" i="2"/>
  <c r="AJ316" i="2"/>
  <c r="AF317" i="2"/>
  <c r="AK317" i="2" s="1"/>
  <c r="AG317" i="2"/>
  <c r="AH317" i="2"/>
  <c r="AI317" i="2"/>
  <c r="AJ317" i="2"/>
  <c r="AF318" i="2"/>
  <c r="AK318" i="2" s="1"/>
  <c r="AG318" i="2"/>
  <c r="AH318" i="2"/>
  <c r="AI318" i="2"/>
  <c r="AJ318" i="2"/>
  <c r="AF319" i="2"/>
  <c r="AK319" i="2" s="1"/>
  <c r="AG319" i="2"/>
  <c r="AH319" i="2"/>
  <c r="AI319" i="2"/>
  <c r="AJ319" i="2"/>
  <c r="AF320" i="2"/>
  <c r="AK320" i="2" s="1"/>
  <c r="AG320" i="2"/>
  <c r="AH320" i="2"/>
  <c r="AI320" i="2"/>
  <c r="AJ320" i="2"/>
  <c r="AF321" i="2"/>
  <c r="AK321" i="2" s="1"/>
  <c r="AG321" i="2"/>
  <c r="AH321" i="2"/>
  <c r="AI321" i="2"/>
  <c r="AJ321" i="2"/>
  <c r="AF322" i="2"/>
  <c r="AK322" i="2" s="1"/>
  <c r="AG322" i="2"/>
  <c r="AH322" i="2"/>
  <c r="AI322" i="2"/>
  <c r="AJ322" i="2"/>
  <c r="AF323" i="2"/>
  <c r="AK323" i="2" s="1"/>
  <c r="AG323" i="2"/>
  <c r="AH323" i="2"/>
  <c r="AI323" i="2"/>
  <c r="AJ323" i="2"/>
  <c r="AF324" i="2"/>
  <c r="AK324" i="2" s="1"/>
  <c r="AG324" i="2"/>
  <c r="AH324" i="2"/>
  <c r="AI324" i="2"/>
  <c r="AL324" i="2" s="1"/>
  <c r="AJ324" i="2"/>
  <c r="AF325" i="2"/>
  <c r="AK325" i="2"/>
  <c r="AG325" i="2"/>
  <c r="AH325" i="2"/>
  <c r="AI325" i="2"/>
  <c r="AJ325" i="2"/>
  <c r="AF326" i="2"/>
  <c r="AK326" i="2"/>
  <c r="AG326" i="2"/>
  <c r="AH326" i="2"/>
  <c r="AI326" i="2"/>
  <c r="AJ326" i="2"/>
  <c r="AF327" i="2"/>
  <c r="AK327" i="2"/>
  <c r="AG327" i="2"/>
  <c r="AH327" i="2"/>
  <c r="AI327" i="2"/>
  <c r="AJ327" i="2"/>
  <c r="AF328" i="2"/>
  <c r="AK328" i="2"/>
  <c r="AG328" i="2"/>
  <c r="AH328" i="2"/>
  <c r="AI328" i="2"/>
  <c r="AJ328" i="2"/>
  <c r="AF329" i="2"/>
  <c r="AK329" i="2"/>
  <c r="AG329" i="2"/>
  <c r="AH329" i="2"/>
  <c r="AI329" i="2"/>
  <c r="AJ329" i="2"/>
  <c r="AF330" i="2"/>
  <c r="AK330" i="2"/>
  <c r="AG330" i="2"/>
  <c r="AH330" i="2"/>
  <c r="AI330" i="2"/>
  <c r="AJ330" i="2"/>
  <c r="AF331" i="2"/>
  <c r="AK331" i="2"/>
  <c r="AG331" i="2"/>
  <c r="AH331" i="2"/>
  <c r="AI331" i="2"/>
  <c r="AJ331" i="2"/>
  <c r="AF332" i="2"/>
  <c r="AK332" i="2"/>
  <c r="AG332" i="2"/>
  <c r="AH332" i="2"/>
  <c r="AI332" i="2"/>
  <c r="AJ332" i="2"/>
  <c r="AF333" i="2"/>
  <c r="AK333" i="2"/>
  <c r="AG333" i="2"/>
  <c r="AH333" i="2"/>
  <c r="AI333" i="2"/>
  <c r="AJ333" i="2"/>
  <c r="AF334" i="2"/>
  <c r="AK334" i="2"/>
  <c r="AG334" i="2"/>
  <c r="AH334" i="2"/>
  <c r="AI334" i="2"/>
  <c r="AJ334" i="2"/>
  <c r="AF335" i="2"/>
  <c r="AK335" i="2"/>
  <c r="AG335" i="2"/>
  <c r="AH335" i="2"/>
  <c r="AI335" i="2"/>
  <c r="AJ335" i="2"/>
  <c r="AF336" i="2"/>
  <c r="AK336" i="2"/>
  <c r="AG336" i="2"/>
  <c r="AH336" i="2"/>
  <c r="AI336" i="2"/>
  <c r="AJ336" i="2"/>
  <c r="AF337" i="2"/>
  <c r="AK337" i="2"/>
  <c r="AG337" i="2"/>
  <c r="AH337" i="2"/>
  <c r="AI337" i="2"/>
  <c r="AJ337" i="2"/>
  <c r="AF338" i="2"/>
  <c r="AK338" i="2"/>
  <c r="AG338" i="2"/>
  <c r="AH338" i="2"/>
  <c r="AI338" i="2"/>
  <c r="AJ338" i="2"/>
  <c r="AF339" i="2"/>
  <c r="AK339" i="2"/>
  <c r="AG339" i="2"/>
  <c r="AH339" i="2"/>
  <c r="AI339" i="2"/>
  <c r="AJ339" i="2"/>
  <c r="AF340" i="2"/>
  <c r="AK340" i="2"/>
  <c r="AG340" i="2"/>
  <c r="AH340" i="2"/>
  <c r="AI340" i="2"/>
  <c r="AJ340" i="2"/>
  <c r="AF341" i="2"/>
  <c r="AK341" i="2"/>
  <c r="AG341" i="2"/>
  <c r="AH341" i="2"/>
  <c r="AI341" i="2"/>
  <c r="AJ341" i="2"/>
  <c r="AF342" i="2"/>
  <c r="AK342" i="2"/>
  <c r="AG342" i="2"/>
  <c r="AH342" i="2"/>
  <c r="AI342" i="2"/>
  <c r="AJ342" i="2"/>
  <c r="AF343" i="2"/>
  <c r="AK343" i="2"/>
  <c r="AG343" i="2"/>
  <c r="AH343" i="2"/>
  <c r="AI343" i="2"/>
  <c r="AJ343" i="2"/>
  <c r="AF344" i="2"/>
  <c r="AK344" i="2"/>
  <c r="AG344" i="2"/>
  <c r="AH344" i="2"/>
  <c r="AI344" i="2"/>
  <c r="AJ344" i="2"/>
  <c r="AF345" i="2"/>
  <c r="AK345" i="2"/>
  <c r="AG345" i="2"/>
  <c r="AH345" i="2"/>
  <c r="AI345" i="2"/>
  <c r="AJ345" i="2"/>
  <c r="AF346" i="2"/>
  <c r="AK346" i="2"/>
  <c r="AG346" i="2"/>
  <c r="AH346" i="2"/>
  <c r="AI346" i="2"/>
  <c r="AJ346" i="2"/>
  <c r="AF347" i="2"/>
  <c r="AK347" i="2"/>
  <c r="AG347" i="2"/>
  <c r="AH347" i="2"/>
  <c r="AI347" i="2"/>
  <c r="AJ347" i="2"/>
  <c r="AF348" i="2"/>
  <c r="AK348" i="2"/>
  <c r="AG348" i="2"/>
  <c r="AH348" i="2"/>
  <c r="AI348" i="2"/>
  <c r="AJ348" i="2"/>
  <c r="AF349" i="2"/>
  <c r="AK349" i="2"/>
  <c r="AG349" i="2"/>
  <c r="AH349" i="2"/>
  <c r="AI349" i="2"/>
  <c r="AJ349" i="2"/>
  <c r="AF350" i="2"/>
  <c r="AK350" i="2"/>
  <c r="AG350" i="2"/>
  <c r="AH350" i="2"/>
  <c r="AI350" i="2"/>
  <c r="AJ350" i="2"/>
  <c r="AF351" i="2"/>
  <c r="AK351" i="2"/>
  <c r="AG351" i="2"/>
  <c r="AH351" i="2"/>
  <c r="AI351" i="2"/>
  <c r="AJ351" i="2"/>
  <c r="AF352" i="2"/>
  <c r="AK352" i="2"/>
  <c r="AG352" i="2"/>
  <c r="AH352" i="2"/>
  <c r="AI352" i="2"/>
  <c r="AJ352" i="2"/>
  <c r="AF353" i="2"/>
  <c r="AK353" i="2"/>
  <c r="AG353" i="2"/>
  <c r="AH353" i="2"/>
  <c r="AI353" i="2"/>
  <c r="AJ353" i="2"/>
  <c r="AF354" i="2"/>
  <c r="AK354" i="2"/>
  <c r="AG354" i="2"/>
  <c r="AH354" i="2"/>
  <c r="AI354" i="2"/>
  <c r="AJ354" i="2"/>
  <c r="AF355" i="2"/>
  <c r="AK355" i="2"/>
  <c r="AG355" i="2"/>
  <c r="AH355" i="2"/>
  <c r="AI355" i="2"/>
  <c r="AJ355" i="2"/>
  <c r="AF356" i="2"/>
  <c r="AK356" i="2"/>
  <c r="AG356" i="2"/>
  <c r="AH356" i="2"/>
  <c r="AI356" i="2"/>
  <c r="AJ356" i="2"/>
  <c r="AF357" i="2"/>
  <c r="AK357" i="2"/>
  <c r="AG357" i="2"/>
  <c r="AH357" i="2"/>
  <c r="AI357" i="2"/>
  <c r="AJ357" i="2"/>
  <c r="AF358" i="2"/>
  <c r="AK358" i="2"/>
  <c r="AG358" i="2"/>
  <c r="AH358" i="2"/>
  <c r="AI358" i="2"/>
  <c r="AJ358" i="2"/>
  <c r="AF359" i="2"/>
  <c r="AK359" i="2"/>
  <c r="AG359" i="2"/>
  <c r="AH359" i="2"/>
  <c r="AI359" i="2"/>
  <c r="AJ359" i="2"/>
  <c r="AF360" i="2"/>
  <c r="AK360" i="2"/>
  <c r="AG360" i="2"/>
  <c r="AH360" i="2"/>
  <c r="AI360" i="2"/>
  <c r="AJ360" i="2"/>
  <c r="AF361" i="2"/>
  <c r="AK361" i="2"/>
  <c r="AG361" i="2"/>
  <c r="AH361" i="2"/>
  <c r="AI361" i="2"/>
  <c r="AJ361" i="2"/>
  <c r="AF362" i="2"/>
  <c r="AK362" i="2"/>
  <c r="AG362" i="2"/>
  <c r="AH362" i="2"/>
  <c r="AI362" i="2"/>
  <c r="AJ362" i="2"/>
  <c r="AF363" i="2"/>
  <c r="AK363" i="2"/>
  <c r="AG363" i="2"/>
  <c r="AH363" i="2"/>
  <c r="AI363" i="2"/>
  <c r="AJ363" i="2"/>
  <c r="AF364" i="2"/>
  <c r="AK364" i="2"/>
  <c r="AG364" i="2"/>
  <c r="AH364" i="2"/>
  <c r="AI364" i="2"/>
  <c r="AJ364" i="2"/>
  <c r="AF365" i="2"/>
  <c r="AK365" i="2"/>
  <c r="AG365" i="2"/>
  <c r="AH365" i="2"/>
  <c r="AI365" i="2"/>
  <c r="AJ365" i="2"/>
  <c r="AF366" i="2"/>
  <c r="AK366" i="2"/>
  <c r="AG366" i="2"/>
  <c r="AH366" i="2"/>
  <c r="AI366" i="2"/>
  <c r="AJ366" i="2"/>
  <c r="AF367" i="2"/>
  <c r="AK367" i="2"/>
  <c r="AG367" i="2"/>
  <c r="AH367" i="2"/>
  <c r="AI367" i="2"/>
  <c r="AJ367" i="2"/>
  <c r="AF368" i="2"/>
  <c r="AK368" i="2"/>
  <c r="AG368" i="2"/>
  <c r="AH368" i="2"/>
  <c r="AI368" i="2"/>
  <c r="AJ368" i="2"/>
  <c r="AF369" i="2"/>
  <c r="AK369" i="2"/>
  <c r="AG369" i="2"/>
  <c r="AH369" i="2"/>
  <c r="AI369" i="2"/>
  <c r="AJ369" i="2"/>
  <c r="AF370" i="2"/>
  <c r="AK370" i="2"/>
  <c r="AG370" i="2"/>
  <c r="AH370" i="2"/>
  <c r="AI370" i="2"/>
  <c r="AJ370" i="2"/>
  <c r="AF371" i="2"/>
  <c r="AK371" i="2"/>
  <c r="AG371" i="2"/>
  <c r="AH371" i="2"/>
  <c r="AI371" i="2"/>
  <c r="AJ371" i="2"/>
  <c r="AF372" i="2"/>
  <c r="AK372" i="2"/>
  <c r="AG372" i="2"/>
  <c r="AH372" i="2"/>
  <c r="AI372" i="2"/>
  <c r="AJ372" i="2"/>
  <c r="AF373" i="2"/>
  <c r="AK373" i="2"/>
  <c r="AG373" i="2"/>
  <c r="AH373" i="2"/>
  <c r="AI373" i="2"/>
  <c r="AJ373" i="2"/>
  <c r="AF374" i="2"/>
  <c r="AK374" i="2"/>
  <c r="AG374" i="2"/>
  <c r="AH374" i="2"/>
  <c r="AI374" i="2"/>
  <c r="AJ374" i="2"/>
  <c r="AF375" i="2"/>
  <c r="AK375" i="2"/>
  <c r="AG375" i="2"/>
  <c r="AH375" i="2"/>
  <c r="AI375" i="2"/>
  <c r="AJ375" i="2"/>
  <c r="AF376" i="2"/>
  <c r="AK376" i="2"/>
  <c r="AG376" i="2"/>
  <c r="AH376" i="2"/>
  <c r="AI376" i="2"/>
  <c r="AJ376" i="2"/>
  <c r="AF377" i="2"/>
  <c r="AK377" i="2"/>
  <c r="AG377" i="2"/>
  <c r="AH377" i="2"/>
  <c r="AI377" i="2"/>
  <c r="AJ377" i="2"/>
  <c r="AF378" i="2"/>
  <c r="AK378" i="2"/>
  <c r="AG378" i="2"/>
  <c r="AH378" i="2"/>
  <c r="AI378" i="2"/>
  <c r="AJ378" i="2"/>
  <c r="AF379" i="2"/>
  <c r="AK379" i="2"/>
  <c r="AG379" i="2"/>
  <c r="AH379" i="2"/>
  <c r="AI379" i="2"/>
  <c r="AJ379" i="2"/>
  <c r="AF380" i="2"/>
  <c r="AK380" i="2"/>
  <c r="AG380" i="2"/>
  <c r="AH380" i="2"/>
  <c r="AI380" i="2"/>
  <c r="AJ380" i="2"/>
  <c r="AF381" i="2"/>
  <c r="AK381" i="2"/>
  <c r="AG381" i="2"/>
  <c r="AH381" i="2"/>
  <c r="AI381" i="2"/>
  <c r="AJ381" i="2"/>
  <c r="AF382" i="2"/>
  <c r="AK382" i="2"/>
  <c r="AG382" i="2"/>
  <c r="AH382" i="2"/>
  <c r="AI382" i="2"/>
  <c r="AJ382" i="2"/>
  <c r="AF383" i="2"/>
  <c r="AK383" i="2"/>
  <c r="AG383" i="2"/>
  <c r="AH383" i="2"/>
  <c r="AI383" i="2"/>
  <c r="AJ383" i="2"/>
  <c r="AF384" i="2"/>
  <c r="AK384" i="2"/>
  <c r="AG384" i="2"/>
  <c r="AH384" i="2"/>
  <c r="AI384" i="2"/>
  <c r="AJ384" i="2"/>
  <c r="AF385" i="2"/>
  <c r="AK385" i="2"/>
  <c r="AG385" i="2"/>
  <c r="AH385" i="2"/>
  <c r="AI385" i="2"/>
  <c r="AJ385" i="2"/>
  <c r="AF386" i="2"/>
  <c r="AK386" i="2"/>
  <c r="AG386" i="2"/>
  <c r="AH386" i="2"/>
  <c r="AI386" i="2"/>
  <c r="AJ386" i="2"/>
  <c r="AF387" i="2"/>
  <c r="AK387" i="2"/>
  <c r="AG387" i="2"/>
  <c r="AH387" i="2"/>
  <c r="AI387" i="2"/>
  <c r="AJ387" i="2"/>
  <c r="AF388" i="2"/>
  <c r="AK388" i="2"/>
  <c r="AG388" i="2"/>
  <c r="AH388" i="2"/>
  <c r="AI388" i="2"/>
  <c r="AJ388" i="2"/>
  <c r="AF389" i="2"/>
  <c r="AK389" i="2"/>
  <c r="AG389" i="2"/>
  <c r="AH389" i="2"/>
  <c r="AI389" i="2"/>
  <c r="AJ389" i="2"/>
  <c r="AF390" i="2"/>
  <c r="AK390" i="2"/>
  <c r="AG390" i="2"/>
  <c r="AH390" i="2"/>
  <c r="AI390" i="2"/>
  <c r="AJ390" i="2"/>
  <c r="AF391" i="2"/>
  <c r="AK391" i="2"/>
  <c r="AG391" i="2"/>
  <c r="AH391" i="2"/>
  <c r="AI391" i="2"/>
  <c r="AJ391" i="2"/>
  <c r="AF392" i="2"/>
  <c r="AK392" i="2"/>
  <c r="AG392" i="2"/>
  <c r="AH392" i="2"/>
  <c r="AI392" i="2"/>
  <c r="AJ392" i="2"/>
  <c r="AF393" i="2"/>
  <c r="AK393" i="2"/>
  <c r="AG393" i="2"/>
  <c r="AH393" i="2"/>
  <c r="AI393" i="2"/>
  <c r="AJ393" i="2"/>
  <c r="AF394" i="2"/>
  <c r="AK394" i="2"/>
  <c r="AG394" i="2"/>
  <c r="AH394" i="2"/>
  <c r="AI394" i="2"/>
  <c r="AJ394" i="2"/>
  <c r="AF395" i="2"/>
  <c r="AK395" i="2"/>
  <c r="AG395" i="2"/>
  <c r="AH395" i="2"/>
  <c r="AI395" i="2"/>
  <c r="AJ395" i="2"/>
  <c r="AF396" i="2"/>
  <c r="AK396" i="2"/>
  <c r="AG396" i="2"/>
  <c r="AH396" i="2"/>
  <c r="AI396" i="2"/>
  <c r="AJ396" i="2"/>
  <c r="AF397" i="2"/>
  <c r="AK397" i="2"/>
  <c r="AG397" i="2"/>
  <c r="AH397" i="2"/>
  <c r="AI397" i="2"/>
  <c r="AJ397" i="2"/>
  <c r="AF398" i="2"/>
  <c r="AK398" i="2"/>
  <c r="AG398" i="2"/>
  <c r="AH398" i="2"/>
  <c r="AI398" i="2"/>
  <c r="AJ398" i="2"/>
  <c r="AF399" i="2"/>
  <c r="AK399" i="2"/>
  <c r="AG399" i="2"/>
  <c r="AH399" i="2"/>
  <c r="AI399" i="2"/>
  <c r="AJ399" i="2"/>
  <c r="AF400" i="2"/>
  <c r="AK400" i="2"/>
  <c r="AG400" i="2"/>
  <c r="AH400" i="2"/>
  <c r="AI400" i="2"/>
  <c r="AJ400" i="2"/>
  <c r="AF401" i="2"/>
  <c r="AK401" i="2"/>
  <c r="AG401" i="2"/>
  <c r="AH401" i="2"/>
  <c r="AI401" i="2"/>
  <c r="AJ401" i="2"/>
  <c r="AF402" i="2"/>
  <c r="AK402" i="2"/>
  <c r="AG402" i="2"/>
  <c r="AH402" i="2"/>
  <c r="AI402" i="2"/>
  <c r="AJ402" i="2"/>
  <c r="AF403" i="2"/>
  <c r="AK403" i="2"/>
  <c r="AG403" i="2"/>
  <c r="AH403" i="2"/>
  <c r="AI403" i="2"/>
  <c r="AJ403" i="2"/>
  <c r="AF404" i="2"/>
  <c r="AK404" i="2"/>
  <c r="AG404" i="2"/>
  <c r="AH404" i="2"/>
  <c r="AI404" i="2"/>
  <c r="AJ404" i="2"/>
  <c r="AF405" i="2"/>
  <c r="AK405" i="2"/>
  <c r="AG405" i="2"/>
  <c r="AH405" i="2"/>
  <c r="AI405" i="2"/>
  <c r="AJ405" i="2"/>
  <c r="AF406" i="2"/>
  <c r="AK406" i="2"/>
  <c r="AG406" i="2"/>
  <c r="AH406" i="2"/>
  <c r="AI406" i="2"/>
  <c r="AJ406" i="2"/>
  <c r="AF407" i="2"/>
  <c r="AK407" i="2"/>
  <c r="AG407" i="2"/>
  <c r="AH407" i="2"/>
  <c r="AI407" i="2"/>
  <c r="AJ407" i="2"/>
  <c r="AF408" i="2"/>
  <c r="AK408" i="2"/>
  <c r="AG408" i="2"/>
  <c r="AH408" i="2"/>
  <c r="AI408" i="2"/>
  <c r="AJ408" i="2"/>
  <c r="AF409" i="2"/>
  <c r="AK409" i="2"/>
  <c r="AG409" i="2"/>
  <c r="AH409" i="2"/>
  <c r="AI409" i="2"/>
  <c r="AJ409" i="2"/>
  <c r="AF410" i="2"/>
  <c r="AK410" i="2"/>
  <c r="AG410" i="2"/>
  <c r="AH410" i="2"/>
  <c r="AI410" i="2"/>
  <c r="AJ410" i="2"/>
  <c r="AF411" i="2"/>
  <c r="AK411" i="2"/>
  <c r="AG411" i="2"/>
  <c r="AH411" i="2"/>
  <c r="AI411" i="2"/>
  <c r="AJ411" i="2"/>
  <c r="AF412" i="2"/>
  <c r="AK412" i="2"/>
  <c r="AG412" i="2"/>
  <c r="AH412" i="2"/>
  <c r="AI412" i="2"/>
  <c r="AJ412" i="2"/>
  <c r="AF413" i="2"/>
  <c r="AK413" i="2"/>
  <c r="AG413" i="2"/>
  <c r="AH413" i="2"/>
  <c r="AI413" i="2"/>
  <c r="AJ413" i="2"/>
  <c r="AF414" i="2"/>
  <c r="AK414" i="2"/>
  <c r="AG414" i="2"/>
  <c r="AH414" i="2"/>
  <c r="AI414" i="2"/>
  <c r="AJ414" i="2"/>
  <c r="AF415" i="2"/>
  <c r="AK415" i="2"/>
  <c r="AG415" i="2"/>
  <c r="AH415" i="2"/>
  <c r="AI415" i="2"/>
  <c r="AJ415" i="2"/>
  <c r="AF416" i="2"/>
  <c r="AK416" i="2"/>
  <c r="AG416" i="2"/>
  <c r="AH416" i="2"/>
  <c r="AI416" i="2"/>
  <c r="AJ416" i="2"/>
  <c r="AF417" i="2"/>
  <c r="AK417" i="2"/>
  <c r="AG417" i="2"/>
  <c r="AH417" i="2"/>
  <c r="AI417" i="2"/>
  <c r="AJ417" i="2"/>
  <c r="AF418" i="2"/>
  <c r="AK418" i="2"/>
  <c r="AG418" i="2"/>
  <c r="AH418" i="2"/>
  <c r="AI418" i="2"/>
  <c r="AJ418" i="2"/>
  <c r="AF419" i="2"/>
  <c r="AK419" i="2"/>
  <c r="AG419" i="2"/>
  <c r="AH419" i="2"/>
  <c r="AI419" i="2"/>
  <c r="AJ419" i="2"/>
  <c r="AF420" i="2"/>
  <c r="AK420" i="2"/>
  <c r="AG420" i="2"/>
  <c r="AH420" i="2"/>
  <c r="AI420" i="2"/>
  <c r="AJ420" i="2"/>
  <c r="AF421" i="2"/>
  <c r="AK421" i="2"/>
  <c r="AG421" i="2"/>
  <c r="AH421" i="2"/>
  <c r="AI421" i="2"/>
  <c r="AJ421" i="2"/>
  <c r="AF422" i="2"/>
  <c r="AK422" i="2"/>
  <c r="AG422" i="2"/>
  <c r="AH422" i="2"/>
  <c r="AI422" i="2"/>
  <c r="AJ422" i="2"/>
  <c r="AF423" i="2"/>
  <c r="AK423" i="2"/>
  <c r="AG423" i="2"/>
  <c r="AH423" i="2"/>
  <c r="AI423" i="2"/>
  <c r="AJ423" i="2"/>
  <c r="AF424" i="2"/>
  <c r="AK424" i="2"/>
  <c r="AG424" i="2"/>
  <c r="AH424" i="2"/>
  <c r="AI424" i="2"/>
  <c r="AJ424" i="2"/>
  <c r="AF425" i="2"/>
  <c r="AK425" i="2"/>
  <c r="AG425" i="2"/>
  <c r="AH425" i="2"/>
  <c r="AI425" i="2"/>
  <c r="AJ425" i="2"/>
  <c r="AF426" i="2"/>
  <c r="AK426" i="2"/>
  <c r="AG426" i="2"/>
  <c r="AH426" i="2"/>
  <c r="AI426" i="2"/>
  <c r="AJ426" i="2"/>
  <c r="AF427" i="2"/>
  <c r="AK427" i="2"/>
  <c r="AG427" i="2"/>
  <c r="AH427" i="2"/>
  <c r="AI427" i="2"/>
  <c r="AJ427" i="2"/>
  <c r="AF428" i="2"/>
  <c r="AK428" i="2"/>
  <c r="AG428" i="2"/>
  <c r="AH428" i="2"/>
  <c r="AI428" i="2"/>
  <c r="AJ428" i="2"/>
  <c r="AF429" i="2"/>
  <c r="AK429" i="2"/>
  <c r="AG429" i="2"/>
  <c r="AH429" i="2"/>
  <c r="AI429" i="2"/>
  <c r="AJ429" i="2"/>
  <c r="AF430" i="2"/>
  <c r="AK430" i="2"/>
  <c r="AG430" i="2"/>
  <c r="AH430" i="2"/>
  <c r="AI430" i="2"/>
  <c r="AJ430" i="2"/>
  <c r="AF431" i="2"/>
  <c r="AK431" i="2"/>
  <c r="AG431" i="2"/>
  <c r="AH431" i="2"/>
  <c r="AI431" i="2"/>
  <c r="AJ431" i="2"/>
  <c r="AF432" i="2"/>
  <c r="AK432" i="2"/>
  <c r="AG432" i="2"/>
  <c r="AH432" i="2"/>
  <c r="AI432" i="2"/>
  <c r="AJ432" i="2"/>
  <c r="AF433" i="2"/>
  <c r="AK433" i="2"/>
  <c r="AG433" i="2"/>
  <c r="AH433" i="2"/>
  <c r="AI433" i="2"/>
  <c r="AJ433" i="2"/>
  <c r="AF434" i="2"/>
  <c r="AK434" i="2"/>
  <c r="AG434" i="2"/>
  <c r="AH434" i="2"/>
  <c r="AI434" i="2"/>
  <c r="AJ434" i="2"/>
  <c r="AF435" i="2"/>
  <c r="AK435" i="2"/>
  <c r="AG435" i="2"/>
  <c r="AH435" i="2"/>
  <c r="AI435" i="2"/>
  <c r="AJ435" i="2"/>
  <c r="AF436" i="2"/>
  <c r="AK436" i="2"/>
  <c r="AG436" i="2"/>
  <c r="AH436" i="2"/>
  <c r="AI436" i="2"/>
  <c r="AJ436" i="2"/>
  <c r="AF437" i="2"/>
  <c r="AK437" i="2"/>
  <c r="AG437" i="2"/>
  <c r="AH437" i="2"/>
  <c r="AI437" i="2"/>
  <c r="AJ437" i="2"/>
  <c r="AF438" i="2"/>
  <c r="AK438" i="2"/>
  <c r="AG438" i="2"/>
  <c r="AH438" i="2"/>
  <c r="AI438" i="2"/>
  <c r="AJ438" i="2"/>
  <c r="AF439" i="2"/>
  <c r="AK439" i="2"/>
  <c r="AG439" i="2"/>
  <c r="AH439" i="2"/>
  <c r="AI439" i="2"/>
  <c r="AJ439" i="2"/>
  <c r="AF440" i="2"/>
  <c r="AK440" i="2"/>
  <c r="AG440" i="2"/>
  <c r="AH440" i="2"/>
  <c r="AI440" i="2"/>
  <c r="AJ440" i="2"/>
  <c r="AF441" i="2"/>
  <c r="AK441" i="2"/>
  <c r="AG441" i="2"/>
  <c r="AH441" i="2"/>
  <c r="AI441" i="2"/>
  <c r="AJ441" i="2"/>
  <c r="AF442" i="2"/>
  <c r="AK442" i="2"/>
  <c r="AG442" i="2"/>
  <c r="AH442" i="2"/>
  <c r="AI442" i="2"/>
  <c r="AJ442" i="2"/>
  <c r="AF443" i="2"/>
  <c r="AK443" i="2"/>
  <c r="AG443" i="2"/>
  <c r="AH443" i="2"/>
  <c r="AI443" i="2"/>
  <c r="AJ443" i="2"/>
  <c r="AF444" i="2"/>
  <c r="AK444" i="2"/>
  <c r="AG444" i="2"/>
  <c r="AH444" i="2"/>
  <c r="AI444" i="2"/>
  <c r="AJ444" i="2"/>
  <c r="AF445" i="2"/>
  <c r="AK445" i="2"/>
  <c r="AG445" i="2"/>
  <c r="AH445" i="2"/>
  <c r="AI445" i="2"/>
  <c r="AJ445" i="2"/>
  <c r="AF446" i="2"/>
  <c r="AK446" i="2" s="1"/>
  <c r="AG446" i="2"/>
  <c r="AH446" i="2"/>
  <c r="AI446" i="2"/>
  <c r="AJ446" i="2"/>
  <c r="AF447" i="2"/>
  <c r="AK447" i="2" s="1"/>
  <c r="AG447" i="2"/>
  <c r="AH447" i="2"/>
  <c r="AI447" i="2"/>
  <c r="AJ447" i="2"/>
  <c r="AF448" i="2"/>
  <c r="AK448" i="2" s="1"/>
  <c r="AG448" i="2"/>
  <c r="AH448" i="2"/>
  <c r="AI448" i="2"/>
  <c r="AJ448" i="2"/>
  <c r="AF449" i="2"/>
  <c r="AK449" i="2" s="1"/>
  <c r="AG449" i="2"/>
  <c r="AH449" i="2"/>
  <c r="AI449" i="2"/>
  <c r="AJ449" i="2"/>
  <c r="AF450" i="2"/>
  <c r="AK450" i="2" s="1"/>
  <c r="AG450" i="2"/>
  <c r="AH450" i="2"/>
  <c r="AI450" i="2"/>
  <c r="AJ450" i="2"/>
  <c r="AF451" i="2"/>
  <c r="AK451" i="2" s="1"/>
  <c r="AG451" i="2"/>
  <c r="AH451" i="2"/>
  <c r="AI451" i="2"/>
  <c r="AJ451" i="2"/>
  <c r="AF452" i="2"/>
  <c r="AK452" i="2" s="1"/>
  <c r="AG452" i="2"/>
  <c r="AH452" i="2"/>
  <c r="AI452" i="2"/>
  <c r="AJ452" i="2"/>
  <c r="AF453" i="2"/>
  <c r="AK453" i="2" s="1"/>
  <c r="AG453" i="2"/>
  <c r="AH453" i="2"/>
  <c r="AI453" i="2"/>
  <c r="AJ453" i="2"/>
  <c r="AF454" i="2"/>
  <c r="AK454" i="2" s="1"/>
  <c r="AG454" i="2"/>
  <c r="AH454" i="2"/>
  <c r="AI454" i="2"/>
  <c r="AJ454" i="2"/>
  <c r="AF455" i="2"/>
  <c r="AK455" i="2" s="1"/>
  <c r="AG455" i="2"/>
  <c r="AH455" i="2"/>
  <c r="AI455" i="2"/>
  <c r="AJ455" i="2"/>
  <c r="AF456" i="2"/>
  <c r="AK456" i="2" s="1"/>
  <c r="AG456" i="2"/>
  <c r="AH456" i="2"/>
  <c r="AI456" i="2"/>
  <c r="AJ456" i="2"/>
  <c r="AF457" i="2"/>
  <c r="AK457" i="2" s="1"/>
  <c r="AG457" i="2"/>
  <c r="AH457" i="2"/>
  <c r="AI457" i="2"/>
  <c r="AJ457" i="2"/>
  <c r="AF458" i="2"/>
  <c r="AK458" i="2" s="1"/>
  <c r="AG458" i="2"/>
  <c r="AH458" i="2"/>
  <c r="AI458" i="2"/>
  <c r="AJ458" i="2"/>
  <c r="AF459" i="2"/>
  <c r="AK459" i="2" s="1"/>
  <c r="AG459" i="2"/>
  <c r="AH459" i="2"/>
  <c r="AI459" i="2"/>
  <c r="AJ459" i="2"/>
  <c r="AF460" i="2"/>
  <c r="AK460" i="2" s="1"/>
  <c r="AG460" i="2"/>
  <c r="AH460" i="2"/>
  <c r="AI460" i="2"/>
  <c r="AJ460" i="2"/>
  <c r="AF461" i="2"/>
  <c r="AK461" i="2" s="1"/>
  <c r="AG461" i="2"/>
  <c r="AH461" i="2"/>
  <c r="AI461" i="2"/>
  <c r="AJ461" i="2"/>
  <c r="AF462" i="2"/>
  <c r="AK462" i="2" s="1"/>
  <c r="AG462" i="2"/>
  <c r="AH462" i="2"/>
  <c r="AI462" i="2"/>
  <c r="AJ462" i="2"/>
  <c r="AF463" i="2"/>
  <c r="AK463" i="2" s="1"/>
  <c r="AG463" i="2"/>
  <c r="AH463" i="2"/>
  <c r="AI463" i="2"/>
  <c r="AJ463" i="2"/>
  <c r="AF464" i="2"/>
  <c r="AK464" i="2" s="1"/>
  <c r="AG464" i="2"/>
  <c r="AH464" i="2"/>
  <c r="AI464" i="2"/>
  <c r="AJ464" i="2"/>
  <c r="AF465" i="2"/>
  <c r="AK465" i="2" s="1"/>
  <c r="AG465" i="2"/>
  <c r="AH465" i="2"/>
  <c r="AI465" i="2"/>
  <c r="AJ465" i="2"/>
  <c r="AF466" i="2"/>
  <c r="AK466" i="2" s="1"/>
  <c r="AG466" i="2"/>
  <c r="AH466" i="2"/>
  <c r="AI466" i="2"/>
  <c r="AJ466" i="2"/>
  <c r="AF467" i="2"/>
  <c r="AK467" i="2" s="1"/>
  <c r="AG467" i="2"/>
  <c r="AH467" i="2"/>
  <c r="AI467" i="2"/>
  <c r="AJ467" i="2"/>
  <c r="AF468" i="2"/>
  <c r="AK468" i="2" s="1"/>
  <c r="AG468" i="2"/>
  <c r="AH468" i="2"/>
  <c r="AI468" i="2"/>
  <c r="AJ468" i="2"/>
  <c r="AF469" i="2"/>
  <c r="AK469" i="2" s="1"/>
  <c r="AG469" i="2"/>
  <c r="AH469" i="2"/>
  <c r="AI469" i="2"/>
  <c r="AJ469" i="2"/>
  <c r="AF470" i="2"/>
  <c r="AK470" i="2" s="1"/>
  <c r="AG470" i="2"/>
  <c r="AH470" i="2"/>
  <c r="AI470" i="2"/>
  <c r="AJ470" i="2"/>
  <c r="AF471" i="2"/>
  <c r="AK471" i="2" s="1"/>
  <c r="AG471" i="2"/>
  <c r="AH471" i="2"/>
  <c r="AI471" i="2"/>
  <c r="AJ471" i="2"/>
  <c r="AF472" i="2"/>
  <c r="AK472" i="2" s="1"/>
  <c r="AG472" i="2"/>
  <c r="AH472" i="2"/>
  <c r="AI472" i="2"/>
  <c r="AJ472" i="2"/>
  <c r="AF473" i="2"/>
  <c r="AK473" i="2" s="1"/>
  <c r="AG473" i="2"/>
  <c r="AH473" i="2"/>
  <c r="AI473" i="2"/>
  <c r="AJ473" i="2"/>
  <c r="AF474" i="2"/>
  <c r="AK474" i="2" s="1"/>
  <c r="AG474" i="2"/>
  <c r="AH474" i="2"/>
  <c r="AI474" i="2"/>
  <c r="AJ474" i="2"/>
  <c r="AF475" i="2"/>
  <c r="AK475" i="2" s="1"/>
  <c r="AG475" i="2"/>
  <c r="AH475" i="2"/>
  <c r="AI475" i="2"/>
  <c r="AJ475" i="2"/>
  <c r="AF476" i="2"/>
  <c r="AK476" i="2" s="1"/>
  <c r="AG476" i="2"/>
  <c r="AH476" i="2"/>
  <c r="AI476" i="2"/>
  <c r="AJ476" i="2"/>
  <c r="AF477" i="2"/>
  <c r="AK477" i="2" s="1"/>
  <c r="AG477" i="2"/>
  <c r="AH477" i="2"/>
  <c r="AI477" i="2"/>
  <c r="AJ477" i="2"/>
  <c r="AF478" i="2"/>
  <c r="AK478" i="2" s="1"/>
  <c r="AG478" i="2"/>
  <c r="AH478" i="2"/>
  <c r="AI478" i="2"/>
  <c r="AJ478" i="2"/>
  <c r="AF479" i="2"/>
  <c r="AK479" i="2" s="1"/>
  <c r="AG479" i="2"/>
  <c r="AH479" i="2"/>
  <c r="AI479" i="2"/>
  <c r="AJ479" i="2"/>
  <c r="AF480" i="2"/>
  <c r="AK480" i="2" s="1"/>
  <c r="AG480" i="2"/>
  <c r="AH480" i="2"/>
  <c r="AI480" i="2"/>
  <c r="AJ480" i="2"/>
  <c r="AF481" i="2"/>
  <c r="AK481" i="2" s="1"/>
  <c r="AG481" i="2"/>
  <c r="AH481" i="2"/>
  <c r="AI481" i="2"/>
  <c r="AJ481" i="2"/>
  <c r="AF482" i="2"/>
  <c r="AK482" i="2" s="1"/>
  <c r="AG482" i="2"/>
  <c r="AH482" i="2"/>
  <c r="AI482" i="2"/>
  <c r="AJ482" i="2"/>
  <c r="AF483" i="2"/>
  <c r="AK483" i="2" s="1"/>
  <c r="AG483" i="2"/>
  <c r="AH483" i="2"/>
  <c r="AI483" i="2"/>
  <c r="AJ483" i="2"/>
  <c r="AF484" i="2"/>
  <c r="AK484" i="2" s="1"/>
  <c r="AG484" i="2"/>
  <c r="AH484" i="2"/>
  <c r="AI484" i="2"/>
  <c r="AJ484" i="2"/>
  <c r="AF485" i="2"/>
  <c r="AK485" i="2" s="1"/>
  <c r="AG485" i="2"/>
  <c r="AH485" i="2"/>
  <c r="AI485" i="2"/>
  <c r="AJ485" i="2"/>
  <c r="AF486" i="2"/>
  <c r="AK486" i="2" s="1"/>
  <c r="AG486" i="2"/>
  <c r="AH486" i="2"/>
  <c r="AI486" i="2"/>
  <c r="AJ486" i="2"/>
  <c r="AF487" i="2"/>
  <c r="AK487" i="2" s="1"/>
  <c r="AG487" i="2"/>
  <c r="AH487" i="2"/>
  <c r="AI487" i="2"/>
  <c r="AJ487" i="2"/>
  <c r="AF488" i="2"/>
  <c r="AK488" i="2" s="1"/>
  <c r="AG488" i="2"/>
  <c r="AH488" i="2"/>
  <c r="AI488" i="2"/>
  <c r="AJ488" i="2"/>
  <c r="AF489" i="2"/>
  <c r="AK489" i="2" s="1"/>
  <c r="AG489" i="2"/>
  <c r="AH489" i="2"/>
  <c r="AI489" i="2"/>
  <c r="AJ489" i="2"/>
  <c r="AF490" i="2"/>
  <c r="AK490" i="2" s="1"/>
  <c r="AG490" i="2"/>
  <c r="AH490" i="2"/>
  <c r="AI490" i="2"/>
  <c r="AJ490" i="2"/>
  <c r="AF491" i="2"/>
  <c r="AK491" i="2" s="1"/>
  <c r="AG491" i="2"/>
  <c r="AH491" i="2"/>
  <c r="AI491" i="2"/>
  <c r="AJ491" i="2"/>
  <c r="AF492" i="2"/>
  <c r="AK492" i="2" s="1"/>
  <c r="AG492" i="2"/>
  <c r="AH492" i="2"/>
  <c r="AI492" i="2"/>
  <c r="AJ492" i="2"/>
  <c r="AF493" i="2"/>
  <c r="AK493" i="2" s="1"/>
  <c r="AG493" i="2"/>
  <c r="AH493" i="2"/>
  <c r="AI493" i="2"/>
  <c r="AJ493" i="2"/>
  <c r="AF494" i="2"/>
  <c r="AK494" i="2" s="1"/>
  <c r="AG494" i="2"/>
  <c r="AH494" i="2"/>
  <c r="AI494" i="2"/>
  <c r="AJ494" i="2"/>
  <c r="AF495" i="2"/>
  <c r="AK495" i="2" s="1"/>
  <c r="AG495" i="2"/>
  <c r="AH495" i="2"/>
  <c r="AI495" i="2"/>
  <c r="AJ495" i="2"/>
  <c r="AF496" i="2"/>
  <c r="AK496" i="2" s="1"/>
  <c r="AG496" i="2"/>
  <c r="AH496" i="2"/>
  <c r="AI496" i="2"/>
  <c r="AJ496" i="2"/>
  <c r="AF497" i="2"/>
  <c r="AK497" i="2" s="1"/>
  <c r="AG497" i="2"/>
  <c r="AH497" i="2"/>
  <c r="AI497" i="2"/>
  <c r="AJ497" i="2"/>
  <c r="AF498" i="2"/>
  <c r="AK498" i="2" s="1"/>
  <c r="AG498" i="2"/>
  <c r="AH498" i="2"/>
  <c r="AI498" i="2"/>
  <c r="AJ498" i="2"/>
  <c r="AF499" i="2"/>
  <c r="AK499" i="2" s="1"/>
  <c r="AG499" i="2"/>
  <c r="AH499" i="2"/>
  <c r="AI499" i="2"/>
  <c r="AJ499" i="2"/>
  <c r="AF500" i="2"/>
  <c r="AK500" i="2" s="1"/>
  <c r="AG500" i="2"/>
  <c r="AH500" i="2"/>
  <c r="AI500" i="2"/>
  <c r="AJ500" i="2"/>
  <c r="AF501" i="2"/>
  <c r="AK501" i="2" s="1"/>
  <c r="AG501" i="2"/>
  <c r="AH501" i="2"/>
  <c r="AI501" i="2"/>
  <c r="AJ501" i="2"/>
  <c r="AF502" i="2"/>
  <c r="AK502" i="2" s="1"/>
  <c r="AG502" i="2"/>
  <c r="AH502" i="2"/>
  <c r="AI502" i="2"/>
  <c r="AJ502" i="2"/>
  <c r="AF503" i="2"/>
  <c r="AK503" i="2" s="1"/>
  <c r="AG503" i="2"/>
  <c r="AH503" i="2"/>
  <c r="AI503" i="2"/>
  <c r="AJ503" i="2"/>
  <c r="AF504" i="2"/>
  <c r="AK504" i="2" s="1"/>
  <c r="AG504" i="2"/>
  <c r="AH504" i="2"/>
  <c r="AI504" i="2"/>
  <c r="AJ504" i="2"/>
  <c r="AF505" i="2"/>
  <c r="AK505" i="2" s="1"/>
  <c r="AG505" i="2"/>
  <c r="AH505" i="2"/>
  <c r="AI505" i="2"/>
  <c r="AJ505" i="2"/>
  <c r="AF506" i="2"/>
  <c r="AK506" i="2" s="1"/>
  <c r="AG506" i="2"/>
  <c r="AH506" i="2"/>
  <c r="AI506" i="2"/>
  <c r="AJ506" i="2"/>
  <c r="AF507" i="2"/>
  <c r="AK507" i="2" s="1"/>
  <c r="AG507" i="2"/>
  <c r="AH507" i="2"/>
  <c r="AI507" i="2"/>
  <c r="AJ507" i="2"/>
  <c r="AF508" i="2"/>
  <c r="AK508" i="2" s="1"/>
  <c r="AG508" i="2"/>
  <c r="AH508" i="2"/>
  <c r="AI508" i="2"/>
  <c r="AJ508" i="2"/>
  <c r="AF509" i="2"/>
  <c r="AK509" i="2" s="1"/>
  <c r="AG509" i="2"/>
  <c r="AH509" i="2"/>
  <c r="AI509" i="2"/>
  <c r="AJ509" i="2"/>
  <c r="AF510" i="2"/>
  <c r="AK510" i="2" s="1"/>
  <c r="AG510" i="2"/>
  <c r="AH510" i="2"/>
  <c r="AI510" i="2"/>
  <c r="AJ510" i="2"/>
  <c r="AF511" i="2"/>
  <c r="AK511" i="2" s="1"/>
  <c r="AG511" i="2"/>
  <c r="AH511" i="2"/>
  <c r="AI511" i="2"/>
  <c r="AJ511" i="2"/>
  <c r="AF512" i="2"/>
  <c r="AK512" i="2" s="1"/>
  <c r="AG512" i="2"/>
  <c r="AH512" i="2"/>
  <c r="AI512" i="2"/>
  <c r="AJ512" i="2"/>
  <c r="AF513" i="2"/>
  <c r="AK513" i="2" s="1"/>
  <c r="AG513" i="2"/>
  <c r="AH513" i="2"/>
  <c r="AI513" i="2"/>
  <c r="AJ513" i="2"/>
  <c r="AF514" i="2"/>
  <c r="AK514" i="2" s="1"/>
  <c r="AG514" i="2"/>
  <c r="AH514" i="2"/>
  <c r="AI514" i="2"/>
  <c r="AJ514" i="2"/>
  <c r="AF515" i="2"/>
  <c r="AK515" i="2" s="1"/>
  <c r="AG515" i="2"/>
  <c r="AH515" i="2"/>
  <c r="AI515" i="2"/>
  <c r="AJ515" i="2"/>
  <c r="AF516" i="2"/>
  <c r="AK516" i="2" s="1"/>
  <c r="AG516" i="2"/>
  <c r="AH516" i="2"/>
  <c r="AI516" i="2"/>
  <c r="AJ516" i="2"/>
  <c r="AF517" i="2"/>
  <c r="AK517" i="2" s="1"/>
  <c r="AG517" i="2"/>
  <c r="AH517" i="2"/>
  <c r="AI517" i="2"/>
  <c r="AJ517" i="2"/>
  <c r="AF518" i="2"/>
  <c r="AK518" i="2" s="1"/>
  <c r="AG518" i="2"/>
  <c r="AH518" i="2"/>
  <c r="AI518" i="2"/>
  <c r="AJ518" i="2"/>
  <c r="AF519" i="2"/>
  <c r="AK519" i="2" s="1"/>
  <c r="AG519" i="2"/>
  <c r="AH519" i="2"/>
  <c r="AI519" i="2"/>
  <c r="AJ519" i="2"/>
  <c r="AF520" i="2"/>
  <c r="AK520" i="2" s="1"/>
  <c r="AG520" i="2"/>
  <c r="AH520" i="2"/>
  <c r="AI520" i="2"/>
  <c r="AJ520" i="2"/>
  <c r="AF521" i="2"/>
  <c r="AK521" i="2" s="1"/>
  <c r="AG521" i="2"/>
  <c r="AH521" i="2"/>
  <c r="AI521" i="2"/>
  <c r="AJ521" i="2"/>
  <c r="AF522" i="2"/>
  <c r="AK522" i="2"/>
  <c r="AG522" i="2"/>
  <c r="AH522" i="2"/>
  <c r="AI522" i="2"/>
  <c r="AJ522" i="2"/>
  <c r="AF523" i="2"/>
  <c r="AK523" i="2" s="1"/>
  <c r="AG523" i="2"/>
  <c r="AH523" i="2"/>
  <c r="AI523" i="2"/>
  <c r="AJ523" i="2"/>
  <c r="AF524" i="2"/>
  <c r="AK524" i="2"/>
  <c r="AG524" i="2"/>
  <c r="AH524" i="2"/>
  <c r="AI524" i="2"/>
  <c r="AJ524" i="2"/>
  <c r="AF525" i="2"/>
  <c r="AK525" i="2" s="1"/>
  <c r="AG525" i="2"/>
  <c r="AH525" i="2"/>
  <c r="AI525" i="2"/>
  <c r="AJ525" i="2"/>
  <c r="AL525" i="2" s="1"/>
  <c r="AF526" i="2"/>
  <c r="AK526" i="2"/>
  <c r="AG526" i="2"/>
  <c r="AH526" i="2"/>
  <c r="AI526" i="2"/>
  <c r="AJ526" i="2"/>
  <c r="AF527" i="2"/>
  <c r="AG527" i="2"/>
  <c r="AH527" i="2"/>
  <c r="AI527" i="2"/>
  <c r="AJ527" i="2"/>
  <c r="AK527" i="2"/>
  <c r="AF528" i="2"/>
  <c r="AK528" i="2"/>
  <c r="AG528" i="2"/>
  <c r="AH528" i="2"/>
  <c r="AI528" i="2"/>
  <c r="AJ528" i="2"/>
  <c r="AF529" i="2"/>
  <c r="AG529" i="2"/>
  <c r="AH529" i="2"/>
  <c r="AI529" i="2"/>
  <c r="AJ529" i="2"/>
  <c r="AK529" i="2"/>
  <c r="AF530" i="2"/>
  <c r="AK530" i="2"/>
  <c r="AG530" i="2"/>
  <c r="AH530" i="2"/>
  <c r="AI530" i="2"/>
  <c r="AJ530" i="2"/>
  <c r="AF531" i="2"/>
  <c r="AG531" i="2"/>
  <c r="AH531" i="2"/>
  <c r="AI531" i="2"/>
  <c r="AJ531" i="2"/>
  <c r="AK531" i="2"/>
  <c r="AF532" i="2"/>
  <c r="AK532" i="2"/>
  <c r="AG532" i="2"/>
  <c r="AH532" i="2"/>
  <c r="AI532" i="2"/>
  <c r="AJ532" i="2"/>
  <c r="AF533" i="2"/>
  <c r="AK533" i="2"/>
  <c r="AG533" i="2"/>
  <c r="AH533" i="2"/>
  <c r="AI533" i="2"/>
  <c r="AJ533" i="2"/>
  <c r="AF534" i="2"/>
  <c r="AK534" i="2"/>
  <c r="AG534" i="2"/>
  <c r="AH534" i="2"/>
  <c r="AI534" i="2"/>
  <c r="AJ534" i="2"/>
  <c r="AF535" i="2"/>
  <c r="AK535" i="2"/>
  <c r="AG535" i="2"/>
  <c r="AH535" i="2"/>
  <c r="AI535" i="2"/>
  <c r="AJ535" i="2"/>
  <c r="AF536" i="2"/>
  <c r="AK536" i="2"/>
  <c r="AG536" i="2"/>
  <c r="AH536" i="2"/>
  <c r="AI536" i="2"/>
  <c r="AJ536" i="2"/>
  <c r="AF537" i="2"/>
  <c r="AK537" i="2"/>
  <c r="AG537" i="2"/>
  <c r="AH537" i="2"/>
  <c r="AI537" i="2"/>
  <c r="AJ537" i="2"/>
  <c r="AF538" i="2"/>
  <c r="AK538" i="2"/>
  <c r="AG538" i="2"/>
  <c r="AH538" i="2"/>
  <c r="AI538" i="2"/>
  <c r="AJ538" i="2"/>
  <c r="AF539" i="2"/>
  <c r="AK539" i="2"/>
  <c r="AG539" i="2"/>
  <c r="AH539" i="2"/>
  <c r="AI539" i="2"/>
  <c r="AJ539" i="2"/>
  <c r="AF540" i="2"/>
  <c r="AK540" i="2"/>
  <c r="AG540" i="2"/>
  <c r="AH540" i="2"/>
  <c r="AI540" i="2"/>
  <c r="AJ540" i="2"/>
  <c r="AF541" i="2"/>
  <c r="AK541" i="2"/>
  <c r="AG541" i="2"/>
  <c r="AH541" i="2"/>
  <c r="AI541" i="2"/>
  <c r="AJ541" i="2"/>
  <c r="AF542" i="2"/>
  <c r="AK542" i="2"/>
  <c r="AG542" i="2"/>
  <c r="AH542" i="2"/>
  <c r="AI542" i="2"/>
  <c r="AJ542" i="2"/>
  <c r="AF543" i="2"/>
  <c r="AK543" i="2"/>
  <c r="AG543" i="2"/>
  <c r="AH543" i="2"/>
  <c r="AI543" i="2"/>
  <c r="AJ543" i="2"/>
  <c r="AF544" i="2"/>
  <c r="AK544" i="2"/>
  <c r="AG544" i="2"/>
  <c r="AH544" i="2"/>
  <c r="AI544" i="2"/>
  <c r="AJ544" i="2"/>
  <c r="AF545" i="2"/>
  <c r="AK545" i="2"/>
  <c r="AG545" i="2"/>
  <c r="AH545" i="2"/>
  <c r="AI545" i="2"/>
  <c r="AJ545" i="2"/>
  <c r="AF546" i="2"/>
  <c r="AK546" i="2"/>
  <c r="AG546" i="2"/>
  <c r="AH546" i="2"/>
  <c r="AI546" i="2"/>
  <c r="AJ546" i="2"/>
  <c r="AF547" i="2"/>
  <c r="AK547" i="2"/>
  <c r="AG547" i="2"/>
  <c r="AH547" i="2"/>
  <c r="AI547" i="2"/>
  <c r="AJ547" i="2"/>
  <c r="AF548" i="2"/>
  <c r="AK548" i="2"/>
  <c r="AG548" i="2"/>
  <c r="AH548" i="2"/>
  <c r="AI548" i="2"/>
  <c r="AJ548" i="2"/>
  <c r="AF549" i="2"/>
  <c r="AG549" i="2"/>
  <c r="AH549" i="2"/>
  <c r="AI549" i="2"/>
  <c r="AJ549" i="2"/>
  <c r="AK549" i="2"/>
  <c r="AF550" i="2"/>
  <c r="AK550" i="2"/>
  <c r="AG550" i="2"/>
  <c r="AH550" i="2"/>
  <c r="AI550" i="2"/>
  <c r="AJ550" i="2"/>
  <c r="AF551" i="2"/>
  <c r="AK551" i="2"/>
  <c r="AG551" i="2"/>
  <c r="AH551" i="2"/>
  <c r="AI551" i="2"/>
  <c r="AJ551" i="2"/>
  <c r="AF552" i="2"/>
  <c r="AK552" i="2"/>
  <c r="AG552" i="2"/>
  <c r="AH552" i="2"/>
  <c r="AI552" i="2"/>
  <c r="AJ552" i="2"/>
  <c r="AF553" i="2"/>
  <c r="AK553" i="2"/>
  <c r="AG553" i="2"/>
  <c r="AH553" i="2"/>
  <c r="AI553" i="2"/>
  <c r="AJ553" i="2"/>
  <c r="AF554" i="2"/>
  <c r="AK554" i="2"/>
  <c r="AG554" i="2"/>
  <c r="AH554" i="2"/>
  <c r="AI554" i="2"/>
  <c r="AJ554" i="2"/>
  <c r="AF555" i="2"/>
  <c r="AK555" i="2"/>
  <c r="AG555" i="2"/>
  <c r="AH555" i="2"/>
  <c r="AI555" i="2"/>
  <c r="AJ555" i="2"/>
  <c r="AF556" i="2"/>
  <c r="AK556" i="2"/>
  <c r="AG556" i="2"/>
  <c r="AH556" i="2"/>
  <c r="AI556" i="2"/>
  <c r="AJ556" i="2"/>
  <c r="AF557" i="2"/>
  <c r="AK557" i="2"/>
  <c r="AG557" i="2"/>
  <c r="AH557" i="2"/>
  <c r="AI557" i="2"/>
  <c r="AJ557" i="2"/>
  <c r="AF558" i="2"/>
  <c r="AK558" i="2"/>
  <c r="AG558" i="2"/>
  <c r="AH558" i="2"/>
  <c r="AI558" i="2"/>
  <c r="AJ558" i="2"/>
  <c r="AF559" i="2"/>
  <c r="AK559" i="2"/>
  <c r="AG559" i="2"/>
  <c r="AH559" i="2"/>
  <c r="AI559" i="2"/>
  <c r="AJ559" i="2"/>
  <c r="AF560" i="2"/>
  <c r="AK560" i="2"/>
  <c r="AG560" i="2"/>
  <c r="AH560" i="2"/>
  <c r="AI560" i="2"/>
  <c r="AJ560" i="2"/>
  <c r="AF561" i="2"/>
  <c r="AK561" i="2"/>
  <c r="AG561" i="2"/>
  <c r="AH561" i="2"/>
  <c r="AI561" i="2"/>
  <c r="AJ561" i="2"/>
  <c r="AF562" i="2"/>
  <c r="AK562" i="2"/>
  <c r="AG562" i="2"/>
  <c r="AH562" i="2"/>
  <c r="AI562" i="2"/>
  <c r="AJ562" i="2"/>
  <c r="AF563" i="2"/>
  <c r="AK563" i="2"/>
  <c r="AG563" i="2"/>
  <c r="AH563" i="2"/>
  <c r="AI563" i="2"/>
  <c r="AJ563" i="2"/>
  <c r="AF564" i="2"/>
  <c r="AK564" i="2"/>
  <c r="AG564" i="2"/>
  <c r="AH564" i="2"/>
  <c r="AI564" i="2"/>
  <c r="AJ564" i="2"/>
  <c r="AF565" i="2"/>
  <c r="AK565" i="2"/>
  <c r="AG565" i="2"/>
  <c r="AH565" i="2"/>
  <c r="AI565" i="2"/>
  <c r="AJ565" i="2"/>
  <c r="AF566" i="2"/>
  <c r="AK566" i="2"/>
  <c r="AG566" i="2"/>
  <c r="AH566" i="2"/>
  <c r="AI566" i="2"/>
  <c r="AJ566" i="2"/>
  <c r="AF567" i="2"/>
  <c r="AK567" i="2"/>
  <c r="AG567" i="2"/>
  <c r="AH567" i="2"/>
  <c r="AI567" i="2"/>
  <c r="AJ567" i="2"/>
  <c r="AF568" i="2"/>
  <c r="AK568" i="2"/>
  <c r="AG568" i="2"/>
  <c r="AH568" i="2"/>
  <c r="AI568" i="2"/>
  <c r="AJ568" i="2"/>
  <c r="AF569" i="2"/>
  <c r="AK569" i="2"/>
  <c r="AG569" i="2"/>
  <c r="AH569" i="2"/>
  <c r="AI569" i="2"/>
  <c r="AJ569" i="2"/>
  <c r="AF570" i="2"/>
  <c r="AK570" i="2"/>
  <c r="AG570" i="2"/>
  <c r="AH570" i="2"/>
  <c r="AI570" i="2"/>
  <c r="AJ570" i="2"/>
  <c r="AF571" i="2"/>
  <c r="AK571" i="2"/>
  <c r="AG571" i="2"/>
  <c r="AH571" i="2"/>
  <c r="AI571" i="2"/>
  <c r="AJ571" i="2"/>
  <c r="AF572" i="2"/>
  <c r="AK572" i="2"/>
  <c r="AG572" i="2"/>
  <c r="AH572" i="2"/>
  <c r="AI572" i="2"/>
  <c r="AJ572" i="2"/>
  <c r="AF573" i="2"/>
  <c r="AK573" i="2"/>
  <c r="AG573" i="2"/>
  <c r="AH573" i="2"/>
  <c r="AI573" i="2"/>
  <c r="AJ573" i="2"/>
  <c r="AF574" i="2"/>
  <c r="AK574" i="2"/>
  <c r="AG574" i="2"/>
  <c r="AH574" i="2"/>
  <c r="AI574" i="2"/>
  <c r="AJ574" i="2"/>
  <c r="AF575" i="2"/>
  <c r="AK575" i="2"/>
  <c r="AG575" i="2"/>
  <c r="AH575" i="2"/>
  <c r="AI575" i="2"/>
  <c r="AJ575" i="2"/>
  <c r="AF576" i="2"/>
  <c r="AK576" i="2"/>
  <c r="AG576" i="2"/>
  <c r="AH576" i="2"/>
  <c r="AI576" i="2"/>
  <c r="AJ576" i="2"/>
  <c r="AF577" i="2"/>
  <c r="AK577" i="2"/>
  <c r="AG577" i="2"/>
  <c r="AH577" i="2"/>
  <c r="AI577" i="2"/>
  <c r="AJ577" i="2"/>
  <c r="AF578" i="2"/>
  <c r="AK578" i="2"/>
  <c r="AG578" i="2"/>
  <c r="AH578" i="2"/>
  <c r="AI578" i="2"/>
  <c r="AJ578" i="2"/>
  <c r="AF579" i="2"/>
  <c r="AK579" i="2"/>
  <c r="AG579" i="2"/>
  <c r="AH579" i="2"/>
  <c r="AI579" i="2"/>
  <c r="AJ579" i="2"/>
  <c r="AF580" i="2"/>
  <c r="AK580" i="2"/>
  <c r="AG580" i="2"/>
  <c r="AH580" i="2"/>
  <c r="AI580" i="2"/>
  <c r="AJ580" i="2"/>
  <c r="AF581" i="2"/>
  <c r="AK581" i="2"/>
  <c r="AG581" i="2"/>
  <c r="AH581" i="2"/>
  <c r="AI581" i="2"/>
  <c r="AJ581" i="2"/>
  <c r="AF582" i="2"/>
  <c r="AK582" i="2"/>
  <c r="AG582" i="2"/>
  <c r="AH582" i="2"/>
  <c r="AI582" i="2"/>
  <c r="AJ582" i="2"/>
  <c r="AF583" i="2"/>
  <c r="AK583" i="2"/>
  <c r="AG583" i="2"/>
  <c r="AH583" i="2"/>
  <c r="AI583" i="2"/>
  <c r="AJ583" i="2"/>
  <c r="AF584" i="2"/>
  <c r="AK584" i="2"/>
  <c r="AG584" i="2"/>
  <c r="AH584" i="2"/>
  <c r="AI584" i="2"/>
  <c r="AJ584" i="2"/>
  <c r="AF585" i="2"/>
  <c r="AK585" i="2"/>
  <c r="AG585" i="2"/>
  <c r="AH585" i="2"/>
  <c r="AI585" i="2"/>
  <c r="AJ585" i="2"/>
  <c r="AF586" i="2"/>
  <c r="AK586" i="2"/>
  <c r="AG586" i="2"/>
  <c r="AH586" i="2"/>
  <c r="AI586" i="2"/>
  <c r="AJ586" i="2"/>
  <c r="AF587" i="2"/>
  <c r="AK587" i="2"/>
  <c r="AG587" i="2"/>
  <c r="AH587" i="2"/>
  <c r="AI587" i="2"/>
  <c r="AJ587" i="2"/>
  <c r="AF588" i="2"/>
  <c r="AK588" i="2"/>
  <c r="AG588" i="2"/>
  <c r="AH588" i="2"/>
  <c r="AI588" i="2"/>
  <c r="AJ588" i="2"/>
  <c r="AF589" i="2"/>
  <c r="AK589" i="2"/>
  <c r="AG589" i="2"/>
  <c r="AH589" i="2"/>
  <c r="AI589" i="2"/>
  <c r="AJ589" i="2"/>
  <c r="AF590" i="2"/>
  <c r="AK590" i="2"/>
  <c r="AG590" i="2"/>
  <c r="AH590" i="2"/>
  <c r="AI590" i="2"/>
  <c r="AJ590" i="2"/>
  <c r="AF591" i="2"/>
  <c r="AK591" i="2"/>
  <c r="AG591" i="2"/>
  <c r="AH591" i="2"/>
  <c r="AI591" i="2"/>
  <c r="AJ591" i="2"/>
  <c r="AF592" i="2"/>
  <c r="AK592" i="2"/>
  <c r="AG592" i="2"/>
  <c r="AH592" i="2"/>
  <c r="AI592" i="2"/>
  <c r="AJ592" i="2"/>
  <c r="AF593" i="2"/>
  <c r="AK593" i="2"/>
  <c r="AG593" i="2"/>
  <c r="AH593" i="2"/>
  <c r="AI593" i="2"/>
  <c r="AJ593" i="2"/>
  <c r="AF594" i="2"/>
  <c r="AK594" i="2"/>
  <c r="AG594" i="2"/>
  <c r="AH594" i="2"/>
  <c r="AI594" i="2"/>
  <c r="AJ594" i="2"/>
  <c r="AF595" i="2"/>
  <c r="AK595" i="2"/>
  <c r="AG595" i="2"/>
  <c r="AH595" i="2"/>
  <c r="AI595" i="2"/>
  <c r="AJ595" i="2"/>
  <c r="AF596" i="2"/>
  <c r="AK596" i="2"/>
  <c r="AG596" i="2"/>
  <c r="AH596" i="2"/>
  <c r="AI596" i="2"/>
  <c r="AJ596" i="2"/>
  <c r="AF597" i="2"/>
  <c r="AK597" i="2"/>
  <c r="AG597" i="2"/>
  <c r="AH597" i="2"/>
  <c r="AI597" i="2"/>
  <c r="AL597" i="2" s="1"/>
  <c r="AJ597" i="2"/>
  <c r="AF598" i="2"/>
  <c r="AK598" i="2" s="1"/>
  <c r="AG598" i="2"/>
  <c r="AH598" i="2"/>
  <c r="AI598" i="2"/>
  <c r="AJ598" i="2"/>
  <c r="AF599" i="2"/>
  <c r="AK599" i="2"/>
  <c r="AG599" i="2"/>
  <c r="AH599" i="2"/>
  <c r="AI599" i="2"/>
  <c r="AJ599" i="2"/>
  <c r="AF600" i="2"/>
  <c r="AK600" i="2" s="1"/>
  <c r="AG600" i="2"/>
  <c r="AH600" i="2"/>
  <c r="AI600" i="2"/>
  <c r="AJ600" i="2"/>
  <c r="AF601" i="2"/>
  <c r="AK601" i="2"/>
  <c r="AG601" i="2"/>
  <c r="AH601" i="2"/>
  <c r="AI601" i="2"/>
  <c r="AJ601" i="2"/>
  <c r="AF602" i="2"/>
  <c r="AK602" i="2" s="1"/>
  <c r="AG602" i="2"/>
  <c r="AH602" i="2"/>
  <c r="AI602" i="2"/>
  <c r="AJ602" i="2"/>
  <c r="AF603" i="2"/>
  <c r="AK603" i="2"/>
  <c r="AG603" i="2"/>
  <c r="AH603" i="2"/>
  <c r="AI603" i="2"/>
  <c r="AJ603" i="2"/>
  <c r="AF604" i="2"/>
  <c r="AK604" i="2" s="1"/>
  <c r="AG604" i="2"/>
  <c r="AH604" i="2"/>
  <c r="AI604" i="2"/>
  <c r="AJ604" i="2"/>
  <c r="AF605" i="2"/>
  <c r="AK605" i="2" s="1"/>
  <c r="AG605" i="2"/>
  <c r="AH605" i="2"/>
  <c r="AI605" i="2"/>
  <c r="AJ605" i="2"/>
  <c r="AF606" i="2"/>
  <c r="AK606" i="2" s="1"/>
  <c r="AG606" i="2"/>
  <c r="AH606" i="2"/>
  <c r="AI606" i="2"/>
  <c r="AJ606" i="2"/>
  <c r="AF607" i="2"/>
  <c r="AK607" i="2"/>
  <c r="AG607" i="2"/>
  <c r="AH607" i="2"/>
  <c r="AI607" i="2"/>
  <c r="AJ607" i="2"/>
  <c r="AF608" i="2"/>
  <c r="AK608" i="2" s="1"/>
  <c r="AG608" i="2"/>
  <c r="AH608" i="2"/>
  <c r="AI608" i="2"/>
  <c r="AJ608" i="2"/>
  <c r="AF609" i="2"/>
  <c r="AK609" i="2"/>
  <c r="AG609" i="2"/>
  <c r="AH609" i="2"/>
  <c r="AI609" i="2"/>
  <c r="AJ609" i="2"/>
  <c r="AF610" i="2"/>
  <c r="AK610" i="2" s="1"/>
  <c r="AG610" i="2"/>
  <c r="AH610" i="2"/>
  <c r="AI610" i="2"/>
  <c r="AJ610" i="2"/>
  <c r="AF611" i="2"/>
  <c r="AK611" i="2"/>
  <c r="AG611" i="2"/>
  <c r="AH611" i="2"/>
  <c r="AI611" i="2"/>
  <c r="AJ611" i="2"/>
  <c r="AF612" i="2"/>
  <c r="AK612" i="2" s="1"/>
  <c r="AG612" i="2"/>
  <c r="AH612" i="2"/>
  <c r="AI612" i="2"/>
  <c r="AJ612" i="2"/>
  <c r="AF613" i="2"/>
  <c r="AK613" i="2" s="1"/>
  <c r="AG613" i="2"/>
  <c r="AH613" i="2"/>
  <c r="AI613" i="2"/>
  <c r="AJ613" i="2"/>
  <c r="AF614" i="2"/>
  <c r="AK614" i="2" s="1"/>
  <c r="AG614" i="2"/>
  <c r="AH614" i="2"/>
  <c r="AI614" i="2"/>
  <c r="AJ614" i="2"/>
  <c r="AF615" i="2"/>
  <c r="AK615" i="2"/>
  <c r="AG615" i="2"/>
  <c r="AH615" i="2"/>
  <c r="AI615" i="2"/>
  <c r="AJ615" i="2"/>
  <c r="AF616" i="2"/>
  <c r="AK616" i="2" s="1"/>
  <c r="AG616" i="2"/>
  <c r="AH616" i="2"/>
  <c r="AI616" i="2"/>
  <c r="AJ616" i="2"/>
  <c r="AF617" i="2"/>
  <c r="AK617" i="2"/>
  <c r="AG617" i="2"/>
  <c r="AH617" i="2"/>
  <c r="AI617" i="2"/>
  <c r="AJ617" i="2"/>
  <c r="AF618" i="2"/>
  <c r="AK618" i="2" s="1"/>
  <c r="AG618" i="2"/>
  <c r="AH618" i="2"/>
  <c r="AI618" i="2"/>
  <c r="AJ618" i="2"/>
  <c r="AF619" i="2"/>
  <c r="AK619" i="2"/>
  <c r="AG619" i="2"/>
  <c r="AH619" i="2"/>
  <c r="AI619" i="2"/>
  <c r="AJ619" i="2"/>
  <c r="AF620" i="2"/>
  <c r="AK620" i="2" s="1"/>
  <c r="AG620" i="2"/>
  <c r="AH620" i="2"/>
  <c r="AI620" i="2"/>
  <c r="AJ620" i="2"/>
  <c r="AF621" i="2"/>
  <c r="AK621" i="2" s="1"/>
  <c r="AG621" i="2"/>
  <c r="AH621" i="2"/>
  <c r="AI621" i="2"/>
  <c r="AJ621" i="2"/>
  <c r="AF622" i="2"/>
  <c r="AK622" i="2" s="1"/>
  <c r="AG622" i="2"/>
  <c r="AH622" i="2"/>
  <c r="AI622" i="2"/>
  <c r="AJ622" i="2"/>
  <c r="AF623" i="2"/>
  <c r="AK623" i="2"/>
  <c r="AG623" i="2"/>
  <c r="AH623" i="2"/>
  <c r="AI623" i="2"/>
  <c r="AJ623" i="2"/>
  <c r="AF624" i="2"/>
  <c r="AK624" i="2" s="1"/>
  <c r="AG624" i="2"/>
  <c r="AH624" i="2"/>
  <c r="AI624" i="2"/>
  <c r="AJ624" i="2"/>
  <c r="AF625" i="2"/>
  <c r="AK625" i="2"/>
  <c r="AG625" i="2"/>
  <c r="AH625" i="2"/>
  <c r="AI625" i="2"/>
  <c r="AJ625" i="2"/>
  <c r="AF626" i="2"/>
  <c r="AK626" i="2" s="1"/>
  <c r="AG626" i="2"/>
  <c r="AH626" i="2"/>
  <c r="AI626" i="2"/>
  <c r="AJ626" i="2"/>
  <c r="AF627" i="2"/>
  <c r="AK627" i="2"/>
  <c r="AG627" i="2"/>
  <c r="AH627" i="2"/>
  <c r="AI627" i="2"/>
  <c r="AJ627" i="2"/>
  <c r="AF628" i="2"/>
  <c r="AK628" i="2" s="1"/>
  <c r="AG628" i="2"/>
  <c r="AH628" i="2"/>
  <c r="AI628" i="2"/>
  <c r="AJ628" i="2"/>
  <c r="AF629" i="2"/>
  <c r="AK629" i="2" s="1"/>
  <c r="AG629" i="2"/>
  <c r="AH629" i="2"/>
  <c r="AI629" i="2"/>
  <c r="AJ629" i="2"/>
  <c r="AF630" i="2"/>
  <c r="AK630" i="2" s="1"/>
  <c r="AG630" i="2"/>
  <c r="AH630" i="2"/>
  <c r="AI630" i="2"/>
  <c r="AJ630" i="2"/>
  <c r="AF631" i="2"/>
  <c r="AK631" i="2"/>
  <c r="AG631" i="2"/>
  <c r="AH631" i="2"/>
  <c r="AI631" i="2"/>
  <c r="AJ631" i="2"/>
  <c r="AF632" i="2"/>
  <c r="AK632" i="2" s="1"/>
  <c r="AG632" i="2"/>
  <c r="AH632" i="2"/>
  <c r="AI632" i="2"/>
  <c r="AJ632" i="2"/>
  <c r="AF633" i="2"/>
  <c r="AK633" i="2"/>
  <c r="AG633" i="2"/>
  <c r="AH633" i="2"/>
  <c r="AI633" i="2"/>
  <c r="AJ633" i="2"/>
  <c r="AF634" i="2"/>
  <c r="AK634" i="2" s="1"/>
  <c r="AG634" i="2"/>
  <c r="AH634" i="2"/>
  <c r="AI634" i="2"/>
  <c r="AJ634" i="2"/>
  <c r="AF635" i="2"/>
  <c r="AK635" i="2"/>
  <c r="AG635" i="2"/>
  <c r="AH635" i="2"/>
  <c r="AI635" i="2"/>
  <c r="AJ635" i="2"/>
  <c r="AF636" i="2"/>
  <c r="AK636" i="2" s="1"/>
  <c r="AG636" i="2"/>
  <c r="AH636" i="2"/>
  <c r="AI636" i="2"/>
  <c r="AJ636" i="2"/>
  <c r="AF637" i="2"/>
  <c r="AK637" i="2" s="1"/>
  <c r="AG637" i="2"/>
  <c r="AH637" i="2"/>
  <c r="AI637" i="2"/>
  <c r="AJ637" i="2"/>
  <c r="AF638" i="2"/>
  <c r="AK638" i="2" s="1"/>
  <c r="AG638" i="2"/>
  <c r="AH638" i="2"/>
  <c r="AI638" i="2"/>
  <c r="AJ638" i="2"/>
  <c r="AF639" i="2"/>
  <c r="AK639" i="2"/>
  <c r="AG639" i="2"/>
  <c r="AH639" i="2"/>
  <c r="AI639" i="2"/>
  <c r="AJ639" i="2"/>
  <c r="AF640" i="2"/>
  <c r="AK640" i="2" s="1"/>
  <c r="AG640" i="2"/>
  <c r="AH640" i="2"/>
  <c r="AI640" i="2"/>
  <c r="AJ640" i="2"/>
  <c r="AF641" i="2"/>
  <c r="AK641" i="2"/>
  <c r="AG641" i="2"/>
  <c r="AH641" i="2"/>
  <c r="AI641" i="2"/>
  <c r="AJ641" i="2"/>
  <c r="AF642" i="2"/>
  <c r="AK642" i="2" s="1"/>
  <c r="AG642" i="2"/>
  <c r="AH642" i="2"/>
  <c r="AI642" i="2"/>
  <c r="AJ642" i="2"/>
  <c r="AF643" i="2"/>
  <c r="AK643" i="2"/>
  <c r="AG643" i="2"/>
  <c r="AH643" i="2"/>
  <c r="AI643" i="2"/>
  <c r="AJ643" i="2"/>
  <c r="AF644" i="2"/>
  <c r="AK644" i="2" s="1"/>
  <c r="AG644" i="2"/>
  <c r="AH644" i="2"/>
  <c r="AI644" i="2"/>
  <c r="AJ644" i="2"/>
  <c r="AF645" i="2"/>
  <c r="AK645" i="2" s="1"/>
  <c r="AG645" i="2"/>
  <c r="AH645" i="2"/>
  <c r="AI645" i="2"/>
  <c r="AJ645" i="2"/>
  <c r="AF646" i="2"/>
  <c r="AK646" i="2" s="1"/>
  <c r="AG646" i="2"/>
  <c r="AH646" i="2"/>
  <c r="AI646" i="2"/>
  <c r="AJ646" i="2"/>
  <c r="AF647" i="2"/>
  <c r="AK647" i="2"/>
  <c r="AG647" i="2"/>
  <c r="AH647" i="2"/>
  <c r="AI647" i="2"/>
  <c r="AJ647" i="2"/>
  <c r="AF648" i="2"/>
  <c r="AK648" i="2" s="1"/>
  <c r="AG648" i="2"/>
  <c r="AH648" i="2"/>
  <c r="AI648" i="2"/>
  <c r="AJ648" i="2"/>
  <c r="AF649" i="2"/>
  <c r="AK649" i="2"/>
  <c r="AG649" i="2"/>
  <c r="AH649" i="2"/>
  <c r="AI649" i="2"/>
  <c r="AJ649" i="2"/>
  <c r="AF650" i="2"/>
  <c r="AK650" i="2" s="1"/>
  <c r="AG650" i="2"/>
  <c r="AH650" i="2"/>
  <c r="AI650" i="2"/>
  <c r="AJ650" i="2"/>
  <c r="AF651" i="2"/>
  <c r="AK651" i="2"/>
  <c r="AG651" i="2"/>
  <c r="AH651" i="2"/>
  <c r="AI651" i="2"/>
  <c r="AJ651" i="2"/>
  <c r="AF652" i="2"/>
  <c r="AK652" i="2" s="1"/>
  <c r="AG652" i="2"/>
  <c r="AH652" i="2"/>
  <c r="AI652" i="2"/>
  <c r="AJ652" i="2"/>
  <c r="AF653" i="2"/>
  <c r="AK653" i="2" s="1"/>
  <c r="AG653" i="2"/>
  <c r="AH653" i="2"/>
  <c r="AI653" i="2"/>
  <c r="AJ653" i="2"/>
  <c r="AF654" i="2"/>
  <c r="AK654" i="2" s="1"/>
  <c r="AG654" i="2"/>
  <c r="AH654" i="2"/>
  <c r="AI654" i="2"/>
  <c r="AJ654" i="2"/>
  <c r="AF655" i="2"/>
  <c r="AK655" i="2"/>
  <c r="AG655" i="2"/>
  <c r="AH655" i="2"/>
  <c r="AI655" i="2"/>
  <c r="AJ655" i="2"/>
  <c r="AF656" i="2"/>
  <c r="AK656" i="2" s="1"/>
  <c r="AG656" i="2"/>
  <c r="AH656" i="2"/>
  <c r="AI656" i="2"/>
  <c r="AJ656" i="2"/>
  <c r="AF657" i="2"/>
  <c r="AK657" i="2"/>
  <c r="AG657" i="2"/>
  <c r="AH657" i="2"/>
  <c r="AI657" i="2"/>
  <c r="AJ657" i="2"/>
  <c r="AF658" i="2"/>
  <c r="AK658" i="2" s="1"/>
  <c r="AG658" i="2"/>
  <c r="AH658" i="2"/>
  <c r="AI658" i="2"/>
  <c r="AJ658" i="2"/>
  <c r="AF659" i="2"/>
  <c r="AK659" i="2"/>
  <c r="AG659" i="2"/>
  <c r="AH659" i="2"/>
  <c r="AI659" i="2"/>
  <c r="AJ659" i="2"/>
  <c r="AF660" i="2"/>
  <c r="AK660" i="2" s="1"/>
  <c r="AG660" i="2"/>
  <c r="AH660" i="2"/>
  <c r="AI660" i="2"/>
  <c r="AJ660" i="2"/>
  <c r="AF661" i="2"/>
  <c r="AK661" i="2" s="1"/>
  <c r="AG661" i="2"/>
  <c r="AH661" i="2"/>
  <c r="AI661" i="2"/>
  <c r="AJ661" i="2"/>
  <c r="AF662" i="2"/>
  <c r="AK662" i="2" s="1"/>
  <c r="AG662" i="2"/>
  <c r="AH662" i="2"/>
  <c r="AI662" i="2"/>
  <c r="AJ662" i="2"/>
  <c r="AF663" i="2"/>
  <c r="AK663" i="2"/>
  <c r="AG663" i="2"/>
  <c r="AH663" i="2"/>
  <c r="AI663" i="2"/>
  <c r="AJ663" i="2"/>
  <c r="AF664" i="2"/>
  <c r="AK664" i="2" s="1"/>
  <c r="AG664" i="2"/>
  <c r="AH664" i="2"/>
  <c r="AI664" i="2"/>
  <c r="AJ664" i="2"/>
  <c r="AF665" i="2"/>
  <c r="AK665" i="2"/>
  <c r="AG665" i="2"/>
  <c r="AH665" i="2"/>
  <c r="AI665" i="2"/>
  <c r="AJ665" i="2"/>
  <c r="AF666" i="2"/>
  <c r="AK666" i="2" s="1"/>
  <c r="AG666" i="2"/>
  <c r="AH666" i="2"/>
  <c r="AI666" i="2"/>
  <c r="AJ666" i="2"/>
  <c r="AF667" i="2"/>
  <c r="AK667" i="2"/>
  <c r="AG667" i="2"/>
  <c r="AH667" i="2"/>
  <c r="AI667" i="2"/>
  <c r="AJ667" i="2"/>
  <c r="AF668" i="2"/>
  <c r="AK668" i="2" s="1"/>
  <c r="AG668" i="2"/>
  <c r="AH668" i="2"/>
  <c r="AI668" i="2"/>
  <c r="AJ668" i="2"/>
  <c r="AF669" i="2"/>
  <c r="AK669" i="2" s="1"/>
  <c r="AG669" i="2"/>
  <c r="AH669" i="2"/>
  <c r="AI669" i="2"/>
  <c r="AJ669" i="2"/>
  <c r="AF670" i="2"/>
  <c r="AK670" i="2" s="1"/>
  <c r="AG670" i="2"/>
  <c r="AH670" i="2"/>
  <c r="AI670" i="2"/>
  <c r="AJ670" i="2"/>
  <c r="AF671" i="2"/>
  <c r="AK671" i="2"/>
  <c r="AG671" i="2"/>
  <c r="AH671" i="2"/>
  <c r="AI671" i="2"/>
  <c r="AJ671" i="2"/>
  <c r="AF672" i="2"/>
  <c r="AK672" i="2" s="1"/>
  <c r="AG672" i="2"/>
  <c r="AH672" i="2"/>
  <c r="AI672" i="2"/>
  <c r="AJ672" i="2"/>
  <c r="AF673" i="2"/>
  <c r="AK673" i="2"/>
  <c r="AG673" i="2"/>
  <c r="AH673" i="2"/>
  <c r="AI673" i="2"/>
  <c r="AJ673" i="2"/>
  <c r="AF674" i="2"/>
  <c r="AK674" i="2" s="1"/>
  <c r="AG674" i="2"/>
  <c r="AH674" i="2"/>
  <c r="AI674" i="2"/>
  <c r="AJ674" i="2"/>
  <c r="AF675" i="2"/>
  <c r="AK675" i="2"/>
  <c r="AG675" i="2"/>
  <c r="AH675" i="2"/>
  <c r="AI675" i="2"/>
  <c r="AJ675" i="2"/>
  <c r="AF676" i="2"/>
  <c r="AK676" i="2" s="1"/>
  <c r="AG676" i="2"/>
  <c r="AH676" i="2"/>
  <c r="AI676" i="2"/>
  <c r="AJ676" i="2"/>
  <c r="AF677" i="2"/>
  <c r="AK677" i="2" s="1"/>
  <c r="AG677" i="2"/>
  <c r="AH677" i="2"/>
  <c r="AI677" i="2"/>
  <c r="AJ677" i="2"/>
  <c r="AF678" i="2"/>
  <c r="AK678" i="2" s="1"/>
  <c r="AG678" i="2"/>
  <c r="AH678" i="2"/>
  <c r="AI678" i="2"/>
  <c r="AJ678" i="2"/>
  <c r="AF679" i="2"/>
  <c r="AK679" i="2"/>
  <c r="AG679" i="2"/>
  <c r="AH679" i="2"/>
  <c r="AI679" i="2"/>
  <c r="AJ679" i="2"/>
  <c r="AF680" i="2"/>
  <c r="AK680" i="2" s="1"/>
  <c r="AG680" i="2"/>
  <c r="AH680" i="2"/>
  <c r="AI680" i="2"/>
  <c r="AJ680" i="2"/>
  <c r="AF681" i="2"/>
  <c r="AK681" i="2"/>
  <c r="AG681" i="2"/>
  <c r="AH681" i="2"/>
  <c r="AI681" i="2"/>
  <c r="AJ681" i="2"/>
  <c r="AF682" i="2"/>
  <c r="AK682" i="2" s="1"/>
  <c r="AG682" i="2"/>
  <c r="AH682" i="2"/>
  <c r="AI682" i="2"/>
  <c r="AJ682" i="2"/>
  <c r="AF683" i="2"/>
  <c r="AK683" i="2"/>
  <c r="AG683" i="2"/>
  <c r="AH683" i="2"/>
  <c r="AI683" i="2"/>
  <c r="AJ683" i="2"/>
  <c r="AF684" i="2"/>
  <c r="AK684" i="2" s="1"/>
  <c r="AG684" i="2"/>
  <c r="AH684" i="2"/>
  <c r="AI684" i="2"/>
  <c r="AJ684" i="2"/>
  <c r="AF685" i="2"/>
  <c r="AK685" i="2" s="1"/>
  <c r="AG685" i="2"/>
  <c r="AH685" i="2"/>
  <c r="AI685" i="2"/>
  <c r="AJ685" i="2"/>
  <c r="AF686" i="2"/>
  <c r="AK686" i="2" s="1"/>
  <c r="AG686" i="2"/>
  <c r="AH686" i="2"/>
  <c r="AI686" i="2"/>
  <c r="AJ686" i="2"/>
  <c r="AF687" i="2"/>
  <c r="AK687" i="2"/>
  <c r="AG687" i="2"/>
  <c r="AH687" i="2"/>
  <c r="AI687" i="2"/>
  <c r="AJ687" i="2"/>
  <c r="AF688" i="2"/>
  <c r="AK688" i="2" s="1"/>
  <c r="AG688" i="2"/>
  <c r="AH688" i="2"/>
  <c r="AI688" i="2"/>
  <c r="AJ688" i="2"/>
  <c r="AF689" i="2"/>
  <c r="AK689" i="2"/>
  <c r="AG689" i="2"/>
  <c r="AH689" i="2"/>
  <c r="AI689" i="2"/>
  <c r="AJ689" i="2"/>
  <c r="AF690" i="2"/>
  <c r="AK690" i="2" s="1"/>
  <c r="AG690" i="2"/>
  <c r="AH690" i="2"/>
  <c r="AI690" i="2"/>
  <c r="AJ690" i="2"/>
  <c r="AF691" i="2"/>
  <c r="AK691" i="2"/>
  <c r="AG691" i="2"/>
  <c r="AH691" i="2"/>
  <c r="AI691" i="2"/>
  <c r="AJ691" i="2"/>
  <c r="AF692" i="2"/>
  <c r="AK692" i="2" s="1"/>
  <c r="AG692" i="2"/>
  <c r="AH692" i="2"/>
  <c r="AI692" i="2"/>
  <c r="AJ692" i="2"/>
  <c r="AF693" i="2"/>
  <c r="AK693" i="2" s="1"/>
  <c r="AG693" i="2"/>
  <c r="AH693" i="2"/>
  <c r="AI693" i="2"/>
  <c r="AJ693" i="2"/>
  <c r="AF694" i="2"/>
  <c r="AK694" i="2" s="1"/>
  <c r="AG694" i="2"/>
  <c r="AH694" i="2"/>
  <c r="AI694" i="2"/>
  <c r="AJ694" i="2"/>
  <c r="AF695" i="2"/>
  <c r="AK695" i="2"/>
  <c r="AG695" i="2"/>
  <c r="AH695" i="2"/>
  <c r="AI695" i="2"/>
  <c r="AJ695" i="2"/>
  <c r="AF696" i="2"/>
  <c r="AK696" i="2" s="1"/>
  <c r="AG696" i="2"/>
  <c r="AH696" i="2"/>
  <c r="AI696" i="2"/>
  <c r="AJ696" i="2"/>
  <c r="AF697" i="2"/>
  <c r="AK697" i="2"/>
  <c r="AG697" i="2"/>
  <c r="AH697" i="2"/>
  <c r="AI697" i="2"/>
  <c r="AJ697" i="2"/>
  <c r="AF698" i="2"/>
  <c r="AK698" i="2" s="1"/>
  <c r="AG698" i="2"/>
  <c r="AH698" i="2"/>
  <c r="AI698" i="2"/>
  <c r="AJ698" i="2"/>
  <c r="AF699" i="2"/>
  <c r="AK699" i="2"/>
  <c r="AG699" i="2"/>
  <c r="AH699" i="2"/>
  <c r="AI699" i="2"/>
  <c r="AJ699" i="2"/>
  <c r="AF700" i="2"/>
  <c r="AK700" i="2" s="1"/>
  <c r="AG700" i="2"/>
  <c r="AH700" i="2"/>
  <c r="AI700" i="2"/>
  <c r="AJ700" i="2"/>
  <c r="AF701" i="2"/>
  <c r="AK701" i="2" s="1"/>
  <c r="AG701" i="2"/>
  <c r="AH701" i="2"/>
  <c r="AI701" i="2"/>
  <c r="AJ701" i="2"/>
  <c r="AF702" i="2"/>
  <c r="AK702" i="2" s="1"/>
  <c r="AG702" i="2"/>
  <c r="AH702" i="2"/>
  <c r="AI702" i="2"/>
  <c r="AJ702" i="2"/>
  <c r="AF703" i="2"/>
  <c r="AK703" i="2"/>
  <c r="AG703" i="2"/>
  <c r="AH703" i="2"/>
  <c r="AI703" i="2"/>
  <c r="AJ703" i="2"/>
  <c r="AF704" i="2"/>
  <c r="AK704" i="2" s="1"/>
  <c r="AG704" i="2"/>
  <c r="AH704" i="2"/>
  <c r="AL704" i="2"/>
  <c r="AI704" i="2"/>
  <c r="AJ704" i="2"/>
  <c r="AF705" i="2"/>
  <c r="AK705" i="2"/>
  <c r="AG705" i="2"/>
  <c r="AH705" i="2"/>
  <c r="AI705" i="2"/>
  <c r="AJ705" i="2"/>
  <c r="AF706" i="2"/>
  <c r="AK706" i="2"/>
  <c r="AG706" i="2"/>
  <c r="AH706" i="2"/>
  <c r="AI706" i="2"/>
  <c r="AJ706" i="2"/>
  <c r="AF707" i="2"/>
  <c r="AK707" i="2"/>
  <c r="AG707" i="2"/>
  <c r="AH707" i="2"/>
  <c r="AI707" i="2"/>
  <c r="AJ707" i="2"/>
  <c r="AF708" i="2"/>
  <c r="AK708" i="2"/>
  <c r="AG708" i="2"/>
  <c r="AH708" i="2"/>
  <c r="AI708" i="2"/>
  <c r="AJ708" i="2"/>
  <c r="AF709" i="2"/>
  <c r="AK709" i="2"/>
  <c r="AG709" i="2"/>
  <c r="AH709" i="2"/>
  <c r="AI709" i="2"/>
  <c r="AJ709" i="2"/>
  <c r="AF710" i="2"/>
  <c r="AK710" i="2"/>
  <c r="AG710" i="2"/>
  <c r="AH710" i="2"/>
  <c r="AI710" i="2"/>
  <c r="AJ710" i="2"/>
  <c r="AF711" i="2"/>
  <c r="AK711" i="2"/>
  <c r="AG711" i="2"/>
  <c r="AH711" i="2"/>
  <c r="AI711" i="2"/>
  <c r="AJ711" i="2"/>
  <c r="AF712" i="2"/>
  <c r="AK712" i="2"/>
  <c r="AG712" i="2"/>
  <c r="AH712" i="2"/>
  <c r="AI712" i="2"/>
  <c r="AJ712" i="2"/>
  <c r="AF713" i="2"/>
  <c r="AK713" i="2"/>
  <c r="AG713" i="2"/>
  <c r="AH713" i="2"/>
  <c r="AI713" i="2"/>
  <c r="AJ713" i="2"/>
  <c r="AF714" i="2"/>
  <c r="AK714" i="2"/>
  <c r="AG714" i="2"/>
  <c r="AH714" i="2"/>
  <c r="AI714" i="2"/>
  <c r="AJ714" i="2"/>
  <c r="AF715" i="2"/>
  <c r="AK715" i="2"/>
  <c r="AG715" i="2"/>
  <c r="AH715" i="2"/>
  <c r="AI715" i="2"/>
  <c r="AJ715" i="2"/>
  <c r="AF716" i="2"/>
  <c r="AK716" i="2"/>
  <c r="AG716" i="2"/>
  <c r="AH716" i="2"/>
  <c r="AI716" i="2"/>
  <c r="AJ716" i="2"/>
  <c r="AF717" i="2"/>
  <c r="AK717" i="2"/>
  <c r="AG717" i="2"/>
  <c r="AH717" i="2"/>
  <c r="AI717" i="2"/>
  <c r="AJ717" i="2"/>
  <c r="AF718" i="2"/>
  <c r="AK718" i="2"/>
  <c r="AG718" i="2"/>
  <c r="AH718" i="2"/>
  <c r="AI718" i="2"/>
  <c r="AJ718" i="2"/>
  <c r="AF719" i="2"/>
  <c r="AK719" i="2"/>
  <c r="AG719" i="2"/>
  <c r="AH719" i="2"/>
  <c r="AI719" i="2"/>
  <c r="AJ719" i="2"/>
  <c r="AF720" i="2"/>
  <c r="AK720" i="2"/>
  <c r="AG720" i="2"/>
  <c r="AH720" i="2"/>
  <c r="AI720" i="2"/>
  <c r="AJ720" i="2"/>
  <c r="AF721" i="2"/>
  <c r="AK721" i="2"/>
  <c r="AG721" i="2"/>
  <c r="AH721" i="2"/>
  <c r="AI721" i="2"/>
  <c r="AJ721" i="2"/>
  <c r="AF722" i="2"/>
  <c r="AK722" i="2"/>
  <c r="AG722" i="2"/>
  <c r="AH722" i="2"/>
  <c r="AI722" i="2"/>
  <c r="AJ722" i="2"/>
  <c r="AF723" i="2"/>
  <c r="AK723" i="2"/>
  <c r="AG723" i="2"/>
  <c r="AH723" i="2"/>
  <c r="AI723" i="2"/>
  <c r="AJ723" i="2"/>
  <c r="AF724" i="2"/>
  <c r="AK724" i="2"/>
  <c r="AG724" i="2"/>
  <c r="AH724" i="2"/>
  <c r="AI724" i="2"/>
  <c r="AJ724" i="2"/>
  <c r="AF725" i="2"/>
  <c r="AK725" i="2"/>
  <c r="AG725" i="2"/>
  <c r="AH725" i="2"/>
  <c r="AI725" i="2"/>
  <c r="AJ725" i="2"/>
  <c r="AF726" i="2"/>
  <c r="AK726" i="2"/>
  <c r="AG726" i="2"/>
  <c r="AH726" i="2"/>
  <c r="AI726" i="2"/>
  <c r="AJ726" i="2"/>
  <c r="AF727" i="2"/>
  <c r="AK727" i="2"/>
  <c r="AG727" i="2"/>
  <c r="AH727" i="2"/>
  <c r="AI727" i="2"/>
  <c r="AJ727" i="2"/>
  <c r="AF728" i="2"/>
  <c r="AK728" i="2"/>
  <c r="AG728" i="2"/>
  <c r="AH728" i="2"/>
  <c r="AI728" i="2"/>
  <c r="AJ728" i="2"/>
  <c r="AF729" i="2"/>
  <c r="AK729" i="2"/>
  <c r="AG729" i="2"/>
  <c r="AH729" i="2"/>
  <c r="AI729" i="2"/>
  <c r="AJ729" i="2"/>
  <c r="AF730" i="2"/>
  <c r="AK730" i="2"/>
  <c r="AG730" i="2"/>
  <c r="AH730" i="2"/>
  <c r="AI730" i="2"/>
  <c r="AJ730" i="2"/>
  <c r="AF731" i="2"/>
  <c r="AK731" i="2"/>
  <c r="AG731" i="2"/>
  <c r="AH731" i="2"/>
  <c r="AI731" i="2"/>
  <c r="AJ731" i="2"/>
  <c r="AF732" i="2"/>
  <c r="AK732" i="2"/>
  <c r="AG732" i="2"/>
  <c r="AH732" i="2"/>
  <c r="AI732" i="2"/>
  <c r="AJ732" i="2"/>
  <c r="AF733" i="2"/>
  <c r="AK733" i="2"/>
  <c r="AG733" i="2"/>
  <c r="AH733" i="2"/>
  <c r="AI733" i="2"/>
  <c r="AJ733" i="2"/>
  <c r="AF734" i="2"/>
  <c r="AK734" i="2"/>
  <c r="AG734" i="2"/>
  <c r="AH734" i="2"/>
  <c r="AI734" i="2"/>
  <c r="AJ734" i="2"/>
  <c r="AF735" i="2"/>
  <c r="AK735" i="2"/>
  <c r="AG735" i="2"/>
  <c r="AH735" i="2"/>
  <c r="AI735" i="2"/>
  <c r="AJ735" i="2"/>
  <c r="AF736" i="2"/>
  <c r="AK736" i="2"/>
  <c r="AG736" i="2"/>
  <c r="AH736" i="2"/>
  <c r="AI736" i="2"/>
  <c r="AJ736" i="2"/>
  <c r="AF737" i="2"/>
  <c r="AK737" i="2"/>
  <c r="AG737" i="2"/>
  <c r="AH737" i="2"/>
  <c r="AI737" i="2"/>
  <c r="AJ737" i="2"/>
  <c r="AF738" i="2"/>
  <c r="AK738" i="2"/>
  <c r="AG738" i="2"/>
  <c r="AH738" i="2"/>
  <c r="AI738" i="2"/>
  <c r="AJ738" i="2"/>
  <c r="AF739" i="2"/>
  <c r="AK739" i="2"/>
  <c r="AG739" i="2"/>
  <c r="AH739" i="2"/>
  <c r="AI739" i="2"/>
  <c r="AJ739" i="2"/>
  <c r="AF740" i="2"/>
  <c r="AK740" i="2"/>
  <c r="AG740" i="2"/>
  <c r="AH740" i="2"/>
  <c r="AI740" i="2"/>
  <c r="AJ740" i="2"/>
  <c r="AF741" i="2"/>
  <c r="AK741" i="2"/>
  <c r="AG741" i="2"/>
  <c r="AH741" i="2"/>
  <c r="AI741" i="2"/>
  <c r="AJ741" i="2"/>
  <c r="AF742" i="2"/>
  <c r="AK742" i="2"/>
  <c r="AG742" i="2"/>
  <c r="AH742" i="2"/>
  <c r="AI742" i="2"/>
  <c r="AJ742" i="2"/>
  <c r="AF743" i="2"/>
  <c r="AK743" i="2"/>
  <c r="AG743" i="2"/>
  <c r="AH743" i="2"/>
  <c r="AI743" i="2"/>
  <c r="AJ743" i="2"/>
  <c r="AF744" i="2"/>
  <c r="AK744" i="2"/>
  <c r="AG744" i="2"/>
  <c r="AH744" i="2"/>
  <c r="AI744" i="2"/>
  <c r="AJ744" i="2"/>
  <c r="AF745" i="2"/>
  <c r="AK745" i="2"/>
  <c r="AG745" i="2"/>
  <c r="AH745" i="2"/>
  <c r="AI745" i="2"/>
  <c r="AJ745" i="2"/>
  <c r="AF746" i="2"/>
  <c r="AK746" i="2"/>
  <c r="AG746" i="2"/>
  <c r="AH746" i="2"/>
  <c r="AI746" i="2"/>
  <c r="AJ746" i="2"/>
  <c r="AF747" i="2"/>
  <c r="AK747" i="2"/>
  <c r="AG747" i="2"/>
  <c r="AH747" i="2"/>
  <c r="AI747" i="2"/>
  <c r="AJ747" i="2"/>
  <c r="AF748" i="2"/>
  <c r="AK748" i="2"/>
  <c r="AG748" i="2"/>
  <c r="AH748" i="2"/>
  <c r="AI748" i="2"/>
  <c r="AJ748" i="2"/>
  <c r="AF749" i="2"/>
  <c r="AK749" i="2"/>
  <c r="AG749" i="2"/>
  <c r="AH749" i="2"/>
  <c r="AI749" i="2"/>
  <c r="AJ749" i="2"/>
  <c r="AF750" i="2"/>
  <c r="AK750" i="2"/>
  <c r="AG750" i="2"/>
  <c r="AH750" i="2"/>
  <c r="AI750" i="2"/>
  <c r="AJ750" i="2"/>
  <c r="AF751" i="2"/>
  <c r="AK751" i="2"/>
  <c r="AG751" i="2"/>
  <c r="AH751" i="2"/>
  <c r="AI751" i="2"/>
  <c r="AJ751" i="2"/>
  <c r="AF752" i="2"/>
  <c r="AK752" i="2"/>
  <c r="AG752" i="2"/>
  <c r="AH752" i="2"/>
  <c r="AI752" i="2"/>
  <c r="AJ752" i="2"/>
  <c r="AF753" i="2"/>
  <c r="AK753" i="2"/>
  <c r="AG753" i="2"/>
  <c r="AH753" i="2"/>
  <c r="AI753" i="2"/>
  <c r="AJ753" i="2"/>
  <c r="AF754" i="2"/>
  <c r="AK754" i="2"/>
  <c r="AG754" i="2"/>
  <c r="AH754" i="2"/>
  <c r="AI754" i="2"/>
  <c r="AJ754" i="2"/>
  <c r="AF755" i="2"/>
  <c r="AK755" i="2"/>
  <c r="AG755" i="2"/>
  <c r="AH755" i="2"/>
  <c r="AI755" i="2"/>
  <c r="AJ755" i="2"/>
  <c r="AF756" i="2"/>
  <c r="AK756" i="2"/>
  <c r="AG756" i="2"/>
  <c r="AH756" i="2"/>
  <c r="AI756" i="2"/>
  <c r="AJ756" i="2"/>
  <c r="AF757" i="2"/>
  <c r="AK757" i="2"/>
  <c r="AG757" i="2"/>
  <c r="AH757" i="2"/>
  <c r="AI757" i="2"/>
  <c r="AJ757" i="2"/>
  <c r="AF758" i="2"/>
  <c r="AK758" i="2"/>
  <c r="AG758" i="2"/>
  <c r="AH758" i="2"/>
  <c r="AI758" i="2"/>
  <c r="AJ758" i="2"/>
  <c r="AF759" i="2"/>
  <c r="AK759" i="2"/>
  <c r="AG759" i="2"/>
  <c r="AH759" i="2"/>
  <c r="AI759" i="2"/>
  <c r="AJ759" i="2"/>
  <c r="AF760" i="2"/>
  <c r="AK760" i="2"/>
  <c r="AG760" i="2"/>
  <c r="AH760" i="2"/>
  <c r="AI760" i="2"/>
  <c r="AJ760" i="2"/>
  <c r="AF761" i="2"/>
  <c r="AK761" i="2"/>
  <c r="AG761" i="2"/>
  <c r="AH761" i="2"/>
  <c r="AI761" i="2"/>
  <c r="AJ761" i="2"/>
  <c r="AF762" i="2"/>
  <c r="AK762" i="2"/>
  <c r="AG762" i="2"/>
  <c r="AH762" i="2"/>
  <c r="AI762" i="2"/>
  <c r="AJ762" i="2"/>
  <c r="AF763" i="2"/>
  <c r="AK763" i="2"/>
  <c r="AG763" i="2"/>
  <c r="AH763" i="2"/>
  <c r="AI763" i="2"/>
  <c r="AJ763" i="2"/>
  <c r="AF764" i="2"/>
  <c r="AK764" i="2"/>
  <c r="AG764" i="2"/>
  <c r="AH764" i="2"/>
  <c r="AI764" i="2"/>
  <c r="AJ764" i="2"/>
  <c r="AF765" i="2"/>
  <c r="AK765" i="2"/>
  <c r="AG765" i="2"/>
  <c r="AH765" i="2"/>
  <c r="AI765" i="2"/>
  <c r="AJ765" i="2"/>
  <c r="AF766" i="2"/>
  <c r="AK766" i="2"/>
  <c r="AG766" i="2"/>
  <c r="AH766" i="2"/>
  <c r="AI766" i="2"/>
  <c r="AJ766" i="2"/>
  <c r="AF767" i="2"/>
  <c r="AK767" i="2"/>
  <c r="AG767" i="2"/>
  <c r="AH767" i="2"/>
  <c r="AI767" i="2"/>
  <c r="AJ767" i="2"/>
  <c r="AF768" i="2"/>
  <c r="AK768" i="2"/>
  <c r="AG768" i="2"/>
  <c r="AH768" i="2"/>
  <c r="AI768" i="2"/>
  <c r="AJ768" i="2"/>
  <c r="AF769" i="2"/>
  <c r="AK769" i="2"/>
  <c r="AG769" i="2"/>
  <c r="AH769" i="2"/>
  <c r="AI769" i="2"/>
  <c r="AJ769" i="2"/>
  <c r="AF770" i="2"/>
  <c r="AK770" i="2"/>
  <c r="AG770" i="2"/>
  <c r="AH770" i="2"/>
  <c r="AI770" i="2"/>
  <c r="AJ770" i="2"/>
  <c r="AF771" i="2"/>
  <c r="AK771" i="2"/>
  <c r="AG771" i="2"/>
  <c r="AH771" i="2"/>
  <c r="AI771" i="2"/>
  <c r="AJ771" i="2"/>
  <c r="AF772" i="2"/>
  <c r="AK772" i="2"/>
  <c r="AG772" i="2"/>
  <c r="AH772" i="2"/>
  <c r="AI772" i="2"/>
  <c r="AJ772" i="2"/>
  <c r="AF773" i="2"/>
  <c r="AK773" i="2"/>
  <c r="AG773" i="2"/>
  <c r="AH773" i="2"/>
  <c r="AI773" i="2"/>
  <c r="AJ773" i="2"/>
  <c r="AF774" i="2"/>
  <c r="AK774" i="2"/>
  <c r="AG774" i="2"/>
  <c r="AH774" i="2"/>
  <c r="AI774" i="2"/>
  <c r="AJ774" i="2"/>
  <c r="AF775" i="2"/>
  <c r="AK775" i="2"/>
  <c r="AG775" i="2"/>
  <c r="AH775" i="2"/>
  <c r="AI775" i="2"/>
  <c r="AJ775" i="2"/>
  <c r="AF776" i="2"/>
  <c r="AK776" i="2"/>
  <c r="AG776" i="2"/>
  <c r="AH776" i="2"/>
  <c r="AI776" i="2"/>
  <c r="AJ776" i="2"/>
  <c r="AF777" i="2"/>
  <c r="AK777" i="2"/>
  <c r="AG777" i="2"/>
  <c r="AH777" i="2"/>
  <c r="AI777" i="2"/>
  <c r="AJ777" i="2"/>
  <c r="AF778" i="2"/>
  <c r="AK778" i="2"/>
  <c r="AG778" i="2"/>
  <c r="AH778" i="2"/>
  <c r="AI778" i="2"/>
  <c r="AJ778" i="2"/>
  <c r="AF779" i="2"/>
  <c r="AK779" i="2"/>
  <c r="AG779" i="2"/>
  <c r="AH779" i="2"/>
  <c r="AI779" i="2"/>
  <c r="AJ779" i="2"/>
  <c r="AF780" i="2"/>
  <c r="AK780" i="2"/>
  <c r="AG780" i="2"/>
  <c r="AH780" i="2"/>
  <c r="AI780" i="2"/>
  <c r="AJ780" i="2"/>
  <c r="AF781" i="2"/>
  <c r="AK781" i="2"/>
  <c r="AG781" i="2"/>
  <c r="AH781" i="2"/>
  <c r="AI781" i="2"/>
  <c r="AJ781" i="2"/>
  <c r="AF782" i="2"/>
  <c r="AK782" i="2"/>
  <c r="AG782" i="2"/>
  <c r="AH782" i="2"/>
  <c r="AI782" i="2"/>
  <c r="AJ782" i="2"/>
  <c r="AF783" i="2"/>
  <c r="AK783" i="2"/>
  <c r="AG783" i="2"/>
  <c r="AH783" i="2"/>
  <c r="AI783" i="2"/>
  <c r="AJ783" i="2"/>
  <c r="AF784" i="2"/>
  <c r="AK784" i="2"/>
  <c r="AG784" i="2"/>
  <c r="AH784" i="2"/>
  <c r="AI784" i="2"/>
  <c r="AJ784" i="2"/>
  <c r="AF785" i="2"/>
  <c r="AG785" i="2"/>
  <c r="AH785" i="2"/>
  <c r="AI785" i="2"/>
  <c r="AJ785" i="2"/>
  <c r="AK785" i="2"/>
  <c r="AF786" i="2"/>
  <c r="AK786" i="2"/>
  <c r="AG786" i="2"/>
  <c r="AH786" i="2"/>
  <c r="AI786" i="2"/>
  <c r="AJ786" i="2"/>
  <c r="AF787" i="2"/>
  <c r="AK787" i="2"/>
  <c r="AG787" i="2"/>
  <c r="AH787" i="2"/>
  <c r="AI787" i="2"/>
  <c r="AJ787" i="2"/>
  <c r="AF788" i="2"/>
  <c r="AK788" i="2"/>
  <c r="AG788" i="2"/>
  <c r="AH788" i="2"/>
  <c r="AI788" i="2"/>
  <c r="AJ788" i="2"/>
  <c r="AF789" i="2"/>
  <c r="AK789" i="2"/>
  <c r="AG789" i="2"/>
  <c r="AH789" i="2"/>
  <c r="AI789" i="2"/>
  <c r="AJ789" i="2"/>
  <c r="AF790" i="2"/>
  <c r="AK790" i="2"/>
  <c r="AG790" i="2"/>
  <c r="AH790" i="2"/>
  <c r="AI790" i="2"/>
  <c r="AJ790" i="2"/>
  <c r="AF791" i="2"/>
  <c r="AK791" i="2"/>
  <c r="AG791" i="2"/>
  <c r="AH791" i="2"/>
  <c r="AI791" i="2"/>
  <c r="AJ791" i="2"/>
  <c r="AF792" i="2"/>
  <c r="AK792" i="2"/>
  <c r="AG792" i="2"/>
  <c r="AH792" i="2"/>
  <c r="AI792" i="2"/>
  <c r="AJ792" i="2"/>
  <c r="AF793" i="2"/>
  <c r="AK793" i="2"/>
  <c r="AG793" i="2"/>
  <c r="AH793" i="2"/>
  <c r="AI793" i="2"/>
  <c r="AJ793" i="2"/>
  <c r="AF794" i="2"/>
  <c r="AK794" i="2"/>
  <c r="AG794" i="2"/>
  <c r="AH794" i="2"/>
  <c r="AI794" i="2"/>
  <c r="AJ794" i="2"/>
  <c r="AF795" i="2"/>
  <c r="AK795" i="2"/>
  <c r="AG795" i="2"/>
  <c r="AH795" i="2"/>
  <c r="AI795" i="2"/>
  <c r="AJ795" i="2"/>
  <c r="AF796" i="2"/>
  <c r="AK796" i="2"/>
  <c r="AG796" i="2"/>
  <c r="AH796" i="2"/>
  <c r="AI796" i="2"/>
  <c r="AJ796" i="2"/>
  <c r="AF797" i="2"/>
  <c r="AK797" i="2"/>
  <c r="AG797" i="2"/>
  <c r="AH797" i="2"/>
  <c r="AI797" i="2"/>
  <c r="AJ797" i="2"/>
  <c r="AF798" i="2"/>
  <c r="AK798" i="2"/>
  <c r="AG798" i="2"/>
  <c r="AH798" i="2"/>
  <c r="AI798" i="2"/>
  <c r="AJ798" i="2"/>
  <c r="AF799" i="2"/>
  <c r="AK799" i="2"/>
  <c r="AG799" i="2"/>
  <c r="AH799" i="2"/>
  <c r="AI799" i="2"/>
  <c r="AJ799" i="2"/>
  <c r="AF800" i="2"/>
  <c r="AK800" i="2"/>
  <c r="AG800" i="2"/>
  <c r="AH800" i="2"/>
  <c r="AI800" i="2"/>
  <c r="AJ800" i="2"/>
  <c r="AF801" i="2"/>
  <c r="AK801" i="2"/>
  <c r="AG801" i="2"/>
  <c r="AH801" i="2"/>
  <c r="AI801" i="2"/>
  <c r="AJ801" i="2"/>
  <c r="AF802" i="2"/>
  <c r="AK802" i="2"/>
  <c r="AG802" i="2"/>
  <c r="AH802" i="2"/>
  <c r="AI802" i="2"/>
  <c r="AJ802" i="2"/>
  <c r="AF803" i="2"/>
  <c r="AK803" i="2"/>
  <c r="AG803" i="2"/>
  <c r="AH803" i="2"/>
  <c r="AI803" i="2"/>
  <c r="AJ803" i="2"/>
  <c r="AF804" i="2"/>
  <c r="AK804" i="2"/>
  <c r="AG804" i="2"/>
  <c r="AH804" i="2"/>
  <c r="AI804" i="2"/>
  <c r="AJ804" i="2"/>
  <c r="AF805" i="2"/>
  <c r="AK805" i="2"/>
  <c r="AG805" i="2"/>
  <c r="AH805" i="2"/>
  <c r="AI805" i="2"/>
  <c r="AJ805" i="2"/>
  <c r="AF806" i="2"/>
  <c r="AK806" i="2"/>
  <c r="AG806" i="2"/>
  <c r="AH806" i="2"/>
  <c r="AI806" i="2"/>
  <c r="AJ806" i="2"/>
  <c r="AF807" i="2"/>
  <c r="AK807" i="2"/>
  <c r="AG807" i="2"/>
  <c r="AH807" i="2"/>
  <c r="AI807" i="2"/>
  <c r="AJ807" i="2"/>
  <c r="AF808" i="2"/>
  <c r="AK808" i="2"/>
  <c r="AG808" i="2"/>
  <c r="AH808" i="2"/>
  <c r="AI808" i="2"/>
  <c r="AJ808" i="2"/>
  <c r="AF809" i="2"/>
  <c r="AK809" i="2"/>
  <c r="AG809" i="2"/>
  <c r="AH809" i="2"/>
  <c r="AI809" i="2"/>
  <c r="AJ809" i="2"/>
  <c r="AF810" i="2"/>
  <c r="AK810" i="2"/>
  <c r="AG810" i="2"/>
  <c r="AH810" i="2"/>
  <c r="AI810" i="2"/>
  <c r="AJ810" i="2"/>
  <c r="AF811" i="2"/>
  <c r="AK811" i="2"/>
  <c r="AG811" i="2"/>
  <c r="AH811" i="2"/>
  <c r="AI811" i="2"/>
  <c r="AJ811" i="2"/>
  <c r="AF812" i="2"/>
  <c r="AK812" i="2"/>
  <c r="AG812" i="2"/>
  <c r="AH812" i="2"/>
  <c r="AI812" i="2"/>
  <c r="AJ812" i="2"/>
  <c r="AF813" i="2"/>
  <c r="AK813" i="2"/>
  <c r="AG813" i="2"/>
  <c r="AH813" i="2"/>
  <c r="AI813" i="2"/>
  <c r="AJ813" i="2"/>
  <c r="AF814" i="2"/>
  <c r="AK814" i="2"/>
  <c r="AG814" i="2"/>
  <c r="AH814" i="2"/>
  <c r="AI814" i="2"/>
  <c r="AJ814" i="2"/>
  <c r="AF815" i="2"/>
  <c r="AK815" i="2"/>
  <c r="AG815" i="2"/>
  <c r="AH815" i="2"/>
  <c r="AI815" i="2"/>
  <c r="AJ815" i="2"/>
  <c r="AF816" i="2"/>
  <c r="AK816" i="2"/>
  <c r="AG816" i="2"/>
  <c r="AH816" i="2"/>
  <c r="AI816" i="2"/>
  <c r="AJ816" i="2"/>
  <c r="AF817" i="2"/>
  <c r="AK817" i="2"/>
  <c r="AG817" i="2"/>
  <c r="AH817" i="2"/>
  <c r="AI817" i="2"/>
  <c r="AJ817" i="2"/>
  <c r="AF818" i="2"/>
  <c r="AK818" i="2"/>
  <c r="AG818" i="2"/>
  <c r="AH818" i="2"/>
  <c r="AI818" i="2"/>
  <c r="AJ818" i="2"/>
  <c r="AF819" i="2"/>
  <c r="AK819" i="2"/>
  <c r="AG819" i="2"/>
  <c r="AH819" i="2"/>
  <c r="AI819" i="2"/>
  <c r="AJ819" i="2"/>
  <c r="AF820" i="2"/>
  <c r="AK820" i="2"/>
  <c r="AG820" i="2"/>
  <c r="AH820" i="2"/>
  <c r="AI820" i="2"/>
  <c r="AJ820" i="2"/>
  <c r="AF821" i="2"/>
  <c r="AK821" i="2"/>
  <c r="AG821" i="2"/>
  <c r="AH821" i="2"/>
  <c r="AI821" i="2"/>
  <c r="AJ821" i="2"/>
  <c r="AF822" i="2"/>
  <c r="AK822" i="2"/>
  <c r="AG822" i="2"/>
  <c r="AH822" i="2"/>
  <c r="AI822" i="2"/>
  <c r="AJ822" i="2"/>
  <c r="AF823" i="2"/>
  <c r="AK823" i="2"/>
  <c r="AG823" i="2"/>
  <c r="AH823" i="2"/>
  <c r="AI823" i="2"/>
  <c r="AJ823" i="2"/>
  <c r="AF824" i="2"/>
  <c r="AK824" i="2"/>
  <c r="AG824" i="2"/>
  <c r="AH824" i="2"/>
  <c r="AI824" i="2"/>
  <c r="AJ824" i="2"/>
  <c r="AF825" i="2"/>
  <c r="AK825" i="2"/>
  <c r="AG825" i="2"/>
  <c r="AH825" i="2"/>
  <c r="AI825" i="2"/>
  <c r="AJ825" i="2"/>
  <c r="AF826" i="2"/>
  <c r="AK826" i="2"/>
  <c r="AG826" i="2"/>
  <c r="AH826" i="2"/>
  <c r="AI826" i="2"/>
  <c r="AJ826" i="2"/>
  <c r="AF827" i="2"/>
  <c r="AK827" i="2"/>
  <c r="AG827" i="2"/>
  <c r="AH827" i="2"/>
  <c r="AI827" i="2"/>
  <c r="AJ827" i="2"/>
  <c r="AF828" i="2"/>
  <c r="AK828" i="2"/>
  <c r="AG828" i="2"/>
  <c r="AH828" i="2"/>
  <c r="AI828" i="2"/>
  <c r="AJ828" i="2"/>
  <c r="AF829" i="2"/>
  <c r="AK829" i="2"/>
  <c r="AG829" i="2"/>
  <c r="AH829" i="2"/>
  <c r="AI829" i="2"/>
  <c r="AJ829" i="2"/>
  <c r="AF830" i="2"/>
  <c r="AK830" i="2"/>
  <c r="AG830" i="2"/>
  <c r="AH830" i="2"/>
  <c r="AI830" i="2"/>
  <c r="AJ830" i="2"/>
  <c r="AF831" i="2"/>
  <c r="AK831" i="2"/>
  <c r="AG831" i="2"/>
  <c r="AH831" i="2"/>
  <c r="AI831" i="2"/>
  <c r="AJ831" i="2"/>
  <c r="AF832" i="2"/>
  <c r="AK832" i="2"/>
  <c r="AG832" i="2"/>
  <c r="AH832" i="2"/>
  <c r="AI832" i="2"/>
  <c r="AJ832" i="2"/>
  <c r="AF833" i="2"/>
  <c r="AK833" i="2"/>
  <c r="AG833" i="2"/>
  <c r="AH833" i="2"/>
  <c r="AI833" i="2"/>
  <c r="AJ833" i="2"/>
  <c r="AF834" i="2"/>
  <c r="AK834" i="2"/>
  <c r="AG834" i="2"/>
  <c r="AH834" i="2"/>
  <c r="AI834" i="2"/>
  <c r="AJ834" i="2"/>
  <c r="AF835" i="2"/>
  <c r="AK835" i="2"/>
  <c r="AG835" i="2"/>
  <c r="AH835" i="2"/>
  <c r="AI835" i="2"/>
  <c r="AJ835" i="2"/>
  <c r="AF836" i="2"/>
  <c r="AK836" i="2"/>
  <c r="AG836" i="2"/>
  <c r="AH836" i="2"/>
  <c r="AI836" i="2"/>
  <c r="AJ836" i="2"/>
  <c r="AF837" i="2"/>
  <c r="AK837" i="2"/>
  <c r="AG837" i="2"/>
  <c r="AH837" i="2"/>
  <c r="AI837" i="2"/>
  <c r="AJ837" i="2"/>
  <c r="AF838" i="2"/>
  <c r="AK838" i="2"/>
  <c r="AG838" i="2"/>
  <c r="AH838" i="2"/>
  <c r="AI838" i="2"/>
  <c r="AJ838" i="2"/>
  <c r="AF839" i="2"/>
  <c r="AK839" i="2"/>
  <c r="AG839" i="2"/>
  <c r="AH839" i="2"/>
  <c r="AI839" i="2"/>
  <c r="AJ839" i="2"/>
  <c r="AF840" i="2"/>
  <c r="AK840" i="2"/>
  <c r="AG840" i="2"/>
  <c r="AH840" i="2"/>
  <c r="AI840" i="2"/>
  <c r="AJ840" i="2"/>
  <c r="AF841" i="2"/>
  <c r="AK841" i="2"/>
  <c r="AG841" i="2"/>
  <c r="AH841" i="2"/>
  <c r="AI841" i="2"/>
  <c r="AJ841" i="2"/>
  <c r="AF842" i="2"/>
  <c r="AK842" i="2"/>
  <c r="AG842" i="2"/>
  <c r="AH842" i="2"/>
  <c r="AI842" i="2"/>
  <c r="AJ842" i="2"/>
  <c r="AF843" i="2"/>
  <c r="AK843" i="2"/>
  <c r="AG843" i="2"/>
  <c r="AH843" i="2"/>
  <c r="AI843" i="2"/>
  <c r="AJ843" i="2"/>
  <c r="AF844" i="2"/>
  <c r="AK844" i="2"/>
  <c r="AG844" i="2"/>
  <c r="AH844" i="2"/>
  <c r="AI844" i="2"/>
  <c r="AJ844" i="2"/>
  <c r="AF845" i="2"/>
  <c r="AK845" i="2"/>
  <c r="AG845" i="2"/>
  <c r="AH845" i="2"/>
  <c r="AI845" i="2"/>
  <c r="AJ845" i="2"/>
  <c r="AF846" i="2"/>
  <c r="AK846" i="2"/>
  <c r="AG846" i="2"/>
  <c r="AH846" i="2"/>
  <c r="AI846" i="2"/>
  <c r="AJ846" i="2"/>
  <c r="AF847" i="2"/>
  <c r="AK847" i="2"/>
  <c r="AG847" i="2"/>
  <c r="AH847" i="2"/>
  <c r="AI847" i="2"/>
  <c r="AJ847" i="2"/>
  <c r="AF848" i="2"/>
  <c r="AK848" i="2"/>
  <c r="AG848" i="2"/>
  <c r="AH848" i="2"/>
  <c r="AI848" i="2"/>
  <c r="AJ848" i="2"/>
  <c r="AF849" i="2"/>
  <c r="AK849" i="2"/>
  <c r="AG849" i="2"/>
  <c r="AH849" i="2"/>
  <c r="AI849" i="2"/>
  <c r="AJ849" i="2"/>
  <c r="AF850" i="2"/>
  <c r="AK850" i="2"/>
  <c r="AG850" i="2"/>
  <c r="AH850" i="2"/>
  <c r="AI850" i="2"/>
  <c r="AJ850" i="2"/>
  <c r="AF851" i="2"/>
  <c r="AK851" i="2"/>
  <c r="AG851" i="2"/>
  <c r="AH851" i="2"/>
  <c r="AI851" i="2"/>
  <c r="AJ851" i="2"/>
  <c r="AF852" i="2"/>
  <c r="AK852" i="2"/>
  <c r="AG852" i="2"/>
  <c r="AH852" i="2"/>
  <c r="AI852" i="2"/>
  <c r="AJ852" i="2"/>
  <c r="AF853" i="2"/>
  <c r="AK853" i="2"/>
  <c r="AG853" i="2"/>
  <c r="AH853" i="2"/>
  <c r="AI853" i="2"/>
  <c r="AJ853" i="2"/>
  <c r="AF854" i="2"/>
  <c r="AK854" i="2"/>
  <c r="AG854" i="2"/>
  <c r="AH854" i="2"/>
  <c r="AI854" i="2"/>
  <c r="AJ854" i="2"/>
  <c r="AF855" i="2"/>
  <c r="AK855" i="2"/>
  <c r="AG855" i="2"/>
  <c r="AH855" i="2"/>
  <c r="AI855" i="2"/>
  <c r="AJ855" i="2"/>
  <c r="AF856" i="2"/>
  <c r="AK856" i="2"/>
  <c r="AG856" i="2"/>
  <c r="AH856" i="2"/>
  <c r="AI856" i="2"/>
  <c r="AJ856" i="2"/>
  <c r="AF857" i="2"/>
  <c r="AK857" i="2"/>
  <c r="AG857" i="2"/>
  <c r="AH857" i="2"/>
  <c r="AI857" i="2"/>
  <c r="AJ857" i="2"/>
  <c r="AF858" i="2"/>
  <c r="AK858" i="2"/>
  <c r="AG858" i="2"/>
  <c r="AH858" i="2"/>
  <c r="AI858" i="2"/>
  <c r="AJ858" i="2"/>
  <c r="AF859" i="2"/>
  <c r="AK859" i="2"/>
  <c r="AG859" i="2"/>
  <c r="AH859" i="2"/>
  <c r="AI859" i="2"/>
  <c r="AJ859" i="2"/>
  <c r="AF860" i="2"/>
  <c r="AK860" i="2"/>
  <c r="AG860" i="2"/>
  <c r="AH860" i="2"/>
  <c r="AI860" i="2"/>
  <c r="AJ860" i="2"/>
  <c r="AF861" i="2"/>
  <c r="AK861" i="2"/>
  <c r="AG861" i="2"/>
  <c r="AH861" i="2"/>
  <c r="AI861" i="2"/>
  <c r="AJ861" i="2"/>
  <c r="AF862" i="2"/>
  <c r="AK862" i="2"/>
  <c r="AG862" i="2"/>
  <c r="AH862" i="2"/>
  <c r="AI862" i="2"/>
  <c r="AJ862" i="2"/>
  <c r="AF863" i="2"/>
  <c r="AK863" i="2"/>
  <c r="AG863" i="2"/>
  <c r="AH863" i="2"/>
  <c r="AI863" i="2"/>
  <c r="AJ863" i="2"/>
  <c r="AF864" i="2"/>
  <c r="AK864" i="2"/>
  <c r="AG864" i="2"/>
  <c r="AH864" i="2"/>
  <c r="AI864" i="2"/>
  <c r="AJ864" i="2"/>
  <c r="AF865" i="2"/>
  <c r="AK865" i="2"/>
  <c r="AG865" i="2"/>
  <c r="AH865" i="2"/>
  <c r="AI865" i="2"/>
  <c r="AJ865" i="2"/>
  <c r="AF866" i="2"/>
  <c r="AK866" i="2"/>
  <c r="AG866" i="2"/>
  <c r="AH866" i="2"/>
  <c r="AI866" i="2"/>
  <c r="AJ866" i="2"/>
  <c r="AF867" i="2"/>
  <c r="AK867" i="2"/>
  <c r="AG867" i="2"/>
  <c r="AH867" i="2"/>
  <c r="AI867" i="2"/>
  <c r="AJ867" i="2"/>
  <c r="AF868" i="2"/>
  <c r="AK868" i="2"/>
  <c r="AG868" i="2"/>
  <c r="AH868" i="2"/>
  <c r="AI868" i="2"/>
  <c r="AJ868" i="2"/>
  <c r="AF869" i="2"/>
  <c r="AK869" i="2"/>
  <c r="AG869" i="2"/>
  <c r="AH869" i="2"/>
  <c r="AI869" i="2"/>
  <c r="AJ869" i="2"/>
  <c r="AF870" i="2"/>
  <c r="AK870" i="2"/>
  <c r="AG870" i="2"/>
  <c r="AH870" i="2"/>
  <c r="AI870" i="2"/>
  <c r="AJ870" i="2"/>
  <c r="AF871" i="2"/>
  <c r="AK871" i="2"/>
  <c r="AG871" i="2"/>
  <c r="AH871" i="2"/>
  <c r="AI871" i="2"/>
  <c r="AJ871" i="2"/>
  <c r="AF872" i="2"/>
  <c r="AK872" i="2"/>
  <c r="AG872" i="2"/>
  <c r="AH872" i="2"/>
  <c r="AI872" i="2"/>
  <c r="AJ872" i="2"/>
  <c r="AF873" i="2"/>
  <c r="AK873" i="2"/>
  <c r="AG873" i="2"/>
  <c r="AH873" i="2"/>
  <c r="AI873" i="2"/>
  <c r="AJ873" i="2"/>
  <c r="AF874" i="2"/>
  <c r="AK874" i="2"/>
  <c r="AG874" i="2"/>
  <c r="AH874" i="2"/>
  <c r="AI874" i="2"/>
  <c r="AJ874" i="2"/>
  <c r="AF875" i="2"/>
  <c r="AK875" i="2"/>
  <c r="AG875" i="2"/>
  <c r="AH875" i="2"/>
  <c r="AI875" i="2"/>
  <c r="AJ875" i="2"/>
  <c r="AF876" i="2"/>
  <c r="AK876" i="2"/>
  <c r="AG876" i="2"/>
  <c r="AH876" i="2"/>
  <c r="AI876" i="2"/>
  <c r="AJ876" i="2"/>
  <c r="AF877" i="2"/>
  <c r="AK877" i="2"/>
  <c r="AG877" i="2"/>
  <c r="AH877" i="2"/>
  <c r="AI877" i="2"/>
  <c r="AJ877" i="2"/>
  <c r="AF878" i="2"/>
  <c r="AK878" i="2"/>
  <c r="AG878" i="2"/>
  <c r="AH878" i="2"/>
  <c r="AI878" i="2"/>
  <c r="AJ878" i="2"/>
  <c r="AF879" i="2"/>
  <c r="AK879" i="2"/>
  <c r="AG879" i="2"/>
  <c r="AH879" i="2"/>
  <c r="AI879" i="2"/>
  <c r="AJ879" i="2"/>
  <c r="AF880" i="2"/>
  <c r="AK880" i="2"/>
  <c r="AG880" i="2"/>
  <c r="AH880" i="2"/>
  <c r="AI880" i="2"/>
  <c r="AJ880" i="2"/>
  <c r="AF881" i="2"/>
  <c r="AK881" i="2"/>
  <c r="AG881" i="2"/>
  <c r="AH881" i="2"/>
  <c r="AI881" i="2"/>
  <c r="AJ881" i="2"/>
  <c r="AF882" i="2"/>
  <c r="AK882" i="2"/>
  <c r="AG882" i="2"/>
  <c r="AH882" i="2"/>
  <c r="AI882" i="2"/>
  <c r="AJ882" i="2"/>
  <c r="AF883" i="2"/>
  <c r="AK883" i="2"/>
  <c r="AG883" i="2"/>
  <c r="AH883" i="2"/>
  <c r="AI883" i="2"/>
  <c r="AJ883" i="2"/>
  <c r="AF884" i="2"/>
  <c r="AK884" i="2"/>
  <c r="AG884" i="2"/>
  <c r="AH884" i="2"/>
  <c r="AI884" i="2"/>
  <c r="AJ884" i="2"/>
  <c r="AF885" i="2"/>
  <c r="AK885" i="2"/>
  <c r="AG885" i="2"/>
  <c r="AH885" i="2"/>
  <c r="AI885" i="2"/>
  <c r="AJ885" i="2"/>
  <c r="AF886" i="2"/>
  <c r="AK886" i="2"/>
  <c r="AG886" i="2"/>
  <c r="AH886" i="2"/>
  <c r="AI886" i="2"/>
  <c r="AJ886" i="2"/>
  <c r="AF887" i="2"/>
  <c r="AK887" i="2"/>
  <c r="AG887" i="2"/>
  <c r="AH887" i="2"/>
  <c r="AI887" i="2"/>
  <c r="AJ887" i="2"/>
  <c r="AF888" i="2"/>
  <c r="AK888" i="2"/>
  <c r="AG888" i="2"/>
  <c r="AH888" i="2"/>
  <c r="AI888" i="2"/>
  <c r="AJ888" i="2"/>
  <c r="AF889" i="2"/>
  <c r="AK889" i="2"/>
  <c r="AG889" i="2"/>
  <c r="AH889" i="2"/>
  <c r="AI889" i="2"/>
  <c r="AJ889" i="2"/>
  <c r="AF890" i="2"/>
  <c r="AK890" i="2"/>
  <c r="AG890" i="2"/>
  <c r="AH890" i="2"/>
  <c r="AI890" i="2"/>
  <c r="AJ890" i="2"/>
  <c r="AF891" i="2"/>
  <c r="AK891" i="2"/>
  <c r="AG891" i="2"/>
  <c r="AH891" i="2"/>
  <c r="AI891" i="2"/>
  <c r="AJ891" i="2"/>
  <c r="AF892" i="2"/>
  <c r="AK892" i="2"/>
  <c r="AG892" i="2"/>
  <c r="AH892" i="2"/>
  <c r="AI892" i="2"/>
  <c r="AJ892" i="2"/>
  <c r="AF893" i="2"/>
  <c r="AK893" i="2"/>
  <c r="AG893" i="2"/>
  <c r="AH893" i="2"/>
  <c r="AI893" i="2"/>
  <c r="AJ893" i="2"/>
  <c r="AF894" i="2"/>
  <c r="AK894" i="2"/>
  <c r="AG894" i="2"/>
  <c r="AH894" i="2"/>
  <c r="AI894" i="2"/>
  <c r="AJ894" i="2"/>
  <c r="AF895" i="2"/>
  <c r="AK895" i="2"/>
  <c r="AG895" i="2"/>
  <c r="AH895" i="2"/>
  <c r="AI895" i="2"/>
  <c r="AJ895" i="2"/>
  <c r="AF896" i="2"/>
  <c r="AK896" i="2"/>
  <c r="AG896" i="2"/>
  <c r="AH896" i="2"/>
  <c r="AI896" i="2"/>
  <c r="AJ896" i="2"/>
  <c r="AF897" i="2"/>
  <c r="AK897" i="2"/>
  <c r="AG897" i="2"/>
  <c r="AH897" i="2"/>
  <c r="AI897" i="2"/>
  <c r="AJ897" i="2"/>
  <c r="AF898" i="2"/>
  <c r="AK898" i="2"/>
  <c r="AG898" i="2"/>
  <c r="AH898" i="2"/>
  <c r="AI898" i="2"/>
  <c r="AJ898" i="2"/>
  <c r="AF899" i="2"/>
  <c r="AK899" i="2"/>
  <c r="AG899" i="2"/>
  <c r="AH899" i="2"/>
  <c r="AI899" i="2"/>
  <c r="AJ899" i="2"/>
  <c r="AF900" i="2"/>
  <c r="AK900" i="2"/>
  <c r="AG900" i="2"/>
  <c r="AH900" i="2"/>
  <c r="AI900" i="2"/>
  <c r="AJ900" i="2"/>
  <c r="AF901" i="2"/>
  <c r="AK901" i="2"/>
  <c r="AG901" i="2"/>
  <c r="AH901" i="2"/>
  <c r="AI901" i="2"/>
  <c r="AJ901" i="2"/>
  <c r="AF902" i="2"/>
  <c r="AK902" i="2"/>
  <c r="AG902" i="2"/>
  <c r="AH902" i="2"/>
  <c r="AI902" i="2"/>
  <c r="AJ902" i="2"/>
  <c r="AF903" i="2"/>
  <c r="AK903" i="2"/>
  <c r="AG903" i="2"/>
  <c r="AH903" i="2"/>
  <c r="AI903" i="2"/>
  <c r="AJ903" i="2"/>
  <c r="AF904" i="2"/>
  <c r="AK904" i="2"/>
  <c r="AG904" i="2"/>
  <c r="AH904" i="2"/>
  <c r="AI904" i="2"/>
  <c r="AJ904" i="2"/>
  <c r="AF905" i="2"/>
  <c r="AK905" i="2"/>
  <c r="AG905" i="2"/>
  <c r="AH905" i="2"/>
  <c r="AI905" i="2"/>
  <c r="AJ905" i="2"/>
  <c r="AF906" i="2"/>
  <c r="AK906" i="2"/>
  <c r="AG906" i="2"/>
  <c r="AH906" i="2"/>
  <c r="AI906" i="2"/>
  <c r="AJ906" i="2"/>
  <c r="AF907" i="2"/>
  <c r="AK907" i="2"/>
  <c r="AG907" i="2"/>
  <c r="AH907" i="2"/>
  <c r="AI907" i="2"/>
  <c r="AJ907" i="2"/>
  <c r="AF908" i="2"/>
  <c r="AK908" i="2"/>
  <c r="AG908" i="2"/>
  <c r="AH908" i="2"/>
  <c r="AI908" i="2"/>
  <c r="AJ908" i="2"/>
  <c r="AF909" i="2"/>
  <c r="AK909" i="2"/>
  <c r="AG909" i="2"/>
  <c r="AH909" i="2"/>
  <c r="AI909" i="2"/>
  <c r="AJ909" i="2"/>
  <c r="AF910" i="2"/>
  <c r="AK910" i="2"/>
  <c r="AG910" i="2"/>
  <c r="AH910" i="2"/>
  <c r="AI910" i="2"/>
  <c r="AJ910" i="2"/>
  <c r="AF911" i="2"/>
  <c r="AK911" i="2"/>
  <c r="AG911" i="2"/>
  <c r="AH911" i="2"/>
  <c r="AI911" i="2"/>
  <c r="AJ911" i="2"/>
  <c r="AF912" i="2"/>
  <c r="AK912" i="2"/>
  <c r="AG912" i="2"/>
  <c r="AH912" i="2"/>
  <c r="AI912" i="2"/>
  <c r="AJ912" i="2"/>
  <c r="AF913" i="2"/>
  <c r="AK913" i="2"/>
  <c r="AG913" i="2"/>
  <c r="AH913" i="2"/>
  <c r="AI913" i="2"/>
  <c r="AJ913" i="2"/>
  <c r="AF914" i="2"/>
  <c r="AK914" i="2"/>
  <c r="AG914" i="2"/>
  <c r="AH914" i="2"/>
  <c r="AI914" i="2"/>
  <c r="AJ914" i="2"/>
  <c r="AF915" i="2"/>
  <c r="AK915" i="2"/>
  <c r="AG915" i="2"/>
  <c r="AH915" i="2"/>
  <c r="AI915" i="2"/>
  <c r="AJ915" i="2"/>
  <c r="AF916" i="2"/>
  <c r="AK916" i="2"/>
  <c r="AG916" i="2"/>
  <c r="AH916" i="2"/>
  <c r="AI916" i="2"/>
  <c r="AJ916" i="2"/>
  <c r="AF917" i="2"/>
  <c r="AK917" i="2"/>
  <c r="AG917" i="2"/>
  <c r="AH917" i="2"/>
  <c r="AI917" i="2"/>
  <c r="AJ917" i="2"/>
  <c r="AF918" i="2"/>
  <c r="AK918" i="2"/>
  <c r="AG918" i="2"/>
  <c r="AH918" i="2"/>
  <c r="AI918" i="2"/>
  <c r="AJ918" i="2"/>
  <c r="AF919" i="2"/>
  <c r="AK919" i="2"/>
  <c r="AG919" i="2"/>
  <c r="AH919" i="2"/>
  <c r="AI919" i="2"/>
  <c r="AJ919" i="2"/>
  <c r="AF920" i="2"/>
  <c r="AK920" i="2"/>
  <c r="AG920" i="2"/>
  <c r="AH920" i="2"/>
  <c r="AI920" i="2"/>
  <c r="AJ920" i="2"/>
  <c r="AF921" i="2"/>
  <c r="AK921" i="2"/>
  <c r="AG921" i="2"/>
  <c r="AH921" i="2"/>
  <c r="AI921" i="2"/>
  <c r="AJ921" i="2"/>
  <c r="AF922" i="2"/>
  <c r="AK922" i="2"/>
  <c r="AG922" i="2"/>
  <c r="AH922" i="2"/>
  <c r="AI922" i="2"/>
  <c r="AJ922" i="2"/>
  <c r="AF923" i="2"/>
  <c r="AK923" i="2"/>
  <c r="AG923" i="2"/>
  <c r="AH923" i="2"/>
  <c r="AI923" i="2"/>
  <c r="AJ923" i="2"/>
  <c r="AF924" i="2"/>
  <c r="AK924" i="2"/>
  <c r="AG924" i="2"/>
  <c r="AH924" i="2"/>
  <c r="AI924" i="2"/>
  <c r="AJ924" i="2"/>
  <c r="AF925" i="2"/>
  <c r="AK925" i="2"/>
  <c r="AG925" i="2"/>
  <c r="AH925" i="2"/>
  <c r="AI925" i="2"/>
  <c r="AJ925" i="2"/>
  <c r="AF926" i="2"/>
  <c r="AK926" i="2" s="1"/>
  <c r="AG926" i="2"/>
  <c r="AH926" i="2"/>
  <c r="AI926" i="2"/>
  <c r="AJ926" i="2"/>
  <c r="AF927" i="2"/>
  <c r="AK927" i="2" s="1"/>
  <c r="AG927" i="2"/>
  <c r="AH927" i="2"/>
  <c r="AI927" i="2"/>
  <c r="AJ927" i="2"/>
  <c r="AF928" i="2"/>
  <c r="AK928" i="2" s="1"/>
  <c r="AG928" i="2"/>
  <c r="AH928" i="2"/>
  <c r="AI928" i="2"/>
  <c r="AJ928" i="2"/>
  <c r="AF929" i="2"/>
  <c r="AK929" i="2" s="1"/>
  <c r="AG929" i="2"/>
  <c r="AH929" i="2"/>
  <c r="AI929" i="2"/>
  <c r="AJ929" i="2"/>
  <c r="AF930" i="2"/>
  <c r="AK930" i="2" s="1"/>
  <c r="AG930" i="2"/>
  <c r="AH930" i="2"/>
  <c r="AI930" i="2"/>
  <c r="AJ930" i="2"/>
  <c r="AF931" i="2"/>
  <c r="AK931" i="2" s="1"/>
  <c r="AG931" i="2"/>
  <c r="AH931" i="2"/>
  <c r="AI931" i="2"/>
  <c r="AJ931" i="2"/>
  <c r="AF932" i="2"/>
  <c r="AK932" i="2" s="1"/>
  <c r="AG932" i="2"/>
  <c r="AH932" i="2"/>
  <c r="AI932" i="2"/>
  <c r="AJ932" i="2"/>
  <c r="AF933" i="2"/>
  <c r="AK933" i="2" s="1"/>
  <c r="AG933" i="2"/>
  <c r="AH933" i="2"/>
  <c r="AI933" i="2"/>
  <c r="AJ933" i="2"/>
  <c r="AF934" i="2"/>
  <c r="AK934" i="2" s="1"/>
  <c r="AG934" i="2"/>
  <c r="AH934" i="2"/>
  <c r="AI934" i="2"/>
  <c r="AJ934" i="2"/>
  <c r="AF935" i="2"/>
  <c r="AK935" i="2" s="1"/>
  <c r="AG935" i="2"/>
  <c r="AH935" i="2"/>
  <c r="AI935" i="2"/>
  <c r="AJ935" i="2"/>
  <c r="AF936" i="2"/>
  <c r="AK936" i="2" s="1"/>
  <c r="AG936" i="2"/>
  <c r="AH936" i="2"/>
  <c r="AI936" i="2"/>
  <c r="AJ936" i="2"/>
  <c r="AF937" i="2"/>
  <c r="AK937" i="2" s="1"/>
  <c r="AG937" i="2"/>
  <c r="AH937" i="2"/>
  <c r="AI937" i="2"/>
  <c r="AJ937" i="2"/>
  <c r="AF938" i="2"/>
  <c r="AK938" i="2" s="1"/>
  <c r="AG938" i="2"/>
  <c r="AH938" i="2"/>
  <c r="AI938" i="2"/>
  <c r="AJ938" i="2"/>
  <c r="AF939" i="2"/>
  <c r="AK939" i="2" s="1"/>
  <c r="AG939" i="2"/>
  <c r="AH939" i="2"/>
  <c r="AI939" i="2"/>
  <c r="AJ939" i="2"/>
  <c r="AF940" i="2"/>
  <c r="AK940" i="2" s="1"/>
  <c r="AG940" i="2"/>
  <c r="AH940" i="2"/>
  <c r="AI940" i="2"/>
  <c r="AJ940" i="2"/>
  <c r="AF941" i="2"/>
  <c r="AK941" i="2" s="1"/>
  <c r="AG941" i="2"/>
  <c r="AH941" i="2"/>
  <c r="AI941" i="2"/>
  <c r="AJ941" i="2"/>
  <c r="AF942" i="2"/>
  <c r="AK942" i="2" s="1"/>
  <c r="AG942" i="2"/>
  <c r="AH942" i="2"/>
  <c r="AI942" i="2"/>
  <c r="AJ942" i="2"/>
  <c r="AF943" i="2"/>
  <c r="AK943" i="2" s="1"/>
  <c r="AG943" i="2"/>
  <c r="AH943" i="2"/>
  <c r="AI943" i="2"/>
  <c r="AJ943" i="2"/>
  <c r="AF944" i="2"/>
  <c r="AK944" i="2" s="1"/>
  <c r="AG944" i="2"/>
  <c r="AH944" i="2"/>
  <c r="AI944" i="2"/>
  <c r="AJ944" i="2"/>
  <c r="AF945" i="2"/>
  <c r="AK945" i="2" s="1"/>
  <c r="AG945" i="2"/>
  <c r="AH945" i="2"/>
  <c r="AI945" i="2"/>
  <c r="AJ945" i="2"/>
  <c r="AF946" i="2"/>
  <c r="AK946" i="2" s="1"/>
  <c r="AG946" i="2"/>
  <c r="AH946" i="2"/>
  <c r="AI946" i="2"/>
  <c r="AJ946" i="2"/>
  <c r="AF947" i="2"/>
  <c r="AK947" i="2" s="1"/>
  <c r="AG947" i="2"/>
  <c r="AL947" i="2" s="1"/>
  <c r="AH947" i="2"/>
  <c r="AI947" i="2"/>
  <c r="AJ947" i="2"/>
  <c r="AF948" i="2"/>
  <c r="AK948" i="2"/>
  <c r="AG948" i="2"/>
  <c r="AH948" i="2"/>
  <c r="AI948" i="2"/>
  <c r="AJ948" i="2"/>
  <c r="AF949" i="2"/>
  <c r="AK949" i="2"/>
  <c r="AG949" i="2"/>
  <c r="AH949" i="2"/>
  <c r="AI949" i="2"/>
  <c r="AJ949" i="2"/>
  <c r="AF950" i="2"/>
  <c r="AK950" i="2"/>
  <c r="AG950" i="2"/>
  <c r="AH950" i="2"/>
  <c r="AI950" i="2"/>
  <c r="AL950" i="2" s="1"/>
  <c r="AJ950" i="2"/>
  <c r="AF951" i="2"/>
  <c r="AK951" i="2" s="1"/>
  <c r="AG951" i="2"/>
  <c r="AH951" i="2"/>
  <c r="AI951" i="2"/>
  <c r="AJ951" i="2"/>
  <c r="AF952" i="2"/>
  <c r="AK952" i="2" s="1"/>
  <c r="AG952" i="2"/>
  <c r="AH952" i="2"/>
  <c r="AI952" i="2"/>
  <c r="AJ952" i="2"/>
  <c r="AF953" i="2"/>
  <c r="AK953" i="2" s="1"/>
  <c r="AG953" i="2"/>
  <c r="AH953" i="2"/>
  <c r="AI953" i="2"/>
  <c r="AJ953" i="2"/>
  <c r="AF954" i="2"/>
  <c r="AK954" i="2" s="1"/>
  <c r="AG954" i="2"/>
  <c r="AH954" i="2"/>
  <c r="AI954" i="2"/>
  <c r="AJ954" i="2"/>
  <c r="AF955" i="2"/>
  <c r="AK955" i="2" s="1"/>
  <c r="AG955" i="2"/>
  <c r="AH955" i="2"/>
  <c r="AI955" i="2"/>
  <c r="AJ955" i="2"/>
  <c r="AF956" i="2"/>
  <c r="AK956" i="2" s="1"/>
  <c r="AG956" i="2"/>
  <c r="AH956" i="2"/>
  <c r="AI956" i="2"/>
  <c r="AJ956" i="2"/>
  <c r="AF957" i="2"/>
  <c r="AK957" i="2" s="1"/>
  <c r="AG957" i="2"/>
  <c r="AH957" i="2"/>
  <c r="AI957" i="2"/>
  <c r="AJ957" i="2"/>
  <c r="AF958" i="2"/>
  <c r="AK958" i="2" s="1"/>
  <c r="AG958" i="2"/>
  <c r="AH958" i="2"/>
  <c r="AI958" i="2"/>
  <c r="AJ958" i="2"/>
  <c r="AF959" i="2"/>
  <c r="AK959" i="2" s="1"/>
  <c r="AG959" i="2"/>
  <c r="AH959" i="2"/>
  <c r="AI959" i="2"/>
  <c r="AJ959" i="2"/>
  <c r="AF960" i="2"/>
  <c r="AK960" i="2" s="1"/>
  <c r="AG960" i="2"/>
  <c r="AH960" i="2"/>
  <c r="AI960" i="2"/>
  <c r="AJ960" i="2"/>
  <c r="AF961" i="2"/>
  <c r="AK961" i="2" s="1"/>
  <c r="AG961" i="2"/>
  <c r="AH961" i="2"/>
  <c r="AI961" i="2"/>
  <c r="AJ961" i="2"/>
  <c r="AF962" i="2"/>
  <c r="AK962" i="2" s="1"/>
  <c r="AG962" i="2"/>
  <c r="AH962" i="2"/>
  <c r="AI962" i="2"/>
  <c r="AJ962" i="2"/>
  <c r="AF963" i="2"/>
  <c r="AK963" i="2" s="1"/>
  <c r="AG963" i="2"/>
  <c r="AH963" i="2"/>
  <c r="AI963" i="2"/>
  <c r="AJ963" i="2"/>
  <c r="AF964" i="2"/>
  <c r="AK964" i="2" s="1"/>
  <c r="AG964" i="2"/>
  <c r="AH964" i="2"/>
  <c r="AI964" i="2"/>
  <c r="AJ964" i="2"/>
  <c r="AF965" i="2"/>
  <c r="AK965" i="2" s="1"/>
  <c r="AG965" i="2"/>
  <c r="AH965" i="2"/>
  <c r="AI965" i="2"/>
  <c r="AJ965" i="2"/>
  <c r="AF966" i="2"/>
  <c r="AK966" i="2" s="1"/>
  <c r="AG966" i="2"/>
  <c r="AH966" i="2"/>
  <c r="AI966" i="2"/>
  <c r="AJ966" i="2"/>
  <c r="AF967" i="2"/>
  <c r="AK967" i="2" s="1"/>
  <c r="AG967" i="2"/>
  <c r="AL967" i="2" s="1"/>
  <c r="AH967" i="2"/>
  <c r="AI967" i="2"/>
  <c r="AJ967" i="2"/>
  <c r="AF968" i="2"/>
  <c r="AK968" i="2"/>
  <c r="AG968" i="2"/>
  <c r="AH968" i="2"/>
  <c r="AI968" i="2"/>
  <c r="AJ968" i="2"/>
  <c r="AF969" i="2"/>
  <c r="AK969" i="2"/>
  <c r="AG969" i="2"/>
  <c r="AH969" i="2"/>
  <c r="AI969" i="2"/>
  <c r="AJ969" i="2"/>
  <c r="AF970" i="2"/>
  <c r="AK970" i="2"/>
  <c r="AG970" i="2"/>
  <c r="AH970" i="2"/>
  <c r="AI970" i="2"/>
  <c r="AJ970" i="2"/>
  <c r="AF971" i="2"/>
  <c r="AK971" i="2"/>
  <c r="AG971" i="2"/>
  <c r="AH971" i="2"/>
  <c r="AI971" i="2"/>
  <c r="AJ971" i="2"/>
  <c r="AF972" i="2"/>
  <c r="AK972" i="2"/>
  <c r="AG972" i="2"/>
  <c r="AH972" i="2"/>
  <c r="AI972" i="2"/>
  <c r="AJ972" i="2"/>
  <c r="AF973" i="2"/>
  <c r="AK973" i="2"/>
  <c r="AG973" i="2"/>
  <c r="AH973" i="2"/>
  <c r="AI973" i="2"/>
  <c r="AJ973" i="2"/>
  <c r="AF974" i="2"/>
  <c r="AK974" i="2"/>
  <c r="AG974" i="2"/>
  <c r="AH974" i="2"/>
  <c r="AI974" i="2"/>
  <c r="AJ974" i="2"/>
  <c r="AF975" i="2"/>
  <c r="AK975" i="2"/>
  <c r="AG975" i="2"/>
  <c r="AH975" i="2"/>
  <c r="AI975" i="2"/>
  <c r="AJ975" i="2"/>
  <c r="AF976" i="2"/>
  <c r="AK976" i="2"/>
  <c r="AG976" i="2"/>
  <c r="AH976" i="2"/>
  <c r="AI976" i="2"/>
  <c r="AJ976" i="2"/>
  <c r="AF977" i="2"/>
  <c r="AK977" i="2"/>
  <c r="AG977" i="2"/>
  <c r="AH977" i="2"/>
  <c r="AI977" i="2"/>
  <c r="AJ977" i="2"/>
  <c r="AF978" i="2"/>
  <c r="AK978" i="2"/>
  <c r="AG978" i="2"/>
  <c r="AH978" i="2"/>
  <c r="AI978" i="2"/>
  <c r="AJ978" i="2"/>
  <c r="AF979" i="2"/>
  <c r="AK979" i="2"/>
  <c r="AG979" i="2"/>
  <c r="AH979" i="2"/>
  <c r="AI979" i="2"/>
  <c r="AJ979" i="2"/>
  <c r="AF980" i="2"/>
  <c r="AK980" i="2"/>
  <c r="AG980" i="2"/>
  <c r="AH980" i="2"/>
  <c r="AI980" i="2"/>
  <c r="AJ980" i="2"/>
  <c r="AF981" i="2"/>
  <c r="AK981" i="2"/>
  <c r="AG981" i="2"/>
  <c r="AH981" i="2"/>
  <c r="AI981" i="2"/>
  <c r="AJ981" i="2"/>
  <c r="AF982" i="2"/>
  <c r="AK982" i="2"/>
  <c r="AG982" i="2"/>
  <c r="AH982" i="2"/>
  <c r="AI982" i="2"/>
  <c r="AJ982" i="2"/>
  <c r="AF983" i="2"/>
  <c r="AK983" i="2"/>
  <c r="AG983" i="2"/>
  <c r="AH983" i="2"/>
  <c r="AI983" i="2"/>
  <c r="AJ983" i="2"/>
  <c r="AF984" i="2"/>
  <c r="AK984" i="2" s="1"/>
  <c r="AG984" i="2"/>
  <c r="AH984" i="2"/>
  <c r="AI984" i="2"/>
  <c r="AJ984" i="2"/>
  <c r="AF985" i="2"/>
  <c r="AK985" i="2" s="1"/>
  <c r="AG985" i="2"/>
  <c r="AH985" i="2"/>
  <c r="AI985" i="2"/>
  <c r="AJ985" i="2"/>
  <c r="AF986" i="2"/>
  <c r="AK986" i="2" s="1"/>
  <c r="AG986" i="2"/>
  <c r="AH986" i="2"/>
  <c r="AI986" i="2"/>
  <c r="AJ986" i="2"/>
  <c r="AF987" i="2"/>
  <c r="AK987" i="2" s="1"/>
  <c r="AG987" i="2"/>
  <c r="AH987" i="2"/>
  <c r="AI987" i="2"/>
  <c r="AJ987" i="2"/>
  <c r="AF988" i="2"/>
  <c r="AK988" i="2" s="1"/>
  <c r="AG988" i="2"/>
  <c r="AH988" i="2"/>
  <c r="AI988" i="2"/>
  <c r="AJ988" i="2"/>
  <c r="AF989" i="2"/>
  <c r="AK989" i="2" s="1"/>
  <c r="AG989" i="2"/>
  <c r="AH989" i="2"/>
  <c r="AI989" i="2"/>
  <c r="AJ989" i="2"/>
  <c r="AF990" i="2"/>
  <c r="AK990" i="2" s="1"/>
  <c r="AG990" i="2"/>
  <c r="AH990" i="2"/>
  <c r="AI990" i="2"/>
  <c r="AJ990" i="2"/>
  <c r="AF991" i="2"/>
  <c r="AK991" i="2" s="1"/>
  <c r="AG991" i="2"/>
  <c r="AH991" i="2"/>
  <c r="AI991" i="2"/>
  <c r="AJ991" i="2"/>
  <c r="AF992" i="2"/>
  <c r="AK992" i="2" s="1"/>
  <c r="AG992" i="2"/>
  <c r="AH992" i="2"/>
  <c r="AI992" i="2"/>
  <c r="AJ992" i="2"/>
  <c r="AF993" i="2"/>
  <c r="AK993" i="2" s="1"/>
  <c r="AG993" i="2"/>
  <c r="AH993" i="2"/>
  <c r="AI993" i="2"/>
  <c r="AJ993" i="2"/>
  <c r="AF994" i="2"/>
  <c r="AK994" i="2" s="1"/>
  <c r="AG994" i="2"/>
  <c r="AH994" i="2"/>
  <c r="AI994" i="2"/>
  <c r="AJ994" i="2"/>
  <c r="AF995" i="2"/>
  <c r="AK995" i="2" s="1"/>
  <c r="AG995" i="2"/>
  <c r="AH995" i="2"/>
  <c r="AI995" i="2"/>
  <c r="AJ995" i="2"/>
  <c r="AF996" i="2"/>
  <c r="AK996" i="2" s="1"/>
  <c r="AG996" i="2"/>
  <c r="AH996" i="2"/>
  <c r="AI996" i="2"/>
  <c r="AJ996" i="2"/>
  <c r="AF997" i="2"/>
  <c r="AK997" i="2" s="1"/>
  <c r="AG997" i="2"/>
  <c r="AH997" i="2"/>
  <c r="AI997" i="2"/>
  <c r="AJ997" i="2"/>
  <c r="AF998" i="2"/>
  <c r="AK998" i="2" s="1"/>
  <c r="AG998" i="2"/>
  <c r="AL998" i="2" s="1"/>
  <c r="AH998" i="2"/>
  <c r="AI998" i="2"/>
  <c r="AJ998" i="2"/>
  <c r="AF999" i="2"/>
  <c r="AK999" i="2"/>
  <c r="AG999" i="2"/>
  <c r="AH999" i="2"/>
  <c r="AI999" i="2"/>
  <c r="AJ999" i="2"/>
  <c r="AF1000" i="2"/>
  <c r="AK1000" i="2"/>
  <c r="AG1000" i="2"/>
  <c r="AH1000" i="2"/>
  <c r="AI1000" i="2"/>
  <c r="AJ1000" i="2"/>
  <c r="AF1001" i="2"/>
  <c r="AK1001" i="2"/>
  <c r="AG1001" i="2"/>
  <c r="AL1001" i="2" s="1"/>
  <c r="AH1001" i="2"/>
  <c r="AI1001" i="2"/>
  <c r="AJ1001" i="2"/>
  <c r="AF1002" i="2"/>
  <c r="AK1002" i="2" s="1"/>
  <c r="AG1002" i="2"/>
  <c r="AH1002" i="2"/>
  <c r="AI1002" i="2"/>
  <c r="AJ1002" i="2"/>
  <c r="AF1003" i="2"/>
  <c r="AK1003" i="2" s="1"/>
  <c r="AG1003" i="2"/>
  <c r="AH1003" i="2"/>
  <c r="AI1003" i="2"/>
  <c r="AJ1003" i="2"/>
  <c r="AF1004" i="2"/>
  <c r="AK1004" i="2" s="1"/>
  <c r="AG1004" i="2"/>
  <c r="AH1004" i="2"/>
  <c r="AI1004" i="2"/>
  <c r="AJ1004" i="2"/>
  <c r="AF1005" i="2"/>
  <c r="AK1005" i="2" s="1"/>
  <c r="AG1005" i="2"/>
  <c r="AH1005" i="2"/>
  <c r="AI1005" i="2"/>
  <c r="AJ1005" i="2"/>
  <c r="AF1006" i="2"/>
  <c r="AK1006" i="2" s="1"/>
  <c r="AG1006" i="2"/>
  <c r="AH1006" i="2"/>
  <c r="AI1006" i="2"/>
  <c r="AJ1006" i="2"/>
  <c r="AF1007" i="2"/>
  <c r="AK1007" i="2" s="1"/>
  <c r="AG1007" i="2"/>
  <c r="AH1007" i="2"/>
  <c r="AI1007" i="2"/>
  <c r="AJ1007" i="2"/>
  <c r="AF1008" i="2"/>
  <c r="AK1008" i="2" s="1"/>
  <c r="AG1008" i="2"/>
  <c r="AH1008" i="2"/>
  <c r="AI1008" i="2"/>
  <c r="AJ1008" i="2"/>
  <c r="AF1009" i="2"/>
  <c r="AK1009" i="2" s="1"/>
  <c r="AG1009" i="2"/>
  <c r="AH1009" i="2"/>
  <c r="AI1009" i="2"/>
  <c r="AJ1009" i="2"/>
  <c r="AF1010" i="2"/>
  <c r="AK1010" i="2" s="1"/>
  <c r="AG1010" i="2"/>
  <c r="AH1010" i="2"/>
  <c r="AI1010" i="2"/>
  <c r="AJ1010" i="2"/>
  <c r="AF1011" i="2"/>
  <c r="AK1011" i="2" s="1"/>
  <c r="AG1011" i="2"/>
  <c r="AH1011" i="2"/>
  <c r="AI1011" i="2"/>
  <c r="AJ1011" i="2"/>
  <c r="AF1012" i="2"/>
  <c r="AK1012" i="2" s="1"/>
  <c r="AG1012" i="2"/>
  <c r="AH1012" i="2"/>
  <c r="AI1012" i="2"/>
  <c r="AJ1012" i="2"/>
  <c r="AF1013" i="2"/>
  <c r="AK1013" i="2" s="1"/>
  <c r="AG1013" i="2"/>
  <c r="AH1013" i="2"/>
  <c r="AI1013" i="2"/>
  <c r="AJ1013" i="2"/>
  <c r="AF1014" i="2"/>
  <c r="AK1014" i="2" s="1"/>
  <c r="AG1014" i="2"/>
  <c r="AH1014" i="2"/>
  <c r="AI1014" i="2"/>
  <c r="AJ1014" i="2"/>
  <c r="AF1015" i="2"/>
  <c r="AK1015" i="2" s="1"/>
  <c r="AG1015" i="2"/>
  <c r="AH1015" i="2"/>
  <c r="AI1015" i="2"/>
  <c r="AJ1015" i="2"/>
  <c r="AF1016" i="2"/>
  <c r="AK1016" i="2" s="1"/>
  <c r="AG1016" i="2"/>
  <c r="AH1016" i="2"/>
  <c r="AI1016" i="2"/>
  <c r="AJ1016" i="2"/>
  <c r="AF1017" i="2"/>
  <c r="AK1017" i="2" s="1"/>
  <c r="AG1017" i="2"/>
  <c r="AH1017" i="2"/>
  <c r="AI1017" i="2"/>
  <c r="AJ1017" i="2"/>
  <c r="AF1018" i="2"/>
  <c r="AK1018" i="2" s="1"/>
  <c r="AG1018" i="2"/>
  <c r="AH1018" i="2"/>
  <c r="AI1018" i="2"/>
  <c r="AJ1018" i="2"/>
  <c r="AF1019" i="2"/>
  <c r="AK1019" i="2"/>
  <c r="AG1019" i="2"/>
  <c r="AH1019" i="2"/>
  <c r="AI1019" i="2"/>
  <c r="AJ1019" i="2"/>
  <c r="AF1020" i="2"/>
  <c r="AK1020" i="2" s="1"/>
  <c r="AG1020" i="2"/>
  <c r="AH1020" i="2"/>
  <c r="AI1020" i="2"/>
  <c r="AJ1020" i="2"/>
  <c r="AF1021" i="2"/>
  <c r="AK1021" i="2"/>
  <c r="AG1021" i="2"/>
  <c r="AH1021" i="2"/>
  <c r="AI1021" i="2"/>
  <c r="AJ1021" i="2"/>
  <c r="AF1022" i="2"/>
  <c r="AK1022" i="2" s="1"/>
  <c r="AG1022" i="2"/>
  <c r="AH1022" i="2"/>
  <c r="AI1022" i="2"/>
  <c r="AJ1022" i="2"/>
  <c r="AF1023" i="2"/>
  <c r="AK1023" i="2"/>
  <c r="AG1023" i="2"/>
  <c r="AH1023" i="2"/>
  <c r="AI1023" i="2"/>
  <c r="AJ1023" i="2"/>
  <c r="AF1024" i="2"/>
  <c r="AK1024" i="2" s="1"/>
  <c r="AG1024" i="2"/>
  <c r="AH1024" i="2"/>
  <c r="AI1024" i="2"/>
  <c r="AJ1024" i="2"/>
  <c r="AF1025" i="2"/>
  <c r="AK1025" i="2"/>
  <c r="AG1025" i="2"/>
  <c r="AH1025" i="2"/>
  <c r="AI1025" i="2"/>
  <c r="AJ1025" i="2"/>
  <c r="AF1026" i="2"/>
  <c r="AK1026" i="2" s="1"/>
  <c r="AG1026" i="2"/>
  <c r="AH1026" i="2"/>
  <c r="AI1026" i="2"/>
  <c r="AJ1026" i="2"/>
  <c r="AF1027" i="2"/>
  <c r="AK1027" i="2"/>
  <c r="AG1027" i="2"/>
  <c r="AH1027" i="2"/>
  <c r="AI1027" i="2"/>
  <c r="AJ1027" i="2"/>
  <c r="AF1028" i="2"/>
  <c r="AK1028" i="2" s="1"/>
  <c r="AG1028" i="2"/>
  <c r="AH1028" i="2"/>
  <c r="AI1028" i="2"/>
  <c r="AJ1028" i="2"/>
  <c r="AF1029" i="2"/>
  <c r="AK1029" i="2"/>
  <c r="AG1029" i="2"/>
  <c r="AH1029" i="2"/>
  <c r="AI1029" i="2"/>
  <c r="AJ1029" i="2"/>
  <c r="AF1030" i="2"/>
  <c r="AK1030" i="2" s="1"/>
  <c r="AG1030" i="2"/>
  <c r="AH1030" i="2"/>
  <c r="AI1030" i="2"/>
  <c r="AJ1030" i="2"/>
  <c r="AF1031" i="2"/>
  <c r="AK1031" i="2"/>
  <c r="AG1031" i="2"/>
  <c r="AH1031" i="2"/>
  <c r="AI1031" i="2"/>
  <c r="AJ1031" i="2"/>
  <c r="AF1032" i="2"/>
  <c r="AK1032" i="2" s="1"/>
  <c r="AG1032" i="2"/>
  <c r="AH1032" i="2"/>
  <c r="AI1032" i="2"/>
  <c r="AJ1032" i="2"/>
  <c r="AF1033" i="2"/>
  <c r="AK1033" i="2"/>
  <c r="AG1033" i="2"/>
  <c r="AH1033" i="2"/>
  <c r="AI1033" i="2"/>
  <c r="AJ1033" i="2"/>
  <c r="AF1034" i="2"/>
  <c r="AK1034" i="2" s="1"/>
  <c r="AG1034" i="2"/>
  <c r="AH1034" i="2"/>
  <c r="AI1034" i="2"/>
  <c r="AJ1034" i="2"/>
  <c r="AF1035" i="2"/>
  <c r="AK1035" i="2"/>
  <c r="AG1035" i="2"/>
  <c r="AH1035" i="2"/>
  <c r="AI1035" i="2"/>
  <c r="AJ1035" i="2"/>
  <c r="AF1036" i="2"/>
  <c r="AK1036" i="2" s="1"/>
  <c r="AG1036" i="2"/>
  <c r="AH1036" i="2"/>
  <c r="AI1036" i="2"/>
  <c r="AJ1036" i="2"/>
  <c r="AF1037" i="2"/>
  <c r="AK1037" i="2"/>
  <c r="AG1037" i="2"/>
  <c r="AH1037" i="2"/>
  <c r="AI1037" i="2"/>
  <c r="AJ1037" i="2"/>
  <c r="AF1038" i="2"/>
  <c r="AK1038" i="2" s="1"/>
  <c r="AG1038" i="2"/>
  <c r="AH1038" i="2"/>
  <c r="AI1038" i="2"/>
  <c r="AJ1038" i="2"/>
  <c r="AF1039" i="2"/>
  <c r="AK1039" i="2"/>
  <c r="AG1039" i="2"/>
  <c r="AH1039" i="2"/>
  <c r="AI1039" i="2"/>
  <c r="AJ1039" i="2"/>
  <c r="AF1040" i="2"/>
  <c r="AK1040" i="2" s="1"/>
  <c r="AG1040" i="2"/>
  <c r="AH1040" i="2"/>
  <c r="AI1040" i="2"/>
  <c r="AJ1040" i="2"/>
  <c r="AF1041" i="2"/>
  <c r="AK1041" i="2"/>
  <c r="AG1041" i="2"/>
  <c r="AH1041" i="2"/>
  <c r="AI1041" i="2"/>
  <c r="AJ1041" i="2"/>
  <c r="AF1042" i="2"/>
  <c r="AK1042" i="2" s="1"/>
  <c r="AG1042" i="2"/>
  <c r="AH1042" i="2"/>
  <c r="AI1042" i="2"/>
  <c r="AJ1042" i="2"/>
  <c r="AF1043" i="2"/>
  <c r="AK1043" i="2"/>
  <c r="AG1043" i="2"/>
  <c r="AH1043" i="2"/>
  <c r="AI1043" i="2"/>
  <c r="AJ1043" i="2"/>
  <c r="AF1044" i="2"/>
  <c r="AK1044" i="2" s="1"/>
  <c r="AG1044" i="2"/>
  <c r="AH1044" i="2"/>
  <c r="AI1044" i="2"/>
  <c r="AJ1044" i="2"/>
  <c r="AF1045" i="2"/>
  <c r="AK1045" i="2"/>
  <c r="AG1045" i="2"/>
  <c r="AH1045" i="2"/>
  <c r="AI1045" i="2"/>
  <c r="AJ1045" i="2"/>
  <c r="AF1046" i="2"/>
  <c r="AK1046" i="2" s="1"/>
  <c r="AG1046" i="2"/>
  <c r="AH1046" i="2"/>
  <c r="AI1046" i="2"/>
  <c r="AJ1046" i="2"/>
  <c r="AF1047" i="2"/>
  <c r="AK1047" i="2"/>
  <c r="AG1047" i="2"/>
  <c r="AH1047" i="2"/>
  <c r="AI1047" i="2"/>
  <c r="AJ1047" i="2"/>
  <c r="AF1048" i="2"/>
  <c r="AK1048" i="2" s="1"/>
  <c r="AG1048" i="2"/>
  <c r="AH1048" i="2"/>
  <c r="AI1048" i="2"/>
  <c r="AJ1048" i="2"/>
  <c r="AF1049" i="2"/>
  <c r="AK1049" i="2"/>
  <c r="AG1049" i="2"/>
  <c r="AH1049" i="2"/>
  <c r="AI1049" i="2"/>
  <c r="AJ1049" i="2"/>
  <c r="AF1050" i="2"/>
  <c r="AK1050" i="2" s="1"/>
  <c r="AG1050" i="2"/>
  <c r="AH1050" i="2"/>
  <c r="AI1050" i="2"/>
  <c r="AJ1050" i="2"/>
  <c r="AF1051" i="2"/>
  <c r="AK1051" i="2"/>
  <c r="AG1051" i="2"/>
  <c r="AH1051" i="2"/>
  <c r="AI1051" i="2"/>
  <c r="AJ1051" i="2"/>
  <c r="AF1052" i="2"/>
  <c r="AK1052" i="2" s="1"/>
  <c r="AG1052" i="2"/>
  <c r="AH1052" i="2"/>
  <c r="AI1052" i="2"/>
  <c r="AJ1052" i="2"/>
  <c r="AF1053" i="2"/>
  <c r="AK1053" i="2"/>
  <c r="AG1053" i="2"/>
  <c r="AH1053" i="2"/>
  <c r="AI1053" i="2"/>
  <c r="AJ1053" i="2"/>
  <c r="AF1054" i="2"/>
  <c r="AK1054" i="2" s="1"/>
  <c r="AG1054" i="2"/>
  <c r="AH1054" i="2"/>
  <c r="AI1054" i="2"/>
  <c r="AJ1054" i="2"/>
  <c r="AF1055" i="2"/>
  <c r="AK1055" i="2"/>
  <c r="AG1055" i="2"/>
  <c r="AH1055" i="2"/>
  <c r="AI1055" i="2"/>
  <c r="AJ1055" i="2"/>
  <c r="AF1056" i="2"/>
  <c r="AK1056" i="2" s="1"/>
  <c r="AG1056" i="2"/>
  <c r="AH1056" i="2"/>
  <c r="AI1056" i="2"/>
  <c r="AJ1056" i="2"/>
  <c r="AF1057" i="2"/>
  <c r="AK1057" i="2"/>
  <c r="AG1057" i="2"/>
  <c r="AH1057" i="2"/>
  <c r="AI1057" i="2"/>
  <c r="AJ1057" i="2"/>
  <c r="AF1058" i="2"/>
  <c r="AK1058" i="2" s="1"/>
  <c r="AG1058" i="2"/>
  <c r="AH1058" i="2"/>
  <c r="AI1058" i="2"/>
  <c r="AJ1058" i="2"/>
  <c r="AF1059" i="2"/>
  <c r="AK1059" i="2"/>
  <c r="AG1059" i="2"/>
  <c r="AH1059" i="2"/>
  <c r="AI1059" i="2"/>
  <c r="AJ1059" i="2"/>
  <c r="AF1060" i="2"/>
  <c r="AK1060" i="2" s="1"/>
  <c r="AG1060" i="2"/>
  <c r="AH1060" i="2"/>
  <c r="AI1060" i="2"/>
  <c r="AJ1060" i="2"/>
  <c r="AF1061" i="2"/>
  <c r="AK1061" i="2"/>
  <c r="AG1061" i="2"/>
  <c r="AH1061" i="2"/>
  <c r="AI1061" i="2"/>
  <c r="AJ1061" i="2"/>
  <c r="AF1062" i="2"/>
  <c r="AK1062" i="2" s="1"/>
  <c r="AG1062" i="2"/>
  <c r="AH1062" i="2"/>
  <c r="AI1062" i="2"/>
  <c r="AJ1062" i="2"/>
  <c r="AF1063" i="2"/>
  <c r="AK1063" i="2"/>
  <c r="AG1063" i="2"/>
  <c r="AH1063" i="2"/>
  <c r="AI1063" i="2"/>
  <c r="AJ1063" i="2"/>
  <c r="AF1064" i="2"/>
  <c r="AK1064" i="2" s="1"/>
  <c r="AG1064" i="2"/>
  <c r="AH1064" i="2"/>
  <c r="AI1064" i="2"/>
  <c r="AJ1064" i="2"/>
  <c r="AF1065" i="2"/>
  <c r="AK1065" i="2"/>
  <c r="AG1065" i="2"/>
  <c r="AH1065" i="2"/>
  <c r="AI1065" i="2"/>
  <c r="AJ1065" i="2"/>
  <c r="AF1066" i="2"/>
  <c r="AK1066" i="2" s="1"/>
  <c r="AG1066" i="2"/>
  <c r="AH1066" i="2"/>
  <c r="AI1066" i="2"/>
  <c r="AJ1066" i="2"/>
  <c r="AF1067" i="2"/>
  <c r="AK1067" i="2"/>
  <c r="AG1067" i="2"/>
  <c r="AH1067" i="2"/>
  <c r="AI1067" i="2"/>
  <c r="AJ1067" i="2"/>
  <c r="AF1068" i="2"/>
  <c r="AK1068" i="2" s="1"/>
  <c r="AG1068" i="2"/>
  <c r="AH1068" i="2"/>
  <c r="AI1068" i="2"/>
  <c r="AJ1068" i="2"/>
  <c r="AF1069" i="2"/>
  <c r="AK1069" i="2"/>
  <c r="AG1069" i="2"/>
  <c r="AH1069" i="2"/>
  <c r="AI1069" i="2"/>
  <c r="AJ1069" i="2"/>
  <c r="AF1070" i="2"/>
  <c r="AK1070" i="2" s="1"/>
  <c r="AG1070" i="2"/>
  <c r="AH1070" i="2"/>
  <c r="AI1070" i="2"/>
  <c r="AJ1070" i="2"/>
  <c r="AF1071" i="2"/>
  <c r="AK1071" i="2"/>
  <c r="AG1071" i="2"/>
  <c r="AH1071" i="2"/>
  <c r="AI1071" i="2"/>
  <c r="AJ1071" i="2"/>
  <c r="AF1072" i="2"/>
  <c r="AK1072" i="2" s="1"/>
  <c r="AG1072" i="2"/>
  <c r="AH1072" i="2"/>
  <c r="AI1072" i="2"/>
  <c r="AJ1072" i="2"/>
  <c r="AF1073" i="2"/>
  <c r="AK1073" i="2"/>
  <c r="AG1073" i="2"/>
  <c r="AH1073" i="2"/>
  <c r="AI1073" i="2"/>
  <c r="AJ1073" i="2"/>
  <c r="AF1074" i="2"/>
  <c r="AK1074" i="2" s="1"/>
  <c r="AG1074" i="2"/>
  <c r="AH1074" i="2"/>
  <c r="AI1074" i="2"/>
  <c r="AJ1074" i="2"/>
  <c r="AF1075" i="2"/>
  <c r="AK1075" i="2"/>
  <c r="AG1075" i="2"/>
  <c r="AH1075" i="2"/>
  <c r="AI1075" i="2"/>
  <c r="AJ1075" i="2"/>
  <c r="AF1076" i="2"/>
  <c r="AK1076" i="2" s="1"/>
  <c r="AG1076" i="2"/>
  <c r="AH1076" i="2"/>
  <c r="AI1076" i="2"/>
  <c r="AJ1076" i="2"/>
  <c r="AF1077" i="2"/>
  <c r="AK1077" i="2"/>
  <c r="AG1077" i="2"/>
  <c r="AH1077" i="2"/>
  <c r="AI1077" i="2"/>
  <c r="AJ1077" i="2"/>
  <c r="AF1078" i="2"/>
  <c r="AK1078" i="2" s="1"/>
  <c r="AG1078" i="2"/>
  <c r="AH1078" i="2"/>
  <c r="AI1078" i="2"/>
  <c r="AJ1078" i="2"/>
  <c r="AF1079" i="2"/>
  <c r="AK1079" i="2"/>
  <c r="AG1079" i="2"/>
  <c r="AH1079" i="2"/>
  <c r="AI1079" i="2"/>
  <c r="AJ1079" i="2"/>
  <c r="AF1080" i="2"/>
  <c r="AK1080" i="2" s="1"/>
  <c r="AG1080" i="2"/>
  <c r="AH1080" i="2"/>
  <c r="AI1080" i="2"/>
  <c r="AJ1080" i="2"/>
  <c r="AF1081" i="2"/>
  <c r="AK1081" i="2"/>
  <c r="AG1081" i="2"/>
  <c r="AH1081" i="2"/>
  <c r="AI1081" i="2"/>
  <c r="AJ1081" i="2"/>
  <c r="AF1082" i="2"/>
  <c r="AK1082" i="2" s="1"/>
  <c r="AG1082" i="2"/>
  <c r="AH1082" i="2"/>
  <c r="AI1082" i="2"/>
  <c r="AJ1082" i="2"/>
  <c r="AF1083" i="2"/>
  <c r="AK1083" i="2"/>
  <c r="AG1083" i="2"/>
  <c r="AH1083" i="2"/>
  <c r="AI1083" i="2"/>
  <c r="AJ1083" i="2"/>
  <c r="AF1084" i="2"/>
  <c r="AK1084" i="2" s="1"/>
  <c r="AG1084" i="2"/>
  <c r="AH1084" i="2"/>
  <c r="AI1084" i="2"/>
  <c r="AJ1084" i="2"/>
  <c r="AF1085" i="2"/>
  <c r="AK1085" i="2"/>
  <c r="AG1085" i="2"/>
  <c r="AH1085" i="2"/>
  <c r="AI1085" i="2"/>
  <c r="AJ1085" i="2"/>
  <c r="AF1086" i="2"/>
  <c r="AK1086" i="2" s="1"/>
  <c r="AG1086" i="2"/>
  <c r="AH1086" i="2"/>
  <c r="AI1086" i="2"/>
  <c r="AJ1086" i="2"/>
  <c r="AF1087" i="2"/>
  <c r="AK1087" i="2"/>
  <c r="AG1087" i="2"/>
  <c r="AH1087" i="2"/>
  <c r="AI1087" i="2"/>
  <c r="AJ1087" i="2"/>
  <c r="AF1088" i="2"/>
  <c r="AK1088" i="2" s="1"/>
  <c r="AG1088" i="2"/>
  <c r="AH1088" i="2"/>
  <c r="AI1088" i="2"/>
  <c r="AJ1088" i="2"/>
  <c r="AF1089" i="2"/>
  <c r="AK1089" i="2"/>
  <c r="AG1089" i="2"/>
  <c r="AH1089" i="2"/>
  <c r="AI1089" i="2"/>
  <c r="AJ1089" i="2"/>
  <c r="AF1090" i="2"/>
  <c r="AK1090" i="2"/>
  <c r="AG1090" i="2"/>
  <c r="AH1090" i="2"/>
  <c r="AI1090" i="2"/>
  <c r="AJ1090" i="2"/>
  <c r="AF1091" i="2"/>
  <c r="AK1091" i="2"/>
  <c r="AG1091" i="2"/>
  <c r="AH1091" i="2"/>
  <c r="AI1091" i="2"/>
  <c r="AJ1091" i="2"/>
  <c r="AF1092" i="2"/>
  <c r="AK1092" i="2"/>
  <c r="AG1092" i="2"/>
  <c r="AH1092" i="2"/>
  <c r="AI1092" i="2"/>
  <c r="AJ1092" i="2"/>
  <c r="AF1093" i="2"/>
  <c r="AK1093" i="2"/>
  <c r="AG1093" i="2"/>
  <c r="AH1093" i="2"/>
  <c r="AI1093" i="2"/>
  <c r="AJ1093" i="2"/>
  <c r="AF1094" i="2"/>
  <c r="AK1094" i="2"/>
  <c r="AG1094" i="2"/>
  <c r="AH1094" i="2"/>
  <c r="AI1094" i="2"/>
  <c r="AJ1094" i="2"/>
  <c r="AF1095" i="2"/>
  <c r="AK1095" i="2" s="1"/>
  <c r="AG1095" i="2"/>
  <c r="AH1095" i="2"/>
  <c r="AI1095" i="2"/>
  <c r="AJ1095" i="2"/>
  <c r="AF1096" i="2"/>
  <c r="AK1096" i="2"/>
  <c r="AG1096" i="2"/>
  <c r="AH1096" i="2"/>
  <c r="AI1096" i="2"/>
  <c r="AJ1096" i="2"/>
  <c r="AF1097" i="2"/>
  <c r="AK1097" i="2" s="1"/>
  <c r="AG1097" i="2"/>
  <c r="AH1097" i="2"/>
  <c r="AI1097" i="2"/>
  <c r="AJ1097" i="2"/>
  <c r="AF1098" i="2"/>
  <c r="AK1098" i="2"/>
  <c r="AG1098" i="2"/>
  <c r="AH1098" i="2"/>
  <c r="AI1098" i="2"/>
  <c r="AJ1098" i="2"/>
  <c r="AF1099" i="2"/>
  <c r="AK1099" i="2" s="1"/>
  <c r="AG1099" i="2"/>
  <c r="AH1099" i="2"/>
  <c r="AI1099" i="2"/>
  <c r="AJ1099" i="2"/>
  <c r="AF1100" i="2"/>
  <c r="AK1100" i="2"/>
  <c r="AG1100" i="2"/>
  <c r="AH1100" i="2"/>
  <c r="AI1100" i="2"/>
  <c r="AJ1100" i="2"/>
  <c r="AF1101" i="2"/>
  <c r="AK1101" i="2" s="1"/>
  <c r="AG1101" i="2"/>
  <c r="AH1101" i="2"/>
  <c r="AI1101" i="2"/>
  <c r="AJ1101" i="2"/>
  <c r="AF1102" i="2"/>
  <c r="AK1102" i="2"/>
  <c r="AG1102" i="2"/>
  <c r="AH1102" i="2"/>
  <c r="AI1102" i="2"/>
  <c r="AJ1102" i="2"/>
  <c r="AF1103" i="2"/>
  <c r="AK1103" i="2" s="1"/>
  <c r="AG1103" i="2"/>
  <c r="AH1103" i="2"/>
  <c r="AL1103" i="2" s="1"/>
  <c r="AI1103" i="2"/>
  <c r="AJ1103" i="2"/>
  <c r="AF1104" i="2"/>
  <c r="AK1104" i="2"/>
  <c r="AG1104" i="2"/>
  <c r="AH1104" i="2"/>
  <c r="AI1104" i="2"/>
  <c r="AJ1104" i="2"/>
  <c r="AF1105" i="2"/>
  <c r="AK1105" i="2"/>
  <c r="AG1105" i="2"/>
  <c r="AH1105" i="2"/>
  <c r="AI1105" i="2"/>
  <c r="AJ1105" i="2"/>
  <c r="AF1106" i="2"/>
  <c r="AK1106" i="2"/>
  <c r="AG1106" i="2"/>
  <c r="AH1106" i="2"/>
  <c r="AI1106" i="2"/>
  <c r="AJ1106" i="2"/>
  <c r="AF1107" i="2"/>
  <c r="AK1107" i="2"/>
  <c r="AG1107" i="2"/>
  <c r="AH1107" i="2"/>
  <c r="AI1107" i="2"/>
  <c r="AJ1107" i="2"/>
  <c r="AF1108" i="2"/>
  <c r="AK1108" i="2"/>
  <c r="AG1108" i="2"/>
  <c r="AH1108" i="2"/>
  <c r="AI1108" i="2"/>
  <c r="AJ1108" i="2"/>
  <c r="AF1109" i="2"/>
  <c r="AK1109" i="2"/>
  <c r="AG1109" i="2"/>
  <c r="AH1109" i="2"/>
  <c r="AI1109" i="2"/>
  <c r="AJ1109" i="2"/>
  <c r="AF1110" i="2"/>
  <c r="AK1110" i="2"/>
  <c r="AG1110" i="2"/>
  <c r="AH1110" i="2"/>
  <c r="AI1110" i="2"/>
  <c r="AJ1110" i="2"/>
  <c r="AF1111" i="2"/>
  <c r="AK1111" i="2"/>
  <c r="AG1111" i="2"/>
  <c r="AL1111" i="2"/>
  <c r="AH1111" i="2"/>
  <c r="AI1111" i="2"/>
  <c r="AJ1111" i="2"/>
  <c r="AF1112" i="2"/>
  <c r="AK1112" i="2" s="1"/>
  <c r="AG1112" i="2"/>
  <c r="AH1112" i="2"/>
  <c r="AI1112" i="2"/>
  <c r="AJ1112" i="2"/>
  <c r="AF1113" i="2"/>
  <c r="AK1113" i="2"/>
  <c r="AG1113" i="2"/>
  <c r="AH1113" i="2"/>
  <c r="AI1113" i="2"/>
  <c r="AJ1113" i="2"/>
  <c r="AF1114" i="2"/>
  <c r="AK1114" i="2" s="1"/>
  <c r="AG1114" i="2"/>
  <c r="AH1114" i="2"/>
  <c r="AI1114" i="2"/>
  <c r="AJ1114" i="2"/>
  <c r="AF1115" i="2"/>
  <c r="AK1115" i="2"/>
  <c r="AG1115" i="2"/>
  <c r="AH1115" i="2"/>
  <c r="AI1115" i="2"/>
  <c r="AJ1115" i="2"/>
  <c r="AF1116" i="2"/>
  <c r="AK1116" i="2" s="1"/>
  <c r="AG1116" i="2"/>
  <c r="AH1116" i="2"/>
  <c r="AI1116" i="2"/>
  <c r="AJ1116" i="2"/>
  <c r="AF1117" i="2"/>
  <c r="AK1117" i="2"/>
  <c r="AG1117" i="2"/>
  <c r="AH1117" i="2"/>
  <c r="AI1117" i="2"/>
  <c r="AJ1117" i="2"/>
  <c r="AF1118" i="2"/>
  <c r="AK1118" i="2" s="1"/>
  <c r="AG1118" i="2"/>
  <c r="AH1118" i="2"/>
  <c r="AI1118" i="2"/>
  <c r="AJ1118" i="2"/>
  <c r="AF1119" i="2"/>
  <c r="AK1119" i="2"/>
  <c r="AG1119" i="2"/>
  <c r="AH1119" i="2"/>
  <c r="AI1119" i="2"/>
  <c r="AJ1119" i="2"/>
  <c r="AF1120" i="2"/>
  <c r="AK1120" i="2" s="1"/>
  <c r="AG1120" i="2"/>
  <c r="AH1120" i="2"/>
  <c r="AI1120" i="2"/>
  <c r="AJ1120" i="2"/>
  <c r="AF1121" i="2"/>
  <c r="AK1121" i="2"/>
  <c r="AG1121" i="2"/>
  <c r="AH1121" i="2"/>
  <c r="AI1121" i="2"/>
  <c r="AJ1121" i="2"/>
  <c r="AF1122" i="2"/>
  <c r="AK1122" i="2" s="1"/>
  <c r="AG1122" i="2"/>
  <c r="AH1122" i="2"/>
  <c r="AI1122" i="2"/>
  <c r="AJ1122" i="2"/>
  <c r="AF1123" i="2"/>
  <c r="AK1123" i="2"/>
  <c r="AG1123" i="2"/>
  <c r="AH1123" i="2"/>
  <c r="AI1123" i="2"/>
  <c r="AJ1123" i="2"/>
  <c r="AF1124" i="2"/>
  <c r="AK1124" i="2" s="1"/>
  <c r="AG1124" i="2"/>
  <c r="AH1124" i="2"/>
  <c r="AI1124" i="2"/>
  <c r="AJ1124" i="2"/>
  <c r="AF1125" i="2"/>
  <c r="AK1125" i="2"/>
  <c r="AG1125" i="2"/>
  <c r="AH1125" i="2"/>
  <c r="AI1125" i="2"/>
  <c r="AJ1125" i="2"/>
  <c r="AF1126" i="2"/>
  <c r="AK1126" i="2" s="1"/>
  <c r="AG1126" i="2"/>
  <c r="AH1126" i="2"/>
  <c r="AI1126" i="2"/>
  <c r="AJ1126" i="2"/>
  <c r="AF1127" i="2"/>
  <c r="AK1127" i="2"/>
  <c r="AG1127" i="2"/>
  <c r="AH1127" i="2"/>
  <c r="AI1127" i="2"/>
  <c r="AJ1127" i="2"/>
  <c r="AF1128" i="2"/>
  <c r="AK1128" i="2" s="1"/>
  <c r="AG1128" i="2"/>
  <c r="AH1128" i="2"/>
  <c r="AI1128" i="2"/>
  <c r="AJ1128" i="2"/>
  <c r="AF1129" i="2"/>
  <c r="AK1129" i="2"/>
  <c r="AG1129" i="2"/>
  <c r="AH1129" i="2"/>
  <c r="AI1129" i="2"/>
  <c r="AJ1129" i="2"/>
  <c r="AF1130" i="2"/>
  <c r="AK1130" i="2" s="1"/>
  <c r="AG1130" i="2"/>
  <c r="AH1130" i="2"/>
  <c r="AI1130" i="2"/>
  <c r="AJ1130" i="2"/>
  <c r="AF1131" i="2"/>
  <c r="AK1131" i="2"/>
  <c r="AG1131" i="2"/>
  <c r="AH1131" i="2"/>
  <c r="AI1131" i="2"/>
  <c r="AJ1131" i="2"/>
  <c r="AF1132" i="2"/>
  <c r="AK1132" i="2" s="1"/>
  <c r="AG1132" i="2"/>
  <c r="AH1132" i="2"/>
  <c r="AI1132" i="2"/>
  <c r="AJ1132" i="2"/>
  <c r="AF1133" i="2"/>
  <c r="AK1133" i="2"/>
  <c r="AG1133" i="2"/>
  <c r="AH1133" i="2"/>
  <c r="AI1133" i="2"/>
  <c r="AJ1133" i="2"/>
  <c r="AF1134" i="2"/>
  <c r="AK1134" i="2" s="1"/>
  <c r="AG1134" i="2"/>
  <c r="AH1134" i="2"/>
  <c r="AI1134" i="2"/>
  <c r="AJ1134" i="2"/>
  <c r="AF1135" i="2"/>
  <c r="AK1135" i="2"/>
  <c r="AG1135" i="2"/>
  <c r="AH1135" i="2"/>
  <c r="AI1135" i="2"/>
  <c r="AJ1135" i="2"/>
  <c r="AL1135" i="2" s="1"/>
  <c r="AF1136" i="2"/>
  <c r="AK1136" i="2"/>
  <c r="AG1136" i="2"/>
  <c r="AH1136" i="2"/>
  <c r="AI1136" i="2"/>
  <c r="AJ1136" i="2"/>
  <c r="AF1137" i="2"/>
  <c r="AK1137" i="2"/>
  <c r="AG1137" i="2"/>
  <c r="AH1137" i="2"/>
  <c r="AI1137" i="2"/>
  <c r="AJ1137" i="2"/>
  <c r="AF1138" i="2"/>
  <c r="AK1138" i="2"/>
  <c r="AG1138" i="2"/>
  <c r="AH1138" i="2"/>
  <c r="AI1138" i="2"/>
  <c r="AJ1138" i="2"/>
  <c r="AF1139" i="2"/>
  <c r="AK1139" i="2"/>
  <c r="AG1139" i="2"/>
  <c r="AH1139" i="2"/>
  <c r="AI1139" i="2"/>
  <c r="AJ1139" i="2"/>
  <c r="AF1140" i="2"/>
  <c r="AK1140" i="2"/>
  <c r="AG1140" i="2"/>
  <c r="AH1140" i="2"/>
  <c r="AI1140" i="2"/>
  <c r="AJ1140" i="2"/>
  <c r="AF1141" i="2"/>
  <c r="AK1141" i="2"/>
  <c r="AG1141" i="2"/>
  <c r="AH1141" i="2"/>
  <c r="AI1141" i="2"/>
  <c r="AJ1141" i="2"/>
  <c r="AF1142" i="2"/>
  <c r="AK1142" i="2"/>
  <c r="AG1142" i="2"/>
  <c r="AH1142" i="2"/>
  <c r="AI1142" i="2"/>
  <c r="AJ1142" i="2"/>
  <c r="AF1143" i="2"/>
  <c r="AK1143" i="2"/>
  <c r="AG1143" i="2"/>
  <c r="AH1143" i="2"/>
  <c r="AI1143" i="2"/>
  <c r="AJ1143" i="2"/>
  <c r="AF1144" i="2"/>
  <c r="AK1144" i="2"/>
  <c r="AG1144" i="2"/>
  <c r="AH1144" i="2"/>
  <c r="AI1144" i="2"/>
  <c r="AJ1144" i="2"/>
  <c r="AF1145" i="2"/>
  <c r="AK1145" i="2"/>
  <c r="AG1145" i="2"/>
  <c r="AH1145" i="2"/>
  <c r="AI1145" i="2"/>
  <c r="AJ1145" i="2"/>
  <c r="AF1146" i="2"/>
  <c r="AK1146" i="2"/>
  <c r="AG1146" i="2"/>
  <c r="AH1146" i="2"/>
  <c r="AI1146" i="2"/>
  <c r="AJ1146" i="2"/>
  <c r="AF1147" i="2"/>
  <c r="AK1147" i="2"/>
  <c r="AG1147" i="2"/>
  <c r="AH1147" i="2"/>
  <c r="AI1147" i="2"/>
  <c r="AJ1147" i="2"/>
  <c r="AF1148" i="2"/>
  <c r="AK1148" i="2"/>
  <c r="AG1148" i="2"/>
  <c r="AH1148" i="2"/>
  <c r="AI1148" i="2"/>
  <c r="AJ1148" i="2"/>
  <c r="AF1149" i="2"/>
  <c r="AK1149" i="2"/>
  <c r="AG1149" i="2"/>
  <c r="AH1149" i="2"/>
  <c r="AI1149" i="2"/>
  <c r="AJ1149" i="2"/>
  <c r="AF1150" i="2"/>
  <c r="AK1150" i="2"/>
  <c r="AG1150" i="2"/>
  <c r="AH1150" i="2"/>
  <c r="AI1150" i="2"/>
  <c r="AJ1150" i="2"/>
  <c r="AF1151" i="2"/>
  <c r="AK1151" i="2"/>
  <c r="AG1151" i="2"/>
  <c r="AH1151" i="2"/>
  <c r="AI1151" i="2"/>
  <c r="AJ1151" i="2"/>
  <c r="AF1152" i="2"/>
  <c r="AK1152" i="2"/>
  <c r="AG1152" i="2"/>
  <c r="AH1152" i="2"/>
  <c r="AI1152" i="2"/>
  <c r="AJ1152" i="2"/>
  <c r="AF1153" i="2"/>
  <c r="AK1153" i="2"/>
  <c r="AG1153" i="2"/>
  <c r="AH1153" i="2"/>
  <c r="AI1153" i="2"/>
  <c r="AJ1153" i="2"/>
  <c r="AF1154" i="2"/>
  <c r="AK1154" i="2"/>
  <c r="AG1154" i="2"/>
  <c r="AH1154" i="2"/>
  <c r="AI1154" i="2"/>
  <c r="AJ1154" i="2"/>
  <c r="AF1155" i="2"/>
  <c r="AK1155" i="2"/>
  <c r="AG1155" i="2"/>
  <c r="AH1155" i="2"/>
  <c r="AI1155" i="2"/>
  <c r="AJ1155" i="2"/>
  <c r="AF1156" i="2"/>
  <c r="AK1156" i="2"/>
  <c r="AG1156" i="2"/>
  <c r="AH1156" i="2"/>
  <c r="AI1156" i="2"/>
  <c r="AJ1156" i="2"/>
  <c r="AF1157" i="2"/>
  <c r="AK1157" i="2"/>
  <c r="AG1157" i="2"/>
  <c r="AH1157" i="2"/>
  <c r="AI1157" i="2"/>
  <c r="AJ1157" i="2"/>
  <c r="AF1158" i="2"/>
  <c r="AK1158" i="2"/>
  <c r="AG1158" i="2"/>
  <c r="AH1158" i="2"/>
  <c r="AI1158" i="2"/>
  <c r="AJ1158" i="2"/>
  <c r="AF1159" i="2"/>
  <c r="AK1159" i="2"/>
  <c r="AG1159" i="2"/>
  <c r="AH1159" i="2"/>
  <c r="AI1159" i="2"/>
  <c r="AJ1159" i="2"/>
  <c r="AF1160" i="2"/>
  <c r="AK1160" i="2"/>
  <c r="AG1160" i="2"/>
  <c r="AH1160" i="2"/>
  <c r="AI1160" i="2"/>
  <c r="AJ1160" i="2"/>
  <c r="AF1161" i="2"/>
  <c r="AK1161" i="2"/>
  <c r="AG1161" i="2"/>
  <c r="AH1161" i="2"/>
  <c r="AI1161" i="2"/>
  <c r="AJ1161" i="2"/>
  <c r="AF1162" i="2"/>
  <c r="AK1162" i="2"/>
  <c r="AG1162" i="2"/>
  <c r="AH1162" i="2"/>
  <c r="AI1162" i="2"/>
  <c r="AJ1162" i="2"/>
  <c r="AF1163" i="2"/>
  <c r="AK1163" i="2"/>
  <c r="AG1163" i="2"/>
  <c r="AH1163" i="2"/>
  <c r="AI1163" i="2"/>
  <c r="AJ1163" i="2"/>
  <c r="AF1164" i="2"/>
  <c r="AK1164" i="2"/>
  <c r="AG1164" i="2"/>
  <c r="AH1164" i="2"/>
  <c r="AI1164" i="2"/>
  <c r="AJ1164" i="2"/>
  <c r="AF1165" i="2"/>
  <c r="AK1165" i="2"/>
  <c r="AG1165" i="2"/>
  <c r="AH1165" i="2"/>
  <c r="AI1165" i="2"/>
  <c r="AJ1165" i="2"/>
  <c r="AF1166" i="2"/>
  <c r="AK1166" i="2"/>
  <c r="AG1166" i="2"/>
  <c r="AH1166" i="2"/>
  <c r="AI1166" i="2"/>
  <c r="AJ1166" i="2"/>
  <c r="AF1167" i="2"/>
  <c r="AK1167" i="2"/>
  <c r="AG1167" i="2"/>
  <c r="AH1167" i="2"/>
  <c r="AI1167" i="2"/>
  <c r="AJ1167" i="2"/>
  <c r="AF1168" i="2"/>
  <c r="AK1168" i="2"/>
  <c r="AG1168" i="2"/>
  <c r="AH1168" i="2"/>
  <c r="AI1168" i="2"/>
  <c r="AJ1168" i="2"/>
  <c r="AF1169" i="2"/>
  <c r="AK1169" i="2"/>
  <c r="AG1169" i="2"/>
  <c r="AH1169" i="2"/>
  <c r="AI1169" i="2"/>
  <c r="AJ1169" i="2"/>
  <c r="AF1170" i="2"/>
  <c r="AK1170" i="2"/>
  <c r="AG1170" i="2"/>
  <c r="AH1170" i="2"/>
  <c r="AI1170" i="2"/>
  <c r="AJ1170" i="2"/>
  <c r="AF1171" i="2"/>
  <c r="AK1171" i="2"/>
  <c r="AG1171" i="2"/>
  <c r="AH1171" i="2"/>
  <c r="AI1171" i="2"/>
  <c r="AJ1171" i="2"/>
  <c r="AF1172" i="2"/>
  <c r="AK1172" i="2"/>
  <c r="AG1172" i="2"/>
  <c r="AH1172" i="2"/>
  <c r="AI1172" i="2"/>
  <c r="AJ1172" i="2"/>
  <c r="AF1173" i="2"/>
  <c r="AK1173" i="2"/>
  <c r="AG1173" i="2"/>
  <c r="AH1173" i="2"/>
  <c r="AI1173" i="2"/>
  <c r="AJ1173" i="2"/>
  <c r="AF1174" i="2"/>
  <c r="AK1174" i="2" s="1"/>
  <c r="AG1174" i="2"/>
  <c r="AH1174" i="2"/>
  <c r="AI1174" i="2"/>
  <c r="AJ1174" i="2"/>
  <c r="AF1175" i="2"/>
  <c r="AK1175" i="2" s="1"/>
  <c r="AG1175" i="2"/>
  <c r="AH1175" i="2"/>
  <c r="AI1175" i="2"/>
  <c r="AJ1175" i="2"/>
  <c r="AF1176" i="2"/>
  <c r="AK1176" i="2"/>
  <c r="AG1176" i="2"/>
  <c r="AH1176" i="2"/>
  <c r="AI1176" i="2"/>
  <c r="AJ1176" i="2"/>
  <c r="AF1177" i="2"/>
  <c r="AK1177" i="2" s="1"/>
  <c r="AG1177" i="2"/>
  <c r="AH1177" i="2"/>
  <c r="AI1177" i="2"/>
  <c r="AJ1177" i="2"/>
  <c r="AF1178" i="2"/>
  <c r="AK1178" i="2" s="1"/>
  <c r="AG1178" i="2"/>
  <c r="AH1178" i="2"/>
  <c r="AI1178" i="2"/>
  <c r="AJ1178" i="2"/>
  <c r="AF1179" i="2"/>
  <c r="AK1179" i="2" s="1"/>
  <c r="AG1179" i="2"/>
  <c r="AH1179" i="2"/>
  <c r="AI1179" i="2"/>
  <c r="AJ1179" i="2"/>
  <c r="AF1180" i="2"/>
  <c r="AK1180" i="2"/>
  <c r="AG1180" i="2"/>
  <c r="AH1180" i="2"/>
  <c r="AI1180" i="2"/>
  <c r="AJ1180" i="2"/>
  <c r="AF1181" i="2"/>
  <c r="AK1181" i="2" s="1"/>
  <c r="AG1181" i="2"/>
  <c r="AH1181" i="2"/>
  <c r="AI1181" i="2"/>
  <c r="AJ1181" i="2"/>
  <c r="AF1182" i="2"/>
  <c r="AK1182" i="2" s="1"/>
  <c r="AG1182" i="2"/>
  <c r="AH1182" i="2"/>
  <c r="AI1182" i="2"/>
  <c r="AJ1182" i="2"/>
  <c r="AF1183" i="2"/>
  <c r="AK1183" i="2" s="1"/>
  <c r="AL1183" i="2" s="1"/>
  <c r="AG1183" i="2"/>
  <c r="AH1183" i="2"/>
  <c r="AI1183" i="2"/>
  <c r="AJ1183" i="2"/>
  <c r="AF1184" i="2"/>
  <c r="AK1184" i="2" s="1"/>
  <c r="AG1184" i="2"/>
  <c r="AH1184" i="2"/>
  <c r="AI1184" i="2"/>
  <c r="AJ1184" i="2"/>
  <c r="AF1185" i="2"/>
  <c r="AK1185" i="2"/>
  <c r="AG1185" i="2"/>
  <c r="AH1185" i="2"/>
  <c r="AI1185" i="2"/>
  <c r="AJ1185" i="2"/>
  <c r="AF1186" i="2"/>
  <c r="AK1186" i="2" s="1"/>
  <c r="AG1186" i="2"/>
  <c r="AH1186" i="2"/>
  <c r="AI1186" i="2"/>
  <c r="AJ1186" i="2"/>
  <c r="AF1187" i="2"/>
  <c r="AK1187" i="2"/>
  <c r="AG1187" i="2"/>
  <c r="AH1187" i="2"/>
  <c r="AI1187" i="2"/>
  <c r="AJ1187" i="2"/>
  <c r="AF1188" i="2"/>
  <c r="AK1188" i="2" s="1"/>
  <c r="AG1188" i="2"/>
  <c r="AH1188" i="2"/>
  <c r="AI1188" i="2"/>
  <c r="AJ1188" i="2"/>
  <c r="AF1189" i="2"/>
  <c r="AK1189" i="2"/>
  <c r="AG1189" i="2"/>
  <c r="AH1189" i="2"/>
  <c r="AI1189" i="2"/>
  <c r="AJ1189" i="2"/>
  <c r="AF1190" i="2"/>
  <c r="AK1190" i="2" s="1"/>
  <c r="AG1190" i="2"/>
  <c r="AH1190" i="2"/>
  <c r="AI1190" i="2"/>
  <c r="AJ1190" i="2"/>
  <c r="AF1191" i="2"/>
  <c r="AK1191" i="2"/>
  <c r="AG1191" i="2"/>
  <c r="AH1191" i="2"/>
  <c r="AI1191" i="2"/>
  <c r="AJ1191" i="2"/>
  <c r="AF1192" i="2"/>
  <c r="AK1192" i="2" s="1"/>
  <c r="AG1192" i="2"/>
  <c r="AH1192" i="2"/>
  <c r="AI1192" i="2"/>
  <c r="AJ1192" i="2"/>
  <c r="AF1193" i="2"/>
  <c r="AK1193" i="2"/>
  <c r="AG1193" i="2"/>
  <c r="AH1193" i="2"/>
  <c r="AI1193" i="2"/>
  <c r="AJ1193" i="2"/>
  <c r="AF1194" i="2"/>
  <c r="AK1194" i="2" s="1"/>
  <c r="AG1194" i="2"/>
  <c r="AH1194" i="2"/>
  <c r="AI1194" i="2"/>
  <c r="AJ1194" i="2"/>
  <c r="AF1195" i="2"/>
  <c r="AK1195" i="2"/>
  <c r="AG1195" i="2"/>
  <c r="AH1195" i="2"/>
  <c r="AI1195" i="2"/>
  <c r="AJ1195" i="2"/>
  <c r="AF1196" i="2"/>
  <c r="AK1196" i="2" s="1"/>
  <c r="AG1196" i="2"/>
  <c r="AH1196" i="2"/>
  <c r="AI1196" i="2"/>
  <c r="AJ1196" i="2"/>
  <c r="AF1197" i="2"/>
  <c r="AK1197" i="2"/>
  <c r="AG1197" i="2"/>
  <c r="AH1197" i="2"/>
  <c r="AI1197" i="2"/>
  <c r="AJ1197" i="2"/>
  <c r="AF1198" i="2"/>
  <c r="AK1198" i="2" s="1"/>
  <c r="AG1198" i="2"/>
  <c r="AH1198" i="2"/>
  <c r="AI1198" i="2"/>
  <c r="AJ1198" i="2"/>
  <c r="AF1199" i="2"/>
  <c r="AK1199" i="2"/>
  <c r="AG1199" i="2"/>
  <c r="AH1199" i="2"/>
  <c r="AI1199" i="2"/>
  <c r="AJ1199" i="2"/>
  <c r="AF1200" i="2"/>
  <c r="AK1200" i="2" s="1"/>
  <c r="AG1200" i="2"/>
  <c r="AH1200" i="2"/>
  <c r="AI1200" i="2"/>
  <c r="AJ1200" i="2"/>
  <c r="AF1201" i="2"/>
  <c r="AK1201" i="2"/>
  <c r="AG1201" i="2"/>
  <c r="AH1201" i="2"/>
  <c r="AI1201" i="2"/>
  <c r="AJ1201" i="2"/>
  <c r="AF1202" i="2"/>
  <c r="AK1202" i="2" s="1"/>
  <c r="AG1202" i="2"/>
  <c r="AH1202" i="2"/>
  <c r="AI1202" i="2"/>
  <c r="AJ1202" i="2"/>
  <c r="AF1203" i="2"/>
  <c r="AK1203" i="2"/>
  <c r="AG1203" i="2"/>
  <c r="AH1203" i="2"/>
  <c r="AI1203" i="2"/>
  <c r="AJ1203" i="2"/>
  <c r="AF1204" i="2"/>
  <c r="AK1204" i="2" s="1"/>
  <c r="AG1204" i="2"/>
  <c r="AH1204" i="2"/>
  <c r="AI1204" i="2"/>
  <c r="AJ1204" i="2"/>
  <c r="AF1205" i="2"/>
  <c r="AK1205" i="2"/>
  <c r="AG1205" i="2"/>
  <c r="AH1205" i="2"/>
  <c r="AI1205" i="2"/>
  <c r="AJ1205" i="2"/>
  <c r="AF1206" i="2"/>
  <c r="AK1206" i="2" s="1"/>
  <c r="AG1206" i="2"/>
  <c r="AH1206" i="2"/>
  <c r="AI1206" i="2"/>
  <c r="AJ1206" i="2"/>
  <c r="AF1207" i="2"/>
  <c r="AK1207" i="2"/>
  <c r="AG1207" i="2"/>
  <c r="AH1207" i="2"/>
  <c r="AI1207" i="2"/>
  <c r="AJ1207" i="2"/>
  <c r="AF1208" i="2"/>
  <c r="AK1208" i="2" s="1"/>
  <c r="AG1208" i="2"/>
  <c r="AH1208" i="2"/>
  <c r="AI1208" i="2"/>
  <c r="AJ1208" i="2"/>
  <c r="AF1209" i="2"/>
  <c r="AK1209" i="2"/>
  <c r="AG1209" i="2"/>
  <c r="AH1209" i="2"/>
  <c r="AI1209" i="2"/>
  <c r="AJ1209" i="2"/>
  <c r="AF1210" i="2"/>
  <c r="AK1210" i="2" s="1"/>
  <c r="AG1210" i="2"/>
  <c r="AH1210" i="2"/>
  <c r="AI1210" i="2"/>
  <c r="AJ1210" i="2"/>
  <c r="AF1211" i="2"/>
  <c r="AK1211" i="2"/>
  <c r="AG1211" i="2"/>
  <c r="AH1211" i="2"/>
  <c r="AI1211" i="2"/>
  <c r="AJ1211" i="2"/>
  <c r="AF1212" i="2"/>
  <c r="AK1212" i="2" s="1"/>
  <c r="AG1212" i="2"/>
  <c r="AH1212" i="2"/>
  <c r="AI1212" i="2"/>
  <c r="AJ1212" i="2"/>
  <c r="AF1213" i="2"/>
  <c r="AK1213" i="2"/>
  <c r="AG1213" i="2"/>
  <c r="AH1213" i="2"/>
  <c r="AI1213" i="2"/>
  <c r="AJ1213" i="2"/>
  <c r="AF1214" i="2"/>
  <c r="AK1214" i="2" s="1"/>
  <c r="AG1214" i="2"/>
  <c r="AH1214" i="2"/>
  <c r="AI1214" i="2"/>
  <c r="AJ1214" i="2"/>
  <c r="AF1215" i="2"/>
  <c r="AK1215" i="2"/>
  <c r="AG1215" i="2"/>
  <c r="AH1215" i="2"/>
  <c r="AI1215" i="2"/>
  <c r="AJ1215" i="2"/>
  <c r="AF1216" i="2"/>
  <c r="AK1216" i="2" s="1"/>
  <c r="AG1216" i="2"/>
  <c r="AH1216" i="2"/>
  <c r="AI1216" i="2"/>
  <c r="AJ1216" i="2"/>
  <c r="AF1217" i="2"/>
  <c r="AK1217" i="2"/>
  <c r="AG1217" i="2"/>
  <c r="AH1217" i="2"/>
  <c r="AI1217" i="2"/>
  <c r="AJ1217" i="2"/>
  <c r="AF1218" i="2"/>
  <c r="AK1218" i="2" s="1"/>
  <c r="AG1218" i="2"/>
  <c r="AH1218" i="2"/>
  <c r="AI1218" i="2"/>
  <c r="AJ1218" i="2"/>
  <c r="AF1219" i="2"/>
  <c r="AK1219" i="2"/>
  <c r="AG1219" i="2"/>
  <c r="AH1219" i="2"/>
  <c r="AI1219" i="2"/>
  <c r="AJ1219" i="2"/>
  <c r="AF1220" i="2"/>
  <c r="AK1220" i="2" s="1"/>
  <c r="AG1220" i="2"/>
  <c r="AH1220" i="2"/>
  <c r="AI1220" i="2"/>
  <c r="AJ1220" i="2"/>
  <c r="AF1221" i="2"/>
  <c r="AK1221" i="2"/>
  <c r="AG1221" i="2"/>
  <c r="AH1221" i="2"/>
  <c r="AI1221" i="2"/>
  <c r="AJ1221" i="2"/>
  <c r="AF1222" i="2"/>
  <c r="AK1222" i="2" s="1"/>
  <c r="AG1222" i="2"/>
  <c r="AH1222" i="2"/>
  <c r="AI1222" i="2"/>
  <c r="AJ1222" i="2"/>
  <c r="AF1223" i="2"/>
  <c r="AK1223" i="2"/>
  <c r="AG1223" i="2"/>
  <c r="AH1223" i="2"/>
  <c r="AI1223" i="2"/>
  <c r="AJ1223" i="2"/>
  <c r="AF1224" i="2"/>
  <c r="AK1224" i="2" s="1"/>
  <c r="AG1224" i="2"/>
  <c r="AH1224" i="2"/>
  <c r="AL1224" i="2" s="1"/>
  <c r="AI1224" i="2"/>
  <c r="AJ1224" i="2"/>
  <c r="AF1225" i="2"/>
  <c r="AK1225" i="2"/>
  <c r="AG1225" i="2"/>
  <c r="AH1225" i="2"/>
  <c r="AI1225" i="2"/>
  <c r="AJ1225" i="2"/>
  <c r="AF1226" i="2"/>
  <c r="AK1226" i="2" s="1"/>
  <c r="AG1226" i="2"/>
  <c r="AH1226" i="2"/>
  <c r="AI1226" i="2"/>
  <c r="AJ1226" i="2"/>
  <c r="AF1227" i="2"/>
  <c r="AK1227" i="2" s="1"/>
  <c r="AG1227" i="2"/>
  <c r="AH1227" i="2"/>
  <c r="AI1227" i="2"/>
  <c r="AJ1227" i="2"/>
  <c r="AF1228" i="2"/>
  <c r="AK1228" i="2" s="1"/>
  <c r="AG1228" i="2"/>
  <c r="AH1228" i="2"/>
  <c r="AI1228" i="2"/>
  <c r="AJ1228" i="2"/>
  <c r="AF1229" i="2"/>
  <c r="AK1229" i="2"/>
  <c r="AG1229" i="2"/>
  <c r="AH1229" i="2"/>
  <c r="AI1229" i="2"/>
  <c r="AJ1229" i="2"/>
  <c r="AF1230" i="2"/>
  <c r="AK1230" i="2" s="1"/>
  <c r="AG1230" i="2"/>
  <c r="AH1230" i="2"/>
  <c r="AI1230" i="2"/>
  <c r="AJ1230" i="2"/>
  <c r="AF1231" i="2"/>
  <c r="AK1231" i="2" s="1"/>
  <c r="AG1231" i="2"/>
  <c r="AH1231" i="2"/>
  <c r="AI1231" i="2"/>
  <c r="AJ1231" i="2"/>
  <c r="AF1232" i="2"/>
  <c r="AK1232" i="2" s="1"/>
  <c r="AG1232" i="2"/>
  <c r="AH1232" i="2"/>
  <c r="AI1232" i="2"/>
  <c r="AJ1232" i="2"/>
  <c r="AF1233" i="2"/>
  <c r="AK1233" i="2"/>
  <c r="AG1233" i="2"/>
  <c r="AH1233" i="2"/>
  <c r="AI1233" i="2"/>
  <c r="AJ1233" i="2"/>
  <c r="AF1234" i="2"/>
  <c r="AK1234" i="2" s="1"/>
  <c r="AG1234" i="2"/>
  <c r="AH1234" i="2"/>
  <c r="AI1234" i="2"/>
  <c r="AJ1234" i="2"/>
  <c r="AF1235" i="2"/>
  <c r="AK1235" i="2" s="1"/>
  <c r="AG1235" i="2"/>
  <c r="AH1235" i="2"/>
  <c r="AI1235" i="2"/>
  <c r="AJ1235" i="2"/>
  <c r="AF1236" i="2"/>
  <c r="AK1236" i="2" s="1"/>
  <c r="AG1236" i="2"/>
  <c r="AH1236" i="2"/>
  <c r="AI1236" i="2"/>
  <c r="AJ1236" i="2"/>
  <c r="AF1237" i="2"/>
  <c r="AK1237" i="2"/>
  <c r="AG1237" i="2"/>
  <c r="AH1237" i="2"/>
  <c r="AI1237" i="2"/>
  <c r="AJ1237" i="2"/>
  <c r="AF1238" i="2"/>
  <c r="AK1238" i="2" s="1"/>
  <c r="AG1238" i="2"/>
  <c r="AH1238" i="2"/>
  <c r="AI1238" i="2"/>
  <c r="AJ1238" i="2"/>
  <c r="AF1239" i="2"/>
  <c r="AK1239" i="2" s="1"/>
  <c r="AG1239" i="2"/>
  <c r="AH1239" i="2"/>
  <c r="AI1239" i="2"/>
  <c r="AJ1239" i="2"/>
  <c r="AF1240" i="2"/>
  <c r="AK1240" i="2" s="1"/>
  <c r="AG1240" i="2"/>
  <c r="AH1240" i="2"/>
  <c r="AI1240" i="2"/>
  <c r="AJ1240" i="2"/>
  <c r="AF1241" i="2"/>
  <c r="AK1241" i="2"/>
  <c r="AG1241" i="2"/>
  <c r="AH1241" i="2"/>
  <c r="AI1241" i="2"/>
  <c r="AJ1241" i="2"/>
  <c r="AF1242" i="2"/>
  <c r="AK1242" i="2" s="1"/>
  <c r="AG1242" i="2"/>
  <c r="AH1242" i="2"/>
  <c r="AI1242" i="2"/>
  <c r="AJ1242" i="2"/>
  <c r="AF1243" i="2"/>
  <c r="AK1243" i="2" s="1"/>
  <c r="AG1243" i="2"/>
  <c r="AH1243" i="2"/>
  <c r="AI1243" i="2"/>
  <c r="AJ1243" i="2"/>
  <c r="AF1244" i="2"/>
  <c r="AK1244" i="2" s="1"/>
  <c r="AG1244" i="2"/>
  <c r="AH1244" i="2"/>
  <c r="AI1244" i="2"/>
  <c r="AJ1244" i="2"/>
  <c r="AF1245" i="2"/>
  <c r="AK1245" i="2"/>
  <c r="AG1245" i="2"/>
  <c r="AH1245" i="2"/>
  <c r="AI1245" i="2"/>
  <c r="AJ1245" i="2"/>
  <c r="AF1246" i="2"/>
  <c r="AK1246" i="2" s="1"/>
  <c r="AG1246" i="2"/>
  <c r="AH1246" i="2"/>
  <c r="AI1246" i="2"/>
  <c r="AJ1246" i="2"/>
  <c r="AF1247" i="2"/>
  <c r="AK1247" i="2" s="1"/>
  <c r="AG1247" i="2"/>
  <c r="AH1247" i="2"/>
  <c r="AI1247" i="2"/>
  <c r="AJ1247" i="2"/>
  <c r="AF1248" i="2"/>
  <c r="AK1248" i="2" s="1"/>
  <c r="AG1248" i="2"/>
  <c r="AH1248" i="2"/>
  <c r="AI1248" i="2"/>
  <c r="AJ1248" i="2"/>
  <c r="AF1249" i="2"/>
  <c r="AK1249" i="2"/>
  <c r="AG1249" i="2"/>
  <c r="AH1249" i="2"/>
  <c r="AI1249" i="2"/>
  <c r="AL1249" i="2"/>
  <c r="AJ1249" i="2"/>
  <c r="AF1250" i="2"/>
  <c r="AK1250" i="2"/>
  <c r="AG1250" i="2"/>
  <c r="AH1250" i="2"/>
  <c r="AI1250" i="2"/>
  <c r="AJ1250" i="2"/>
  <c r="AF1251" i="2"/>
  <c r="AK1251" i="2" s="1"/>
  <c r="AG1251" i="2"/>
  <c r="AH1251" i="2"/>
  <c r="AI1251" i="2"/>
  <c r="AJ1251" i="2"/>
  <c r="AF1252" i="2"/>
  <c r="AK1252" i="2"/>
  <c r="AG1252" i="2"/>
  <c r="AH1252" i="2"/>
  <c r="AI1252" i="2"/>
  <c r="AJ1252" i="2"/>
  <c r="AF1253" i="2"/>
  <c r="AK1253" i="2" s="1"/>
  <c r="AG1253" i="2"/>
  <c r="AH1253" i="2"/>
  <c r="AI1253" i="2"/>
  <c r="AJ1253" i="2"/>
  <c r="AF1254" i="2"/>
  <c r="AK1254" i="2"/>
  <c r="AG1254" i="2"/>
  <c r="AH1254" i="2"/>
  <c r="AI1254" i="2"/>
  <c r="AJ1254" i="2"/>
  <c r="AF1255" i="2"/>
  <c r="AK1255" i="2" s="1"/>
  <c r="AG1255" i="2"/>
  <c r="AH1255" i="2"/>
  <c r="AI1255" i="2"/>
  <c r="AJ1255" i="2"/>
  <c r="AF1256" i="2"/>
  <c r="AK1256" i="2"/>
  <c r="AG1256" i="2"/>
  <c r="AH1256" i="2"/>
  <c r="AI1256" i="2"/>
  <c r="AJ1256" i="2"/>
  <c r="AF1257" i="2"/>
  <c r="AK1257" i="2" s="1"/>
  <c r="AG1257" i="2"/>
  <c r="AH1257" i="2"/>
  <c r="AI1257" i="2"/>
  <c r="AJ1257" i="2"/>
  <c r="AF1258" i="2"/>
  <c r="AK1258" i="2"/>
  <c r="AG1258" i="2"/>
  <c r="AH1258" i="2"/>
  <c r="AI1258" i="2"/>
  <c r="AJ1258" i="2"/>
  <c r="AF1259" i="2"/>
  <c r="AK1259" i="2" s="1"/>
  <c r="AG1259" i="2"/>
  <c r="AH1259" i="2"/>
  <c r="AI1259" i="2"/>
  <c r="AJ1259" i="2"/>
  <c r="AF1260" i="2"/>
  <c r="AK1260" i="2"/>
  <c r="AG1260" i="2"/>
  <c r="AH1260" i="2"/>
  <c r="AI1260" i="2"/>
  <c r="AJ1260" i="2"/>
  <c r="AF1261" i="2"/>
  <c r="AK1261" i="2" s="1"/>
  <c r="AG1261" i="2"/>
  <c r="AH1261" i="2"/>
  <c r="AI1261" i="2"/>
  <c r="AJ1261" i="2"/>
  <c r="AF1262" i="2"/>
  <c r="AK1262" i="2"/>
  <c r="AG1262" i="2"/>
  <c r="AH1262" i="2"/>
  <c r="AI1262" i="2"/>
  <c r="AJ1262" i="2"/>
  <c r="AF1263" i="2"/>
  <c r="AK1263" i="2" s="1"/>
  <c r="AG1263" i="2"/>
  <c r="AH1263" i="2"/>
  <c r="AI1263" i="2"/>
  <c r="AJ1263" i="2"/>
  <c r="AF1264" i="2"/>
  <c r="AK1264" i="2"/>
  <c r="AG1264" i="2"/>
  <c r="AH1264" i="2"/>
  <c r="AI1264" i="2"/>
  <c r="AJ1264" i="2"/>
  <c r="AF1265" i="2"/>
  <c r="AK1265" i="2" s="1"/>
  <c r="AG1265" i="2"/>
  <c r="AH1265" i="2"/>
  <c r="AI1265" i="2"/>
  <c r="AJ1265" i="2"/>
  <c r="AF1266" i="2"/>
  <c r="AK1266" i="2"/>
  <c r="AG1266" i="2"/>
  <c r="AH1266" i="2"/>
  <c r="AI1266" i="2"/>
  <c r="AJ1266" i="2"/>
  <c r="AF1267" i="2"/>
  <c r="AK1267" i="2" s="1"/>
  <c r="AG1267" i="2"/>
  <c r="AH1267" i="2"/>
  <c r="AI1267" i="2"/>
  <c r="AJ1267" i="2"/>
  <c r="AF1268" i="2"/>
  <c r="AK1268" i="2"/>
  <c r="AG1268" i="2"/>
  <c r="AH1268" i="2"/>
  <c r="AI1268" i="2"/>
  <c r="AJ1268" i="2"/>
  <c r="AF1269" i="2"/>
  <c r="AK1269" i="2" s="1"/>
  <c r="AG1269" i="2"/>
  <c r="AH1269" i="2"/>
  <c r="AI1269" i="2"/>
  <c r="AJ1269" i="2"/>
  <c r="AF1270" i="2"/>
  <c r="AK1270" i="2"/>
  <c r="AG1270" i="2"/>
  <c r="AH1270" i="2"/>
  <c r="AI1270" i="2"/>
  <c r="AJ1270" i="2"/>
  <c r="AF1271" i="2"/>
  <c r="AK1271" i="2" s="1"/>
  <c r="AG1271" i="2"/>
  <c r="AH1271" i="2"/>
  <c r="AI1271" i="2"/>
  <c r="AJ1271" i="2"/>
  <c r="AF1272" i="2"/>
  <c r="AK1272" i="2"/>
  <c r="AG1272" i="2"/>
  <c r="AH1272" i="2"/>
  <c r="AI1272" i="2"/>
  <c r="AJ1272" i="2"/>
  <c r="AF1273" i="2"/>
  <c r="AK1273" i="2" s="1"/>
  <c r="AG1273" i="2"/>
  <c r="AH1273" i="2"/>
  <c r="AI1273" i="2"/>
  <c r="AJ1273" i="2"/>
  <c r="AF1274" i="2"/>
  <c r="AK1274" i="2"/>
  <c r="AG1274" i="2"/>
  <c r="AH1274" i="2"/>
  <c r="AI1274" i="2"/>
  <c r="AJ1274" i="2"/>
  <c r="AF1275" i="2"/>
  <c r="AK1275" i="2" s="1"/>
  <c r="AL1275" i="2" s="1"/>
  <c r="AG1275" i="2"/>
  <c r="AH1275" i="2"/>
  <c r="AI1275" i="2"/>
  <c r="AJ1275" i="2"/>
  <c r="AF1276" i="2"/>
  <c r="AK1276" i="2"/>
  <c r="AG1276" i="2"/>
  <c r="AH1276" i="2"/>
  <c r="AI1276" i="2"/>
  <c r="AJ1276" i="2"/>
  <c r="AF1277" i="2"/>
  <c r="AK1277" i="2" s="1"/>
  <c r="AG1277" i="2"/>
  <c r="AH1277" i="2"/>
  <c r="AI1277" i="2"/>
  <c r="AJ1277" i="2"/>
  <c r="AF1278" i="2"/>
  <c r="AK1278" i="2" s="1"/>
  <c r="AG1278" i="2"/>
  <c r="AH1278" i="2"/>
  <c r="AI1278" i="2"/>
  <c r="AJ1278" i="2"/>
  <c r="AF1279" i="2"/>
  <c r="AK1279" i="2" s="1"/>
  <c r="AG1279" i="2"/>
  <c r="AH1279" i="2"/>
  <c r="AI1279" i="2"/>
  <c r="AJ1279" i="2"/>
  <c r="AF1280" i="2"/>
  <c r="AK1280" i="2"/>
  <c r="AG1280" i="2"/>
  <c r="AH1280" i="2"/>
  <c r="AI1280" i="2"/>
  <c r="AJ1280" i="2"/>
  <c r="AF1281" i="2"/>
  <c r="AK1281" i="2" s="1"/>
  <c r="AG1281" i="2"/>
  <c r="AH1281" i="2"/>
  <c r="AI1281" i="2"/>
  <c r="AJ1281" i="2"/>
  <c r="AF1282" i="2"/>
  <c r="AK1282" i="2" s="1"/>
  <c r="AG1282" i="2"/>
  <c r="AH1282" i="2"/>
  <c r="AI1282" i="2"/>
  <c r="AJ1282" i="2"/>
  <c r="AF1283" i="2"/>
  <c r="AK1283" i="2" s="1"/>
  <c r="AG1283" i="2"/>
  <c r="AH1283" i="2"/>
  <c r="AI1283" i="2"/>
  <c r="AJ1283" i="2"/>
  <c r="AF1284" i="2"/>
  <c r="AK1284" i="2"/>
  <c r="AG1284" i="2"/>
  <c r="AH1284" i="2"/>
  <c r="AI1284" i="2"/>
  <c r="AJ1284" i="2"/>
  <c r="AF1285" i="2"/>
  <c r="AK1285" i="2" s="1"/>
  <c r="AG1285" i="2"/>
  <c r="AH1285" i="2"/>
  <c r="AI1285" i="2"/>
  <c r="AJ1285" i="2"/>
  <c r="AF1286" i="2"/>
  <c r="AK1286" i="2" s="1"/>
  <c r="AG1286" i="2"/>
  <c r="AH1286" i="2"/>
  <c r="AI1286" i="2"/>
  <c r="AJ1286" i="2"/>
  <c r="AF1287" i="2"/>
  <c r="AK1287" i="2" s="1"/>
  <c r="AG1287" i="2"/>
  <c r="AH1287" i="2"/>
  <c r="AI1287" i="2"/>
  <c r="AJ1287" i="2"/>
  <c r="AF1288" i="2"/>
  <c r="AK1288" i="2"/>
  <c r="AG1288" i="2"/>
  <c r="AH1288" i="2"/>
  <c r="AI1288" i="2"/>
  <c r="AJ1288" i="2"/>
  <c r="AF1289" i="2"/>
  <c r="AK1289" i="2" s="1"/>
  <c r="AG1289" i="2"/>
  <c r="AH1289" i="2"/>
  <c r="AI1289" i="2"/>
  <c r="AJ1289" i="2"/>
  <c r="AF1290" i="2"/>
  <c r="AK1290" i="2" s="1"/>
  <c r="AG1290" i="2"/>
  <c r="AH1290" i="2"/>
  <c r="AI1290" i="2"/>
  <c r="AJ1290" i="2"/>
  <c r="AF1291" i="2"/>
  <c r="AK1291" i="2" s="1"/>
  <c r="AG1291" i="2"/>
  <c r="AH1291" i="2"/>
  <c r="AI1291" i="2"/>
  <c r="AJ1291" i="2"/>
  <c r="AF1292" i="2"/>
  <c r="AK1292" i="2"/>
  <c r="AG1292" i="2"/>
  <c r="AH1292" i="2"/>
  <c r="AI1292" i="2"/>
  <c r="AJ1292" i="2"/>
  <c r="AF1293" i="2"/>
  <c r="AK1293" i="2" s="1"/>
  <c r="AG1293" i="2"/>
  <c r="AH1293" i="2"/>
  <c r="AI1293" i="2"/>
  <c r="AJ1293" i="2"/>
  <c r="AF1294" i="2"/>
  <c r="AK1294" i="2" s="1"/>
  <c r="AG1294" i="2"/>
  <c r="AH1294" i="2"/>
  <c r="AI1294" i="2"/>
  <c r="AJ1294" i="2"/>
  <c r="AF1295" i="2"/>
  <c r="AK1295" i="2" s="1"/>
  <c r="AG1295" i="2"/>
  <c r="AH1295" i="2"/>
  <c r="AI1295" i="2"/>
  <c r="AJ1295" i="2"/>
  <c r="AF1296" i="2"/>
  <c r="AK1296" i="2"/>
  <c r="AG1296" i="2"/>
  <c r="AH1296" i="2"/>
  <c r="AI1296" i="2"/>
  <c r="AJ1296" i="2"/>
  <c r="AF1297" i="2"/>
  <c r="AK1297" i="2" s="1"/>
  <c r="AG1297" i="2"/>
  <c r="AH1297" i="2"/>
  <c r="AI1297" i="2"/>
  <c r="AJ1297" i="2"/>
  <c r="AF1298" i="2"/>
  <c r="AK1298" i="2" s="1"/>
  <c r="AG1298" i="2"/>
  <c r="AH1298" i="2"/>
  <c r="AI1298" i="2"/>
  <c r="AJ1298" i="2"/>
  <c r="AF1299" i="2"/>
  <c r="AK1299" i="2" s="1"/>
  <c r="AG1299" i="2"/>
  <c r="AH1299" i="2"/>
  <c r="AI1299" i="2"/>
  <c r="AJ1299" i="2"/>
  <c r="AF1300" i="2"/>
  <c r="AK1300" i="2"/>
  <c r="AG1300" i="2"/>
  <c r="AH1300" i="2"/>
  <c r="AI1300" i="2"/>
  <c r="AJ1300" i="2"/>
  <c r="AF1301" i="2"/>
  <c r="AK1301" i="2" s="1"/>
  <c r="AG1301" i="2"/>
  <c r="AH1301" i="2"/>
  <c r="AI1301" i="2"/>
  <c r="AJ1301" i="2"/>
  <c r="AF1302" i="2"/>
  <c r="AK1302" i="2" s="1"/>
  <c r="AG1302" i="2"/>
  <c r="AH1302" i="2"/>
  <c r="AI1302" i="2"/>
  <c r="AJ1302" i="2"/>
  <c r="AF1303" i="2"/>
  <c r="AK1303" i="2" s="1"/>
  <c r="AG1303" i="2"/>
  <c r="AH1303" i="2"/>
  <c r="AI1303" i="2"/>
  <c r="AJ1303" i="2"/>
  <c r="AF1304" i="2"/>
  <c r="AK1304" i="2"/>
  <c r="AG1304" i="2"/>
  <c r="AH1304" i="2"/>
  <c r="AI1304" i="2"/>
  <c r="AJ1304" i="2"/>
  <c r="AF1305" i="2"/>
  <c r="AK1305" i="2" s="1"/>
  <c r="AG1305" i="2"/>
  <c r="AH1305" i="2"/>
  <c r="AI1305" i="2"/>
  <c r="AJ1305" i="2"/>
  <c r="AF1306" i="2"/>
  <c r="AK1306" i="2" s="1"/>
  <c r="AG1306" i="2"/>
  <c r="AH1306" i="2"/>
  <c r="AI1306" i="2"/>
  <c r="AJ1306" i="2"/>
  <c r="AF1307" i="2"/>
  <c r="AK1307" i="2" s="1"/>
  <c r="AG1307" i="2"/>
  <c r="AH1307" i="2"/>
  <c r="AI1307" i="2"/>
  <c r="AJ1307" i="2"/>
  <c r="AF1308" i="2"/>
  <c r="AK1308" i="2"/>
  <c r="AG1308" i="2"/>
  <c r="AL1308" i="2" s="1"/>
  <c r="AH1308" i="2"/>
  <c r="AI1308" i="2"/>
  <c r="AJ1308" i="2"/>
  <c r="AF1309" i="2"/>
  <c r="AK1309" i="2"/>
  <c r="AG1309" i="2"/>
  <c r="AH1309" i="2"/>
  <c r="AI1309" i="2"/>
  <c r="AJ1309" i="2"/>
  <c r="AF1310" i="2"/>
  <c r="AK1310" i="2" s="1"/>
  <c r="AG1310" i="2"/>
  <c r="AH1310" i="2"/>
  <c r="AI1310" i="2"/>
  <c r="AJ1310" i="2"/>
  <c r="AF1311" i="2"/>
  <c r="AK1311" i="2"/>
  <c r="AG1311" i="2"/>
  <c r="AH1311" i="2"/>
  <c r="AI1311" i="2"/>
  <c r="AJ1311" i="2"/>
  <c r="AF1312" i="2"/>
  <c r="AK1312" i="2" s="1"/>
  <c r="AG1312" i="2"/>
  <c r="AH1312" i="2"/>
  <c r="AI1312" i="2"/>
  <c r="AJ1312" i="2"/>
  <c r="AF1313" i="2"/>
  <c r="AK1313" i="2"/>
  <c r="AG1313" i="2"/>
  <c r="AH1313" i="2"/>
  <c r="AI1313" i="2"/>
  <c r="AJ1313" i="2"/>
  <c r="AF1314" i="2"/>
  <c r="AK1314" i="2" s="1"/>
  <c r="AG1314" i="2"/>
  <c r="AH1314" i="2"/>
  <c r="AI1314" i="2"/>
  <c r="AJ1314" i="2"/>
  <c r="AF1315" i="2"/>
  <c r="AK1315" i="2" s="1"/>
  <c r="AG1315" i="2"/>
  <c r="AH1315" i="2"/>
  <c r="AI1315" i="2"/>
  <c r="AJ1315" i="2"/>
  <c r="AF1316" i="2"/>
  <c r="AK1316" i="2" s="1"/>
  <c r="AG1316" i="2"/>
  <c r="AH1316" i="2"/>
  <c r="AI1316" i="2"/>
  <c r="AJ1316" i="2"/>
  <c r="AF1317" i="2"/>
  <c r="AK1317" i="2"/>
  <c r="AG1317" i="2"/>
  <c r="AH1317" i="2"/>
  <c r="AI1317" i="2"/>
  <c r="AJ1317" i="2"/>
  <c r="AF1318" i="2"/>
  <c r="AK1318" i="2" s="1"/>
  <c r="AG1318" i="2"/>
  <c r="AH1318" i="2"/>
  <c r="AI1318" i="2"/>
  <c r="AJ1318" i="2"/>
  <c r="AF1319" i="2"/>
  <c r="AK1319" i="2" s="1"/>
  <c r="AG1319" i="2"/>
  <c r="AH1319" i="2"/>
  <c r="AI1319" i="2"/>
  <c r="AJ1319" i="2"/>
  <c r="AF1320" i="2"/>
  <c r="AK1320" i="2" s="1"/>
  <c r="AG1320" i="2"/>
  <c r="AH1320" i="2"/>
  <c r="AI1320" i="2"/>
  <c r="AJ1320" i="2"/>
  <c r="AF1321" i="2"/>
  <c r="AK1321" i="2"/>
  <c r="AG1321" i="2"/>
  <c r="AH1321" i="2"/>
  <c r="AI1321" i="2"/>
  <c r="AJ1321" i="2"/>
  <c r="AF1322" i="2"/>
  <c r="AK1322" i="2" s="1"/>
  <c r="AG1322" i="2"/>
  <c r="AH1322" i="2"/>
  <c r="AI1322" i="2"/>
  <c r="AJ1322" i="2"/>
  <c r="AF1323" i="2"/>
  <c r="AK1323" i="2" s="1"/>
  <c r="AG1323" i="2"/>
  <c r="AH1323" i="2"/>
  <c r="AI1323" i="2"/>
  <c r="AJ1323" i="2"/>
  <c r="AF1324" i="2"/>
  <c r="AK1324" i="2" s="1"/>
  <c r="AG1324" i="2"/>
  <c r="AH1324" i="2"/>
  <c r="AI1324" i="2"/>
  <c r="AJ1324" i="2"/>
  <c r="AF1325" i="2"/>
  <c r="AK1325" i="2"/>
  <c r="AG1325" i="2"/>
  <c r="AH1325" i="2"/>
  <c r="AI1325" i="2"/>
  <c r="AJ1325" i="2"/>
  <c r="AF1326" i="2"/>
  <c r="AK1326" i="2" s="1"/>
  <c r="AG1326" i="2"/>
  <c r="AH1326" i="2"/>
  <c r="AI1326" i="2"/>
  <c r="AJ1326" i="2"/>
  <c r="AF1327" i="2"/>
  <c r="AK1327" i="2" s="1"/>
  <c r="AG1327" i="2"/>
  <c r="AH1327" i="2"/>
  <c r="AI1327" i="2"/>
  <c r="AJ1327" i="2"/>
  <c r="AF1328" i="2"/>
  <c r="AK1328" i="2"/>
  <c r="AG1328" i="2"/>
  <c r="AH1328" i="2"/>
  <c r="AI1328" i="2"/>
  <c r="AJ1328" i="2"/>
  <c r="AF1329" i="2"/>
  <c r="AK1329" i="2" s="1"/>
  <c r="AG1329" i="2"/>
  <c r="AH1329" i="2"/>
  <c r="AI1329" i="2"/>
  <c r="AJ1329" i="2"/>
  <c r="AF1330" i="2"/>
  <c r="AK1330" i="2"/>
  <c r="AG1330" i="2"/>
  <c r="AH1330" i="2"/>
  <c r="AI1330" i="2"/>
  <c r="AJ1330" i="2"/>
  <c r="AF1331" i="2"/>
  <c r="AK1331" i="2" s="1"/>
  <c r="AG1331" i="2"/>
  <c r="AH1331" i="2"/>
  <c r="AI1331" i="2"/>
  <c r="AJ1331" i="2"/>
  <c r="AF1332" i="2"/>
  <c r="AK1332" i="2"/>
  <c r="AG1332" i="2"/>
  <c r="AH1332" i="2"/>
  <c r="AI1332" i="2"/>
  <c r="AJ1332" i="2"/>
  <c r="AF1333" i="2"/>
  <c r="AK1333" i="2" s="1"/>
  <c r="AG1333" i="2"/>
  <c r="AH1333" i="2"/>
  <c r="AI1333" i="2"/>
  <c r="AJ1333" i="2"/>
  <c r="AF1334" i="2"/>
  <c r="AK1334" i="2"/>
  <c r="AG1334" i="2"/>
  <c r="AH1334" i="2"/>
  <c r="AI1334" i="2"/>
  <c r="AJ1334" i="2"/>
  <c r="AF1335" i="2"/>
  <c r="AK1335" i="2" s="1"/>
  <c r="AG1335" i="2"/>
  <c r="AH1335" i="2"/>
  <c r="AI1335" i="2"/>
  <c r="AJ1335" i="2"/>
  <c r="AF1336" i="2"/>
  <c r="AK1336" i="2"/>
  <c r="AG1336" i="2"/>
  <c r="AH1336" i="2"/>
  <c r="AI1336" i="2"/>
  <c r="AJ1336" i="2"/>
  <c r="AF1337" i="2"/>
  <c r="AK1337" i="2" s="1"/>
  <c r="AG1337" i="2"/>
  <c r="AH1337" i="2"/>
  <c r="AI1337" i="2"/>
  <c r="AJ1337" i="2"/>
  <c r="AF1338" i="2"/>
  <c r="AK1338" i="2"/>
  <c r="AG1338" i="2"/>
  <c r="AH1338" i="2"/>
  <c r="AI1338" i="2"/>
  <c r="AJ1338" i="2"/>
  <c r="AF1339" i="2"/>
  <c r="AK1339" i="2" s="1"/>
  <c r="AG1339" i="2"/>
  <c r="AH1339" i="2"/>
  <c r="AI1339" i="2"/>
  <c r="AJ1339" i="2"/>
  <c r="AF1340" i="2"/>
  <c r="AK1340" i="2"/>
  <c r="AG1340" i="2"/>
  <c r="AH1340" i="2"/>
  <c r="AI1340" i="2"/>
  <c r="AJ1340" i="2"/>
  <c r="AF1341" i="2"/>
  <c r="AK1341" i="2" s="1"/>
  <c r="AG1341" i="2"/>
  <c r="AH1341" i="2"/>
  <c r="AI1341" i="2"/>
  <c r="AJ1341" i="2"/>
  <c r="AF1342" i="2"/>
  <c r="AK1342" i="2"/>
  <c r="AG1342" i="2"/>
  <c r="AH1342" i="2"/>
  <c r="AI1342" i="2"/>
  <c r="AJ1342" i="2"/>
  <c r="AF1343" i="2"/>
  <c r="AK1343" i="2" s="1"/>
  <c r="AG1343" i="2"/>
  <c r="AH1343" i="2"/>
  <c r="AI1343" i="2"/>
  <c r="AJ1343" i="2"/>
  <c r="AF1344" i="2"/>
  <c r="AK1344" i="2"/>
  <c r="AG1344" i="2"/>
  <c r="AH1344" i="2"/>
  <c r="AI1344" i="2"/>
  <c r="AJ1344" i="2"/>
  <c r="AF1345" i="2"/>
  <c r="AK1345" i="2" s="1"/>
  <c r="AG1345" i="2"/>
  <c r="AH1345" i="2"/>
  <c r="AI1345" i="2"/>
  <c r="AJ1345" i="2"/>
  <c r="AF1346" i="2"/>
  <c r="AK1346" i="2" s="1"/>
  <c r="AG1346" i="2"/>
  <c r="AH1346" i="2"/>
  <c r="AI1346" i="2"/>
  <c r="AJ1346" i="2"/>
  <c r="AF1347" i="2"/>
  <c r="AK1347" i="2" s="1"/>
  <c r="AG1347" i="2"/>
  <c r="AH1347" i="2"/>
  <c r="AI1347" i="2"/>
  <c r="AJ1347" i="2"/>
  <c r="AF1348" i="2"/>
  <c r="AK1348" i="2"/>
  <c r="AG1348" i="2"/>
  <c r="AH1348" i="2"/>
  <c r="AI1348" i="2"/>
  <c r="AJ1348" i="2"/>
  <c r="AF1349" i="2"/>
  <c r="AK1349" i="2" s="1"/>
  <c r="AG1349" i="2"/>
  <c r="AH1349" i="2"/>
  <c r="AI1349" i="2"/>
  <c r="AJ1349" i="2"/>
  <c r="AF1350" i="2"/>
  <c r="AK1350" i="2" s="1"/>
  <c r="AG1350" i="2"/>
  <c r="AH1350" i="2"/>
  <c r="AI1350" i="2"/>
  <c r="AJ1350" i="2"/>
  <c r="AF1351" i="2"/>
  <c r="AK1351" i="2" s="1"/>
  <c r="AG1351" i="2"/>
  <c r="AH1351" i="2"/>
  <c r="AI1351" i="2"/>
  <c r="AJ1351" i="2"/>
  <c r="AF1352" i="2"/>
  <c r="AK1352" i="2"/>
  <c r="AG1352" i="2"/>
  <c r="AH1352" i="2"/>
  <c r="AI1352" i="2"/>
  <c r="AJ1352" i="2"/>
  <c r="AF1353" i="2"/>
  <c r="AK1353" i="2" s="1"/>
  <c r="AG1353" i="2"/>
  <c r="AH1353" i="2"/>
  <c r="AI1353" i="2"/>
  <c r="AJ1353" i="2"/>
  <c r="AF1354" i="2"/>
  <c r="AK1354" i="2" s="1"/>
  <c r="AG1354" i="2"/>
  <c r="AH1354" i="2"/>
  <c r="AI1354" i="2"/>
  <c r="AJ1354" i="2"/>
  <c r="AF1355" i="2"/>
  <c r="AK1355" i="2" s="1"/>
  <c r="AG1355" i="2"/>
  <c r="AH1355" i="2"/>
  <c r="AI1355" i="2"/>
  <c r="AJ1355" i="2"/>
  <c r="AF1356" i="2"/>
  <c r="AK1356" i="2"/>
  <c r="AG1356" i="2"/>
  <c r="AH1356" i="2"/>
  <c r="AI1356" i="2"/>
  <c r="AJ1356" i="2"/>
  <c r="AF1357" i="2"/>
  <c r="AK1357" i="2"/>
  <c r="AG1357" i="2"/>
  <c r="AH1357" i="2"/>
  <c r="AI1357" i="2"/>
  <c r="AJ1357" i="2"/>
  <c r="AF1358" i="2"/>
  <c r="AK1358" i="2" s="1"/>
  <c r="AG1358" i="2"/>
  <c r="AH1358" i="2"/>
  <c r="AI1358" i="2"/>
  <c r="AJ1358" i="2"/>
  <c r="AF1359" i="2"/>
  <c r="AK1359" i="2"/>
  <c r="AG1359" i="2"/>
  <c r="AH1359" i="2"/>
  <c r="AI1359" i="2"/>
  <c r="AJ1359" i="2"/>
  <c r="AF1360" i="2"/>
  <c r="AK1360" i="2" s="1"/>
  <c r="AG1360" i="2"/>
  <c r="AH1360" i="2"/>
  <c r="AI1360" i="2"/>
  <c r="AJ1360" i="2"/>
  <c r="AF1361" i="2"/>
  <c r="AK1361" i="2"/>
  <c r="AG1361" i="2"/>
  <c r="AH1361" i="2"/>
  <c r="AI1361" i="2"/>
  <c r="AJ1361" i="2"/>
  <c r="AF1362" i="2"/>
  <c r="AK1362" i="2" s="1"/>
  <c r="AG1362" i="2"/>
  <c r="AH1362" i="2"/>
  <c r="AI1362" i="2"/>
  <c r="AJ1362" i="2"/>
  <c r="AF1363" i="2"/>
  <c r="AK1363" i="2"/>
  <c r="AG1363" i="2"/>
  <c r="AH1363" i="2"/>
  <c r="AI1363" i="2"/>
  <c r="AJ1363" i="2"/>
  <c r="AF1364" i="2"/>
  <c r="AK1364" i="2" s="1"/>
  <c r="AG1364" i="2"/>
  <c r="AH1364" i="2"/>
  <c r="AI1364" i="2"/>
  <c r="AJ1364" i="2"/>
  <c r="AF1365" i="2"/>
  <c r="AK1365" i="2"/>
  <c r="AG1365" i="2"/>
  <c r="AH1365" i="2"/>
  <c r="AI1365" i="2"/>
  <c r="AJ1365" i="2"/>
  <c r="AF1366" i="2"/>
  <c r="AK1366" i="2" s="1"/>
  <c r="AG1366" i="2"/>
  <c r="AH1366" i="2"/>
  <c r="AI1366" i="2"/>
  <c r="AJ1366" i="2"/>
  <c r="AF1367" i="2"/>
  <c r="AK1367" i="2"/>
  <c r="AG1367" i="2"/>
  <c r="AH1367" i="2"/>
  <c r="AI1367" i="2"/>
  <c r="AJ1367" i="2"/>
  <c r="AF1368" i="2"/>
  <c r="AK1368" i="2" s="1"/>
  <c r="AG1368" i="2"/>
  <c r="AH1368" i="2"/>
  <c r="AI1368" i="2"/>
  <c r="AJ1368" i="2"/>
  <c r="AF1369" i="2"/>
  <c r="AK1369" i="2"/>
  <c r="AG1369" i="2"/>
  <c r="AH1369" i="2"/>
  <c r="AI1369" i="2"/>
  <c r="AJ1369" i="2"/>
  <c r="AF1370" i="2"/>
  <c r="AK1370" i="2" s="1"/>
  <c r="AG1370" i="2"/>
  <c r="AH1370" i="2"/>
  <c r="AI1370" i="2"/>
  <c r="AJ1370" i="2"/>
  <c r="AF1371" i="2"/>
  <c r="AK1371" i="2"/>
  <c r="AG1371" i="2"/>
  <c r="AH1371" i="2"/>
  <c r="AI1371" i="2"/>
  <c r="AJ1371" i="2"/>
  <c r="AF1372" i="2"/>
  <c r="AK1372" i="2" s="1"/>
  <c r="AG1372" i="2"/>
  <c r="AH1372" i="2"/>
  <c r="AI1372" i="2"/>
  <c r="AJ1372" i="2"/>
  <c r="AF1373" i="2"/>
  <c r="AK1373" i="2"/>
  <c r="AG1373" i="2"/>
  <c r="AH1373" i="2"/>
  <c r="AI1373" i="2"/>
  <c r="AJ1373" i="2"/>
  <c r="AF1374" i="2"/>
  <c r="AK1374" i="2" s="1"/>
  <c r="AG1374" i="2"/>
  <c r="AH1374" i="2"/>
  <c r="AI1374" i="2"/>
  <c r="AJ1374" i="2"/>
  <c r="AF1375" i="2"/>
  <c r="AK1375" i="2"/>
  <c r="AG1375" i="2"/>
  <c r="AH1375" i="2"/>
  <c r="AI1375" i="2"/>
  <c r="AJ1375" i="2"/>
  <c r="AF1376" i="2"/>
  <c r="AK1376" i="2" s="1"/>
  <c r="AG1376" i="2"/>
  <c r="AH1376" i="2"/>
  <c r="AI1376" i="2"/>
  <c r="AJ1376" i="2"/>
  <c r="AF1377" i="2"/>
  <c r="AK1377" i="2"/>
  <c r="AG1377" i="2"/>
  <c r="AH1377" i="2"/>
  <c r="AI1377" i="2"/>
  <c r="AJ1377" i="2"/>
  <c r="AF1378" i="2"/>
  <c r="AK1378" i="2" s="1"/>
  <c r="AG1378" i="2"/>
  <c r="AH1378" i="2"/>
  <c r="AI1378" i="2"/>
  <c r="AJ1378" i="2"/>
  <c r="AF1379" i="2"/>
  <c r="AK1379" i="2"/>
  <c r="AG1379" i="2"/>
  <c r="AH1379" i="2"/>
  <c r="AI1379" i="2"/>
  <c r="AJ1379" i="2"/>
  <c r="AF1380" i="2"/>
  <c r="AK1380" i="2" s="1"/>
  <c r="AG1380" i="2"/>
  <c r="AH1380" i="2"/>
  <c r="AI1380" i="2"/>
  <c r="AJ1380" i="2"/>
  <c r="AF1381" i="2"/>
  <c r="AK1381" i="2"/>
  <c r="AG1381" i="2"/>
  <c r="AH1381" i="2"/>
  <c r="AI1381" i="2"/>
  <c r="AJ1381" i="2"/>
  <c r="AF1382" i="2"/>
  <c r="AK1382" i="2" s="1"/>
  <c r="AG1382" i="2"/>
  <c r="AH1382" i="2"/>
  <c r="AI1382" i="2"/>
  <c r="AJ1382" i="2"/>
  <c r="AF1383" i="2"/>
  <c r="AK1383" i="2"/>
  <c r="AG1383" i="2"/>
  <c r="AH1383" i="2"/>
  <c r="AI1383" i="2"/>
  <c r="AJ1383" i="2"/>
  <c r="AF1384" i="2"/>
  <c r="AK1384" i="2" s="1"/>
  <c r="AG1384" i="2"/>
  <c r="AH1384" i="2"/>
  <c r="AI1384" i="2"/>
  <c r="AJ1384" i="2"/>
  <c r="AF1385" i="2"/>
  <c r="AK1385" i="2"/>
  <c r="AG1385" i="2"/>
  <c r="AH1385" i="2"/>
  <c r="AI1385" i="2"/>
  <c r="AJ1385" i="2"/>
  <c r="AF1386" i="2"/>
  <c r="AK1386" i="2" s="1"/>
  <c r="AG1386" i="2"/>
  <c r="AH1386" i="2"/>
  <c r="AI1386" i="2"/>
  <c r="AJ1386" i="2"/>
  <c r="AF1387" i="2"/>
  <c r="AK1387" i="2"/>
  <c r="AG1387" i="2"/>
  <c r="AH1387" i="2"/>
  <c r="AI1387" i="2"/>
  <c r="AJ1387" i="2"/>
  <c r="AF1388" i="2"/>
  <c r="AK1388" i="2" s="1"/>
  <c r="AG1388" i="2"/>
  <c r="AH1388" i="2"/>
  <c r="AI1388" i="2"/>
  <c r="AJ1388" i="2"/>
  <c r="AF1389" i="2"/>
  <c r="AK1389" i="2"/>
  <c r="AG1389" i="2"/>
  <c r="AH1389" i="2"/>
  <c r="AI1389" i="2"/>
  <c r="AJ1389" i="2"/>
  <c r="AF1390" i="2"/>
  <c r="AK1390" i="2" s="1"/>
  <c r="AG1390" i="2"/>
  <c r="AH1390" i="2"/>
  <c r="AI1390" i="2"/>
  <c r="AJ1390" i="2"/>
  <c r="AF1391" i="2"/>
  <c r="AK1391" i="2"/>
  <c r="AG1391" i="2"/>
  <c r="AH1391" i="2"/>
  <c r="AI1391" i="2"/>
  <c r="AJ1391" i="2"/>
  <c r="AF1392" i="2"/>
  <c r="AK1392" i="2" s="1"/>
  <c r="AG1392" i="2"/>
  <c r="AH1392" i="2"/>
  <c r="AI1392" i="2"/>
  <c r="AJ1392" i="2"/>
  <c r="AF1393" i="2"/>
  <c r="AK1393" i="2"/>
  <c r="AG1393" i="2"/>
  <c r="AH1393" i="2"/>
  <c r="AI1393" i="2"/>
  <c r="AJ1393" i="2"/>
  <c r="AF1394" i="2"/>
  <c r="AK1394" i="2" s="1"/>
  <c r="AG1394" i="2"/>
  <c r="AH1394" i="2"/>
  <c r="AI1394" i="2"/>
  <c r="AJ1394" i="2"/>
  <c r="AF1395" i="2"/>
  <c r="AK1395" i="2"/>
  <c r="AG1395" i="2"/>
  <c r="AH1395" i="2"/>
  <c r="AI1395" i="2"/>
  <c r="AJ1395" i="2"/>
  <c r="AF1396" i="2"/>
  <c r="AK1396" i="2" s="1"/>
  <c r="AG1396" i="2"/>
  <c r="AH1396" i="2"/>
  <c r="AI1396" i="2"/>
  <c r="AJ1396" i="2"/>
  <c r="AF1397" i="2"/>
  <c r="AK1397" i="2"/>
  <c r="AG1397" i="2"/>
  <c r="AH1397" i="2"/>
  <c r="AI1397" i="2"/>
  <c r="AJ1397" i="2"/>
  <c r="AF1398" i="2"/>
  <c r="AK1398" i="2" s="1"/>
  <c r="AG1398" i="2"/>
  <c r="AH1398" i="2"/>
  <c r="AI1398" i="2"/>
  <c r="AJ1398" i="2"/>
  <c r="AF1399" i="2"/>
  <c r="AK1399" i="2"/>
  <c r="AG1399" i="2"/>
  <c r="AH1399" i="2"/>
  <c r="AI1399" i="2"/>
  <c r="AJ1399" i="2"/>
  <c r="AF1400" i="2"/>
  <c r="AK1400" i="2" s="1"/>
  <c r="AG1400" i="2"/>
  <c r="AH1400" i="2"/>
  <c r="AI1400" i="2"/>
  <c r="AJ1400" i="2"/>
  <c r="AF1401" i="2"/>
  <c r="AK1401" i="2"/>
  <c r="AG1401" i="2"/>
  <c r="AH1401" i="2"/>
  <c r="AI1401" i="2"/>
  <c r="AJ1401" i="2"/>
  <c r="AF1402" i="2"/>
  <c r="AK1402" i="2" s="1"/>
  <c r="AG1402" i="2"/>
  <c r="AH1402" i="2"/>
  <c r="AI1402" i="2"/>
  <c r="AJ1402" i="2"/>
  <c r="AF1403" i="2"/>
  <c r="AK1403" i="2"/>
  <c r="AG1403" i="2"/>
  <c r="AH1403" i="2"/>
  <c r="AI1403" i="2"/>
  <c r="AJ1403" i="2"/>
  <c r="AF1404" i="2"/>
  <c r="AK1404" i="2" s="1"/>
  <c r="AG1404" i="2"/>
  <c r="AH1404" i="2"/>
  <c r="AI1404" i="2"/>
  <c r="AJ1404" i="2"/>
  <c r="AF1405" i="2"/>
  <c r="AK1405" i="2"/>
  <c r="AG1405" i="2"/>
  <c r="AH1405" i="2"/>
  <c r="AI1405" i="2"/>
  <c r="AJ1405" i="2"/>
  <c r="AF1406" i="2"/>
  <c r="AK1406" i="2" s="1"/>
  <c r="AG1406" i="2"/>
  <c r="AH1406" i="2"/>
  <c r="AI1406" i="2"/>
  <c r="AJ1406" i="2"/>
  <c r="AF1407" i="2"/>
  <c r="AK1407" i="2"/>
  <c r="AG1407" i="2"/>
  <c r="AH1407" i="2"/>
  <c r="AI1407" i="2"/>
  <c r="AJ1407" i="2"/>
  <c r="AF1408" i="2"/>
  <c r="AK1408" i="2" s="1"/>
  <c r="AG1408" i="2"/>
  <c r="AH1408" i="2"/>
  <c r="AI1408" i="2"/>
  <c r="AJ1408" i="2"/>
  <c r="AF1409" i="2"/>
  <c r="AK1409" i="2"/>
  <c r="AG1409" i="2"/>
  <c r="AH1409" i="2"/>
  <c r="AI1409" i="2"/>
  <c r="AJ1409" i="2"/>
  <c r="AF1410" i="2"/>
  <c r="AK1410" i="2" s="1"/>
  <c r="AG1410" i="2"/>
  <c r="AH1410" i="2"/>
  <c r="AI1410" i="2"/>
  <c r="AJ1410" i="2"/>
  <c r="AF1411" i="2"/>
  <c r="AK1411" i="2"/>
  <c r="AG1411" i="2"/>
  <c r="AH1411" i="2"/>
  <c r="AI1411" i="2"/>
  <c r="AJ1411" i="2"/>
  <c r="AF1412" i="2"/>
  <c r="AK1412" i="2" s="1"/>
  <c r="AG1412" i="2"/>
  <c r="AH1412" i="2"/>
  <c r="AI1412" i="2"/>
  <c r="AJ1412" i="2"/>
  <c r="AF1413" i="2"/>
  <c r="AK1413" i="2"/>
  <c r="AG1413" i="2"/>
  <c r="AH1413" i="2"/>
  <c r="AI1413" i="2"/>
  <c r="AJ1413" i="2"/>
  <c r="AF1414" i="2"/>
  <c r="AK1414" i="2" s="1"/>
  <c r="AG1414" i="2"/>
  <c r="AH1414" i="2"/>
  <c r="AI1414" i="2"/>
  <c r="AJ1414" i="2"/>
  <c r="AF1415" i="2"/>
  <c r="AK1415" i="2"/>
  <c r="AG1415" i="2"/>
  <c r="AH1415" i="2"/>
  <c r="AI1415" i="2"/>
  <c r="AJ1415" i="2"/>
  <c r="AF1416" i="2"/>
  <c r="AK1416" i="2" s="1"/>
  <c r="AG1416" i="2"/>
  <c r="AH1416" i="2"/>
  <c r="AI1416" i="2"/>
  <c r="AJ1416" i="2"/>
  <c r="AF1417" i="2"/>
  <c r="AK1417" i="2" s="1"/>
  <c r="AG1417" i="2"/>
  <c r="AH1417" i="2"/>
  <c r="AI1417" i="2"/>
  <c r="AJ1417" i="2"/>
  <c r="AF1418" i="2"/>
  <c r="AK1418" i="2" s="1"/>
  <c r="AG1418" i="2"/>
  <c r="AH1418" i="2"/>
  <c r="AI1418" i="2"/>
  <c r="AJ1418" i="2"/>
  <c r="AF1419" i="2"/>
  <c r="AK1419" i="2"/>
  <c r="AG1419" i="2"/>
  <c r="AH1419" i="2"/>
  <c r="AI1419" i="2"/>
  <c r="AJ1419" i="2"/>
  <c r="AF1420" i="2"/>
  <c r="AK1420" i="2" s="1"/>
  <c r="AG1420" i="2"/>
  <c r="AH1420" i="2"/>
  <c r="AI1420" i="2"/>
  <c r="AJ1420" i="2"/>
  <c r="AF1421" i="2"/>
  <c r="AK1421" i="2"/>
  <c r="AG1421" i="2"/>
  <c r="AH1421" i="2"/>
  <c r="AI1421" i="2"/>
  <c r="AJ1421" i="2"/>
  <c r="AF1422" i="2"/>
  <c r="AK1422" i="2" s="1"/>
  <c r="AG1422" i="2"/>
  <c r="AH1422" i="2"/>
  <c r="AI1422" i="2"/>
  <c r="AJ1422" i="2"/>
  <c r="AF1423" i="2"/>
  <c r="AK1423" i="2"/>
  <c r="AG1423" i="2"/>
  <c r="AH1423" i="2"/>
  <c r="AI1423" i="2"/>
  <c r="AJ1423" i="2"/>
  <c r="AF1424" i="2"/>
  <c r="AK1424" i="2" s="1"/>
  <c r="AG1424" i="2"/>
  <c r="AH1424" i="2"/>
  <c r="AI1424" i="2"/>
  <c r="AJ1424" i="2"/>
  <c r="AF1425" i="2"/>
  <c r="AK1425" i="2" s="1"/>
  <c r="AG1425" i="2"/>
  <c r="AH1425" i="2"/>
  <c r="AI1425" i="2"/>
  <c r="AJ1425" i="2"/>
  <c r="AF1426" i="2"/>
  <c r="AK1426" i="2" s="1"/>
  <c r="AG1426" i="2"/>
  <c r="AH1426" i="2"/>
  <c r="AI1426" i="2"/>
  <c r="AJ1426" i="2"/>
  <c r="AF1427" i="2"/>
  <c r="AK1427" i="2"/>
  <c r="AG1427" i="2"/>
  <c r="AH1427" i="2"/>
  <c r="AI1427" i="2"/>
  <c r="AJ1427" i="2"/>
  <c r="AF1428" i="2"/>
  <c r="AK1428" i="2" s="1"/>
  <c r="AG1428" i="2"/>
  <c r="AH1428" i="2"/>
  <c r="AI1428" i="2"/>
  <c r="AJ1428" i="2"/>
  <c r="AF1429" i="2"/>
  <c r="AK1429" i="2"/>
  <c r="AG1429" i="2"/>
  <c r="AH1429" i="2"/>
  <c r="AI1429" i="2"/>
  <c r="AJ1429" i="2"/>
  <c r="AF1430" i="2"/>
  <c r="AK1430" i="2" s="1"/>
  <c r="AG1430" i="2"/>
  <c r="AH1430" i="2"/>
  <c r="AI1430" i="2"/>
  <c r="AJ1430" i="2"/>
  <c r="AF1431" i="2"/>
  <c r="AK1431" i="2"/>
  <c r="AG1431" i="2"/>
  <c r="AH1431" i="2"/>
  <c r="AI1431" i="2"/>
  <c r="AJ1431" i="2"/>
  <c r="AF1432" i="2"/>
  <c r="AK1432" i="2" s="1"/>
  <c r="AG1432" i="2"/>
  <c r="AH1432" i="2"/>
  <c r="AI1432" i="2"/>
  <c r="AJ1432" i="2"/>
  <c r="AF1433" i="2"/>
  <c r="AK1433" i="2" s="1"/>
  <c r="AG1433" i="2"/>
  <c r="AH1433" i="2"/>
  <c r="AI1433" i="2"/>
  <c r="AJ1433" i="2"/>
  <c r="AF1434" i="2"/>
  <c r="AK1434" i="2" s="1"/>
  <c r="AG1434" i="2"/>
  <c r="AH1434" i="2"/>
  <c r="AI1434" i="2"/>
  <c r="AJ1434" i="2"/>
  <c r="AF1435" i="2"/>
  <c r="AK1435" i="2"/>
  <c r="AG1435" i="2"/>
  <c r="AH1435" i="2"/>
  <c r="AI1435" i="2"/>
  <c r="AJ1435" i="2"/>
  <c r="AF1436" i="2"/>
  <c r="AK1436" i="2" s="1"/>
  <c r="AG1436" i="2"/>
  <c r="AH1436" i="2"/>
  <c r="AI1436" i="2"/>
  <c r="AJ1436" i="2"/>
  <c r="AF1437" i="2"/>
  <c r="AK1437" i="2"/>
  <c r="AG1437" i="2"/>
  <c r="AH1437" i="2"/>
  <c r="AI1437" i="2"/>
  <c r="AJ1437" i="2"/>
  <c r="AF1438" i="2"/>
  <c r="AK1438" i="2" s="1"/>
  <c r="AG1438" i="2"/>
  <c r="AH1438" i="2"/>
  <c r="AI1438" i="2"/>
  <c r="AJ1438" i="2"/>
  <c r="AF1439" i="2"/>
  <c r="AK1439" i="2"/>
  <c r="AG1439" i="2"/>
  <c r="AH1439" i="2"/>
  <c r="AI1439" i="2"/>
  <c r="AJ1439" i="2"/>
  <c r="AF1440" i="2"/>
  <c r="AK1440" i="2" s="1"/>
  <c r="AG1440" i="2"/>
  <c r="AH1440" i="2"/>
  <c r="AI1440" i="2"/>
  <c r="AJ1440" i="2"/>
  <c r="AF1441" i="2"/>
  <c r="AK1441" i="2" s="1"/>
  <c r="AG1441" i="2"/>
  <c r="AH1441" i="2"/>
  <c r="AI1441" i="2"/>
  <c r="AJ1441" i="2"/>
  <c r="AF1442" i="2"/>
  <c r="AK1442" i="2" s="1"/>
  <c r="AG1442" i="2"/>
  <c r="AH1442" i="2"/>
  <c r="AI1442" i="2"/>
  <c r="AJ1442" i="2"/>
  <c r="AF1443" i="2"/>
  <c r="AK1443" i="2"/>
  <c r="AG1443" i="2"/>
  <c r="AH1443" i="2"/>
  <c r="AI1443" i="2"/>
  <c r="AJ1443" i="2"/>
  <c r="AF1444" i="2"/>
  <c r="AK1444" i="2" s="1"/>
  <c r="AG1444" i="2"/>
  <c r="AH1444" i="2"/>
  <c r="AI1444" i="2"/>
  <c r="AJ1444" i="2"/>
  <c r="AF1445" i="2"/>
  <c r="AK1445" i="2"/>
  <c r="AG1445" i="2"/>
  <c r="AH1445" i="2"/>
  <c r="AI1445" i="2"/>
  <c r="AJ1445" i="2"/>
  <c r="AF1446" i="2"/>
  <c r="AK1446" i="2" s="1"/>
  <c r="AG1446" i="2"/>
  <c r="AH1446" i="2"/>
  <c r="AI1446" i="2"/>
  <c r="AJ1446" i="2"/>
  <c r="AF1447" i="2"/>
  <c r="AK1447" i="2"/>
  <c r="AG1447" i="2"/>
  <c r="AH1447" i="2"/>
  <c r="AI1447" i="2"/>
  <c r="AJ1447" i="2"/>
  <c r="AF1448" i="2"/>
  <c r="AK1448" i="2" s="1"/>
  <c r="AG1448" i="2"/>
  <c r="AH1448" i="2"/>
  <c r="AI1448" i="2"/>
  <c r="AJ1448" i="2"/>
  <c r="AF1449" i="2"/>
  <c r="AK1449" i="2" s="1"/>
  <c r="AG1449" i="2"/>
  <c r="AH1449" i="2"/>
  <c r="AI1449" i="2"/>
  <c r="AJ1449" i="2"/>
  <c r="AF1450" i="2"/>
  <c r="AK1450" i="2"/>
  <c r="AG1450" i="2"/>
  <c r="AH1450" i="2"/>
  <c r="AI1450" i="2"/>
  <c r="AJ1450" i="2"/>
  <c r="AF1451" i="2"/>
  <c r="AK1451" i="2" s="1"/>
  <c r="AG1451" i="2"/>
  <c r="AH1451" i="2"/>
  <c r="AI1451" i="2"/>
  <c r="AJ1451" i="2"/>
  <c r="AF1452" i="2"/>
  <c r="AK1452" i="2"/>
  <c r="AG1452" i="2"/>
  <c r="AH1452" i="2"/>
  <c r="AI1452" i="2"/>
  <c r="AJ1452" i="2"/>
  <c r="AF1453" i="2"/>
  <c r="AK1453" i="2" s="1"/>
  <c r="AG1453" i="2"/>
  <c r="AH1453" i="2"/>
  <c r="AI1453" i="2"/>
  <c r="AJ1453" i="2"/>
  <c r="AF1454" i="2"/>
  <c r="AK1454" i="2"/>
  <c r="AG1454" i="2"/>
  <c r="AH1454" i="2"/>
  <c r="AI1454" i="2"/>
  <c r="AJ1454" i="2"/>
  <c r="AF1455" i="2"/>
  <c r="AK1455" i="2" s="1"/>
  <c r="AG1455" i="2"/>
  <c r="AH1455" i="2"/>
  <c r="AL1455" i="2" s="1"/>
  <c r="AI1455" i="2"/>
  <c r="AJ1455" i="2"/>
  <c r="AF1456" i="2"/>
  <c r="AK1456" i="2"/>
  <c r="AG1456" i="2"/>
  <c r="AH1456" i="2"/>
  <c r="AI1456" i="2"/>
  <c r="AJ1456" i="2"/>
  <c r="AF1457" i="2"/>
  <c r="AK1457" i="2"/>
  <c r="AG1457" i="2"/>
  <c r="AH1457" i="2"/>
  <c r="AI1457" i="2"/>
  <c r="AJ1457" i="2"/>
  <c r="AF1458" i="2"/>
  <c r="AK1458" i="2"/>
  <c r="AG1458" i="2"/>
  <c r="AH1458" i="2"/>
  <c r="AI1458" i="2"/>
  <c r="AJ1458" i="2"/>
  <c r="AF1459" i="2"/>
  <c r="AK1459" i="2"/>
  <c r="AG1459" i="2"/>
  <c r="AH1459" i="2"/>
  <c r="AI1459" i="2"/>
  <c r="AJ1459" i="2"/>
  <c r="AF1460" i="2"/>
  <c r="AK1460" i="2"/>
  <c r="AG1460" i="2"/>
  <c r="AH1460" i="2"/>
  <c r="AI1460" i="2"/>
  <c r="AJ1460" i="2"/>
  <c r="AF1461" i="2"/>
  <c r="AK1461" i="2"/>
  <c r="AG1461" i="2"/>
  <c r="AH1461" i="2"/>
  <c r="AI1461" i="2"/>
  <c r="AJ1461" i="2"/>
  <c r="AF1462" i="2"/>
  <c r="AK1462" i="2"/>
  <c r="AG1462" i="2"/>
  <c r="AH1462" i="2"/>
  <c r="AI1462" i="2"/>
  <c r="AJ1462" i="2"/>
  <c r="AF1463" i="2"/>
  <c r="AK1463" i="2"/>
  <c r="AG1463" i="2"/>
  <c r="AH1463" i="2"/>
  <c r="AI1463" i="2"/>
  <c r="AJ1463" i="2"/>
  <c r="AF1464" i="2"/>
  <c r="AK1464" i="2"/>
  <c r="AG1464" i="2"/>
  <c r="AH1464" i="2"/>
  <c r="AI1464" i="2"/>
  <c r="AJ1464" i="2"/>
  <c r="AF1465" i="2"/>
  <c r="AK1465" i="2"/>
  <c r="AG1465" i="2"/>
  <c r="AH1465" i="2"/>
  <c r="AI1465" i="2"/>
  <c r="AJ1465" i="2"/>
  <c r="AF1466" i="2"/>
  <c r="AK1466" i="2"/>
  <c r="AG1466" i="2"/>
  <c r="AH1466" i="2"/>
  <c r="AI1466" i="2"/>
  <c r="AJ1466" i="2"/>
  <c r="AF1467" i="2"/>
  <c r="AK1467" i="2"/>
  <c r="AG1467" i="2"/>
  <c r="AH1467" i="2"/>
  <c r="AI1467" i="2"/>
  <c r="AJ1467" i="2"/>
  <c r="AF1468" i="2"/>
  <c r="AK1468" i="2"/>
  <c r="AG1468" i="2"/>
  <c r="AH1468" i="2"/>
  <c r="AI1468" i="2"/>
  <c r="AJ1468" i="2"/>
  <c r="AF1469" i="2"/>
  <c r="AK1469" i="2"/>
  <c r="AG1469" i="2"/>
  <c r="AH1469" i="2"/>
  <c r="AI1469" i="2"/>
  <c r="AJ1469" i="2"/>
  <c r="AF1470" i="2"/>
  <c r="AK1470" i="2"/>
  <c r="AG1470" i="2"/>
  <c r="AH1470" i="2"/>
  <c r="AI1470" i="2"/>
  <c r="AJ1470" i="2"/>
  <c r="AF1471" i="2"/>
  <c r="AK1471" i="2"/>
  <c r="AG1471" i="2"/>
  <c r="AH1471" i="2"/>
  <c r="AI1471" i="2"/>
  <c r="AJ1471" i="2"/>
  <c r="AF1472" i="2"/>
  <c r="AK1472" i="2"/>
  <c r="AG1472" i="2"/>
  <c r="AH1472" i="2"/>
  <c r="AI1472" i="2"/>
  <c r="AJ1472" i="2"/>
  <c r="AF1473" i="2"/>
  <c r="AK1473" i="2"/>
  <c r="AG1473" i="2"/>
  <c r="AH1473" i="2"/>
  <c r="AI1473" i="2"/>
  <c r="AJ1473" i="2"/>
  <c r="AF1474" i="2"/>
  <c r="AK1474" i="2"/>
  <c r="AG1474" i="2"/>
  <c r="AH1474" i="2"/>
  <c r="AI1474" i="2"/>
  <c r="AJ1474" i="2"/>
  <c r="AF1475" i="2"/>
  <c r="AK1475" i="2"/>
  <c r="AG1475" i="2"/>
  <c r="AH1475" i="2"/>
  <c r="AI1475" i="2"/>
  <c r="AJ1475" i="2"/>
  <c r="AF1476" i="2"/>
  <c r="AK1476" i="2"/>
  <c r="AG1476" i="2"/>
  <c r="AH1476" i="2"/>
  <c r="AI1476" i="2"/>
  <c r="AJ1476" i="2"/>
  <c r="AF1477" i="2"/>
  <c r="AK1477" i="2"/>
  <c r="AG1477" i="2"/>
  <c r="AH1477" i="2"/>
  <c r="AI1477" i="2"/>
  <c r="AJ1477" i="2"/>
  <c r="AF1478" i="2"/>
  <c r="AK1478" i="2"/>
  <c r="AG1478" i="2"/>
  <c r="AH1478" i="2"/>
  <c r="AI1478" i="2"/>
  <c r="AJ1478" i="2"/>
  <c r="AF1479" i="2"/>
  <c r="AK1479" i="2"/>
  <c r="AG1479" i="2"/>
  <c r="AH1479" i="2"/>
  <c r="AI1479" i="2"/>
  <c r="AJ1479" i="2"/>
  <c r="AF1480" i="2"/>
  <c r="AK1480" i="2"/>
  <c r="AG1480" i="2"/>
  <c r="AH1480" i="2"/>
  <c r="AI1480" i="2"/>
  <c r="AJ1480" i="2"/>
  <c r="AF1481" i="2"/>
  <c r="AK1481" i="2"/>
  <c r="AG1481" i="2"/>
  <c r="AH1481" i="2"/>
  <c r="AI1481" i="2"/>
  <c r="AJ1481" i="2"/>
  <c r="AF1482" i="2"/>
  <c r="AK1482" i="2"/>
  <c r="AG1482" i="2"/>
  <c r="AH1482" i="2"/>
  <c r="AI1482" i="2"/>
  <c r="AJ1482" i="2"/>
  <c r="AF1483" i="2"/>
  <c r="AK1483" i="2"/>
  <c r="AG1483" i="2"/>
  <c r="AH1483" i="2"/>
  <c r="AI1483" i="2"/>
  <c r="AJ1483" i="2"/>
  <c r="AF1484" i="2"/>
  <c r="AK1484" i="2"/>
  <c r="AG1484" i="2"/>
  <c r="AH1484" i="2"/>
  <c r="AI1484" i="2"/>
  <c r="AJ1484" i="2"/>
  <c r="AF1485" i="2"/>
  <c r="AK1485" i="2"/>
  <c r="AG1485" i="2"/>
  <c r="AH1485" i="2"/>
  <c r="AI1485" i="2"/>
  <c r="AJ1485" i="2"/>
  <c r="AF1486" i="2"/>
  <c r="AK1486" i="2"/>
  <c r="AG1486" i="2"/>
  <c r="AH1486" i="2"/>
  <c r="AI1486" i="2"/>
  <c r="AJ1486" i="2"/>
  <c r="AF1487" i="2"/>
  <c r="AK1487" i="2"/>
  <c r="AG1487" i="2"/>
  <c r="AH1487" i="2"/>
  <c r="AI1487" i="2"/>
  <c r="AJ1487" i="2"/>
  <c r="AF1488" i="2"/>
  <c r="AK1488" i="2" s="1"/>
  <c r="AG1488" i="2"/>
  <c r="AH1488" i="2"/>
  <c r="AI1488" i="2"/>
  <c r="AJ1488" i="2"/>
  <c r="AF1489" i="2"/>
  <c r="AK1489" i="2"/>
  <c r="AG1489" i="2"/>
  <c r="AH1489" i="2"/>
  <c r="AI1489" i="2"/>
  <c r="AJ1489" i="2"/>
  <c r="AF1490" i="2"/>
  <c r="AK1490" i="2" s="1"/>
  <c r="AG1490" i="2"/>
  <c r="AH1490" i="2"/>
  <c r="AI1490" i="2"/>
  <c r="AJ1490" i="2"/>
  <c r="AF1491" i="2"/>
  <c r="AK1491" i="2"/>
  <c r="AG1491" i="2"/>
  <c r="AH1491" i="2"/>
  <c r="AI1491" i="2"/>
  <c r="AJ1491" i="2"/>
  <c r="AF1492" i="2"/>
  <c r="AK1492" i="2" s="1"/>
  <c r="AG1492" i="2"/>
  <c r="AH1492" i="2"/>
  <c r="AI1492" i="2"/>
  <c r="AJ1492" i="2"/>
  <c r="AF1493" i="2"/>
  <c r="AK1493" i="2"/>
  <c r="AG1493" i="2"/>
  <c r="AH1493" i="2"/>
  <c r="AI1493" i="2"/>
  <c r="AJ1493" i="2"/>
  <c r="AF1494" i="2"/>
  <c r="AK1494" i="2" s="1"/>
  <c r="AG1494" i="2"/>
  <c r="AH1494" i="2"/>
  <c r="AI1494" i="2"/>
  <c r="AJ1494" i="2"/>
  <c r="AF1495" i="2"/>
  <c r="AK1495" i="2"/>
  <c r="AG1495" i="2"/>
  <c r="AH1495" i="2"/>
  <c r="AI1495" i="2"/>
  <c r="AJ1495" i="2"/>
  <c r="AF1496" i="2"/>
  <c r="AK1496" i="2" s="1"/>
  <c r="AG1496" i="2"/>
  <c r="AH1496" i="2"/>
  <c r="AI1496" i="2"/>
  <c r="AJ1496" i="2"/>
  <c r="AF1497" i="2"/>
  <c r="AK1497" i="2"/>
  <c r="AG1497" i="2"/>
  <c r="AH1497" i="2"/>
  <c r="AI1497" i="2"/>
  <c r="AJ1497" i="2"/>
  <c r="AF1498" i="2"/>
  <c r="AK1498" i="2" s="1"/>
  <c r="AG1498" i="2"/>
  <c r="AH1498" i="2"/>
  <c r="AI1498" i="2"/>
  <c r="AJ1498" i="2"/>
  <c r="AF1499" i="2"/>
  <c r="AK1499" i="2"/>
  <c r="AG1499" i="2"/>
  <c r="AH1499" i="2"/>
  <c r="AI1499" i="2"/>
  <c r="AJ1499" i="2"/>
  <c r="AF1500" i="2"/>
  <c r="AK1500" i="2" s="1"/>
  <c r="AG1500" i="2"/>
  <c r="AH1500" i="2"/>
  <c r="AI1500" i="2"/>
  <c r="AJ1500" i="2"/>
  <c r="AF1501" i="2"/>
  <c r="AK1501" i="2"/>
  <c r="AG1501" i="2"/>
  <c r="AH1501" i="2"/>
  <c r="AI1501" i="2"/>
  <c r="AJ1501" i="2"/>
  <c r="AF1502" i="2"/>
  <c r="AK1502" i="2" s="1"/>
  <c r="AG1502" i="2"/>
  <c r="AH1502" i="2"/>
  <c r="AI1502" i="2"/>
  <c r="AJ1502" i="2"/>
  <c r="AF1503" i="2"/>
  <c r="AK1503" i="2"/>
  <c r="AG1503" i="2"/>
  <c r="AH1503" i="2"/>
  <c r="AI1503" i="2"/>
  <c r="AJ1503" i="2"/>
  <c r="AF1504" i="2"/>
  <c r="AK1504" i="2" s="1"/>
  <c r="AG1504" i="2"/>
  <c r="AH1504" i="2"/>
  <c r="AI1504" i="2"/>
  <c r="AJ1504" i="2"/>
  <c r="AF1505" i="2"/>
  <c r="AK1505" i="2"/>
  <c r="AG1505" i="2"/>
  <c r="AH1505" i="2"/>
  <c r="AI1505" i="2"/>
  <c r="AJ1505" i="2"/>
  <c r="AF1506" i="2"/>
  <c r="AK1506" i="2" s="1"/>
  <c r="AG1506" i="2"/>
  <c r="AH1506" i="2"/>
  <c r="AI1506" i="2"/>
  <c r="AJ1506" i="2"/>
  <c r="AF1507" i="2"/>
  <c r="AK1507" i="2"/>
  <c r="AG1507" i="2"/>
  <c r="AH1507" i="2"/>
  <c r="AI1507" i="2"/>
  <c r="AJ1507" i="2"/>
  <c r="AF1508" i="2"/>
  <c r="AK1508" i="2" s="1"/>
  <c r="AG1508" i="2"/>
  <c r="AH1508" i="2"/>
  <c r="AI1508" i="2"/>
  <c r="AJ1508" i="2"/>
  <c r="AF1509" i="2"/>
  <c r="AK1509" i="2"/>
  <c r="AG1509" i="2"/>
  <c r="AL1509" i="2" s="1"/>
  <c r="AH1509" i="2"/>
  <c r="AI1509" i="2"/>
  <c r="AJ1509" i="2"/>
  <c r="AF1510" i="2"/>
  <c r="AK1510" i="2"/>
  <c r="AG1510" i="2"/>
  <c r="AH1510" i="2"/>
  <c r="AI1510" i="2"/>
  <c r="AJ1510" i="2"/>
  <c r="AF1511" i="2"/>
  <c r="AK1511" i="2"/>
  <c r="AG1511" i="2"/>
  <c r="AH1511" i="2"/>
  <c r="AI1511" i="2"/>
  <c r="AJ1511" i="2"/>
  <c r="AF1512" i="2"/>
  <c r="AK1512" i="2"/>
  <c r="AG1512" i="2"/>
  <c r="AH1512" i="2"/>
  <c r="AI1512" i="2"/>
  <c r="AJ1512" i="2"/>
  <c r="AF1513" i="2"/>
  <c r="AK1513" i="2"/>
  <c r="AG1513" i="2"/>
  <c r="AH1513" i="2"/>
  <c r="AI1513" i="2"/>
  <c r="AJ1513" i="2"/>
  <c r="AF1514" i="2"/>
  <c r="AK1514" i="2"/>
  <c r="AG1514" i="2"/>
  <c r="AH1514" i="2"/>
  <c r="AI1514" i="2"/>
  <c r="AJ1514" i="2"/>
  <c r="AF1515" i="2"/>
  <c r="AK1515" i="2"/>
  <c r="AG1515" i="2"/>
  <c r="AH1515" i="2"/>
  <c r="AI1515" i="2"/>
  <c r="AJ1515" i="2"/>
  <c r="AF1516" i="2"/>
  <c r="AK1516" i="2"/>
  <c r="AG1516" i="2"/>
  <c r="AH1516" i="2"/>
  <c r="AI1516" i="2"/>
  <c r="AJ1516" i="2"/>
  <c r="AF1517" i="2"/>
  <c r="AK1517" i="2"/>
  <c r="AG1517" i="2"/>
  <c r="AH1517" i="2"/>
  <c r="AI1517" i="2"/>
  <c r="AJ1517" i="2"/>
  <c r="AF1518" i="2"/>
  <c r="AK1518" i="2"/>
  <c r="AG1518" i="2"/>
  <c r="AH1518" i="2"/>
  <c r="AI1518" i="2"/>
  <c r="AJ1518" i="2"/>
  <c r="AF1519" i="2"/>
  <c r="AK1519" i="2"/>
  <c r="AG1519" i="2"/>
  <c r="AH1519" i="2"/>
  <c r="AI1519" i="2"/>
  <c r="AJ1519" i="2"/>
  <c r="AF1520" i="2"/>
  <c r="AK1520" i="2"/>
  <c r="AG1520" i="2"/>
  <c r="AH1520" i="2"/>
  <c r="AI1520" i="2"/>
  <c r="AJ1520" i="2"/>
  <c r="AF1521" i="2"/>
  <c r="AK1521" i="2"/>
  <c r="AG1521" i="2"/>
  <c r="AH1521" i="2"/>
  <c r="AI1521" i="2"/>
  <c r="AJ1521" i="2"/>
  <c r="AF1522" i="2"/>
  <c r="AK1522" i="2"/>
  <c r="AG1522" i="2"/>
  <c r="AH1522" i="2"/>
  <c r="AI1522" i="2"/>
  <c r="AJ1522" i="2"/>
  <c r="AF1523" i="2"/>
  <c r="AK1523" i="2"/>
  <c r="AG1523" i="2"/>
  <c r="AH1523" i="2"/>
  <c r="AI1523" i="2"/>
  <c r="AJ1523" i="2"/>
  <c r="AF1524" i="2"/>
  <c r="AK1524" i="2"/>
  <c r="AG1524" i="2"/>
  <c r="AH1524" i="2"/>
  <c r="AI1524" i="2"/>
  <c r="AJ1524" i="2"/>
  <c r="AF1525" i="2"/>
  <c r="AK1525" i="2"/>
  <c r="AG1525" i="2"/>
  <c r="AH1525" i="2"/>
  <c r="AI1525" i="2"/>
  <c r="AJ1525" i="2"/>
  <c r="AF1526" i="2"/>
  <c r="AK1526" i="2"/>
  <c r="AG1526" i="2"/>
  <c r="AH1526" i="2"/>
  <c r="AI1526" i="2"/>
  <c r="AJ1526" i="2"/>
  <c r="AF1527" i="2"/>
  <c r="AK1527" i="2"/>
  <c r="AG1527" i="2"/>
  <c r="AH1527" i="2"/>
  <c r="AI1527" i="2"/>
  <c r="AJ1527" i="2"/>
  <c r="AF1528" i="2"/>
  <c r="AK1528" i="2"/>
  <c r="AG1528" i="2"/>
  <c r="AH1528" i="2"/>
  <c r="AI1528" i="2"/>
  <c r="AJ1528" i="2"/>
  <c r="AF1529" i="2"/>
  <c r="AK1529" i="2"/>
  <c r="AG1529" i="2"/>
  <c r="AH1529" i="2"/>
  <c r="AI1529" i="2"/>
  <c r="AJ1529" i="2"/>
  <c r="AF1530" i="2"/>
  <c r="AK1530" i="2"/>
  <c r="AG1530" i="2"/>
  <c r="AH1530" i="2"/>
  <c r="AI1530" i="2"/>
  <c r="AJ1530" i="2"/>
  <c r="AF1531" i="2"/>
  <c r="AK1531" i="2"/>
  <c r="AG1531" i="2"/>
  <c r="AH1531" i="2"/>
  <c r="AI1531" i="2"/>
  <c r="AJ1531" i="2"/>
  <c r="AF1532" i="2"/>
  <c r="AK1532" i="2"/>
  <c r="AG1532" i="2"/>
  <c r="AH1532" i="2"/>
  <c r="AI1532" i="2"/>
  <c r="AJ1532" i="2"/>
  <c r="AF1533" i="2"/>
  <c r="AK1533" i="2"/>
  <c r="AG1533" i="2"/>
  <c r="AH1533" i="2"/>
  <c r="AI1533" i="2"/>
  <c r="AJ1533" i="2"/>
  <c r="AF1534" i="2"/>
  <c r="AK1534" i="2"/>
  <c r="AG1534" i="2"/>
  <c r="AH1534" i="2"/>
  <c r="AI1534" i="2"/>
  <c r="AJ1534" i="2"/>
  <c r="AF1535" i="2"/>
  <c r="AK1535" i="2"/>
  <c r="AG1535" i="2"/>
  <c r="AH1535" i="2"/>
  <c r="AI1535" i="2"/>
  <c r="AJ1535" i="2"/>
  <c r="AF1536" i="2"/>
  <c r="AK1536" i="2"/>
  <c r="AG1536" i="2"/>
  <c r="AH1536" i="2"/>
  <c r="AI1536" i="2"/>
  <c r="AJ1536" i="2"/>
  <c r="AF1537" i="2"/>
  <c r="AK1537" i="2"/>
  <c r="AG1537" i="2"/>
  <c r="AH1537" i="2"/>
  <c r="AI1537" i="2"/>
  <c r="AJ1537" i="2"/>
  <c r="AF1538" i="2"/>
  <c r="AK1538" i="2"/>
  <c r="AG1538" i="2"/>
  <c r="AH1538" i="2"/>
  <c r="AI1538" i="2"/>
  <c r="AJ1538" i="2"/>
  <c r="AF1539" i="2"/>
  <c r="AK1539" i="2"/>
  <c r="AG1539" i="2"/>
  <c r="AH1539" i="2"/>
  <c r="AI1539" i="2"/>
  <c r="AJ1539" i="2"/>
  <c r="AF1540" i="2"/>
  <c r="AK1540" i="2"/>
  <c r="AG1540" i="2"/>
  <c r="AH1540" i="2"/>
  <c r="AI1540" i="2"/>
  <c r="AJ1540" i="2"/>
  <c r="AF1541" i="2"/>
  <c r="AK1541" i="2"/>
  <c r="AG1541" i="2"/>
  <c r="AH1541" i="2"/>
  <c r="AI1541" i="2"/>
  <c r="AJ1541" i="2"/>
  <c r="AF1542" i="2"/>
  <c r="AK1542" i="2"/>
  <c r="AG1542" i="2"/>
  <c r="AH1542" i="2"/>
  <c r="AI1542" i="2"/>
  <c r="AJ1542" i="2"/>
  <c r="AF1543" i="2"/>
  <c r="AK1543" i="2"/>
  <c r="AG1543" i="2"/>
  <c r="AH1543" i="2"/>
  <c r="AI1543" i="2"/>
  <c r="AJ1543" i="2"/>
  <c r="AF1544" i="2"/>
  <c r="AK1544" i="2"/>
  <c r="AG1544" i="2"/>
  <c r="AL1544" i="2"/>
  <c r="AH1544" i="2"/>
  <c r="AI1544" i="2"/>
  <c r="AJ1544" i="2"/>
  <c r="AF1545" i="2"/>
  <c r="AK1545" i="2" s="1"/>
  <c r="AG1545" i="2"/>
  <c r="AH1545" i="2"/>
  <c r="AI1545" i="2"/>
  <c r="AJ1545" i="2"/>
  <c r="AF1546" i="2"/>
  <c r="AK1546" i="2"/>
  <c r="AG1546" i="2"/>
  <c r="AH1546" i="2"/>
  <c r="AI1546" i="2"/>
  <c r="AJ1546" i="2"/>
  <c r="AF1547" i="2"/>
  <c r="AK1547" i="2" s="1"/>
  <c r="AG1547" i="2"/>
  <c r="AH1547" i="2"/>
  <c r="AI1547" i="2"/>
  <c r="AJ1547" i="2"/>
  <c r="AF1548" i="2"/>
  <c r="AK1548" i="2"/>
  <c r="AG1548" i="2"/>
  <c r="AH1548" i="2"/>
  <c r="AI1548" i="2"/>
  <c r="AJ1548" i="2"/>
  <c r="AF1549" i="2"/>
  <c r="AK1549" i="2" s="1"/>
  <c r="AG1549" i="2"/>
  <c r="AH1549" i="2"/>
  <c r="AI1549" i="2"/>
  <c r="AJ1549" i="2"/>
  <c r="AF1550" i="2"/>
  <c r="AK1550" i="2"/>
  <c r="AG1550" i="2"/>
  <c r="AH1550" i="2"/>
  <c r="AI1550" i="2"/>
  <c r="AJ1550" i="2"/>
  <c r="AF1551" i="2"/>
  <c r="AK1551" i="2" s="1"/>
  <c r="AG1551" i="2"/>
  <c r="AH1551" i="2"/>
  <c r="AI1551" i="2"/>
  <c r="AJ1551" i="2"/>
  <c r="AF1552" i="2"/>
  <c r="AK1552" i="2"/>
  <c r="AG1552" i="2"/>
  <c r="AH1552" i="2"/>
  <c r="AI1552" i="2"/>
  <c r="AJ1552" i="2"/>
  <c r="AF1553" i="2"/>
  <c r="AK1553" i="2" s="1"/>
  <c r="AG1553" i="2"/>
  <c r="AH1553" i="2"/>
  <c r="AI1553" i="2"/>
  <c r="AJ1553" i="2"/>
  <c r="AF1554" i="2"/>
  <c r="AK1554" i="2"/>
  <c r="AG1554" i="2"/>
  <c r="AH1554" i="2"/>
  <c r="AI1554" i="2"/>
  <c r="AJ1554" i="2"/>
  <c r="AF1555" i="2"/>
  <c r="AK1555" i="2" s="1"/>
  <c r="AG1555" i="2"/>
  <c r="AH1555" i="2"/>
  <c r="AI1555" i="2"/>
  <c r="AJ1555" i="2"/>
  <c r="AF1556" i="2"/>
  <c r="AK1556" i="2"/>
  <c r="AG1556" i="2"/>
  <c r="AH1556" i="2"/>
  <c r="AI1556" i="2"/>
  <c r="AJ1556" i="2"/>
  <c r="AF1557" i="2"/>
  <c r="AK1557" i="2" s="1"/>
  <c r="AG1557" i="2"/>
  <c r="AH1557" i="2"/>
  <c r="AI1557" i="2"/>
  <c r="AJ1557" i="2"/>
  <c r="AF1558" i="2"/>
  <c r="AK1558" i="2"/>
  <c r="AG1558" i="2"/>
  <c r="AH1558" i="2"/>
  <c r="AI1558" i="2"/>
  <c r="AJ1558" i="2"/>
  <c r="AF1559" i="2"/>
  <c r="AK1559" i="2" s="1"/>
  <c r="AG1559" i="2"/>
  <c r="AH1559" i="2"/>
  <c r="AI1559" i="2"/>
  <c r="AJ1559" i="2"/>
  <c r="AF1560" i="2"/>
  <c r="AK1560" i="2"/>
  <c r="AG1560" i="2"/>
  <c r="AH1560" i="2"/>
  <c r="AI1560" i="2"/>
  <c r="AJ1560" i="2"/>
  <c r="AF1561" i="2"/>
  <c r="AK1561" i="2" s="1"/>
  <c r="AG1561" i="2"/>
  <c r="AH1561" i="2"/>
  <c r="AI1561" i="2"/>
  <c r="AJ1561" i="2"/>
  <c r="AF1562" i="2"/>
  <c r="AK1562" i="2"/>
  <c r="AG1562" i="2"/>
  <c r="AH1562" i="2"/>
  <c r="AI1562" i="2"/>
  <c r="AJ1562" i="2"/>
  <c r="AF1563" i="2"/>
  <c r="AK1563" i="2" s="1"/>
  <c r="AG1563" i="2"/>
  <c r="AH1563" i="2"/>
  <c r="AI1563" i="2"/>
  <c r="AJ1563" i="2"/>
  <c r="AF1564" i="2"/>
  <c r="AK1564" i="2"/>
  <c r="AG1564" i="2"/>
  <c r="AH1564" i="2"/>
  <c r="AI1564" i="2"/>
  <c r="AJ1564" i="2"/>
  <c r="AF1565" i="2"/>
  <c r="AK1565" i="2" s="1"/>
  <c r="AG1565" i="2"/>
  <c r="AH1565" i="2"/>
  <c r="AI1565" i="2"/>
  <c r="AJ1565" i="2"/>
  <c r="AF1566" i="2"/>
  <c r="AK1566" i="2"/>
  <c r="AG1566" i="2"/>
  <c r="AH1566" i="2"/>
  <c r="AI1566" i="2"/>
  <c r="AJ1566" i="2"/>
  <c r="AF1567" i="2"/>
  <c r="AK1567" i="2" s="1"/>
  <c r="AG1567" i="2"/>
  <c r="AH1567" i="2"/>
  <c r="AI1567" i="2"/>
  <c r="AJ1567" i="2"/>
  <c r="AF1568" i="2"/>
  <c r="AK1568" i="2"/>
  <c r="AG1568" i="2"/>
  <c r="AH1568" i="2"/>
  <c r="AI1568" i="2"/>
  <c r="AJ1568" i="2"/>
  <c r="AF1569" i="2"/>
  <c r="AK1569" i="2" s="1"/>
  <c r="AG1569" i="2"/>
  <c r="AH1569" i="2"/>
  <c r="AI1569" i="2"/>
  <c r="AJ1569" i="2"/>
  <c r="AF1570" i="2"/>
  <c r="AK1570" i="2"/>
  <c r="AG1570" i="2"/>
  <c r="AH1570" i="2"/>
  <c r="AI1570" i="2"/>
  <c r="AJ1570" i="2"/>
  <c r="AF1571" i="2"/>
  <c r="AK1571" i="2" s="1"/>
  <c r="AG1571" i="2"/>
  <c r="AH1571" i="2"/>
  <c r="AI1571" i="2"/>
  <c r="AJ1571" i="2"/>
  <c r="AF1572" i="2"/>
  <c r="AK1572" i="2"/>
  <c r="AG1572" i="2"/>
  <c r="AH1572" i="2"/>
  <c r="AI1572" i="2"/>
  <c r="AJ1572" i="2"/>
  <c r="AF1573" i="2"/>
  <c r="AK1573" i="2" s="1"/>
  <c r="AG1573" i="2"/>
  <c r="AH1573" i="2"/>
  <c r="AI1573" i="2"/>
  <c r="AJ1573" i="2"/>
  <c r="AF1574" i="2"/>
  <c r="AK1574" i="2"/>
  <c r="AG1574" i="2"/>
  <c r="AH1574" i="2"/>
  <c r="AI1574" i="2"/>
  <c r="AJ1574" i="2"/>
  <c r="AF1575" i="2"/>
  <c r="AK1575" i="2" s="1"/>
  <c r="AG1575" i="2"/>
  <c r="AH1575" i="2"/>
  <c r="AI1575" i="2"/>
  <c r="AJ1575" i="2"/>
  <c r="AF1576" i="2"/>
  <c r="AK1576" i="2"/>
  <c r="AG1576" i="2"/>
  <c r="AH1576" i="2"/>
  <c r="AI1576" i="2"/>
  <c r="AJ1576" i="2"/>
  <c r="AF1577" i="2"/>
  <c r="AK1577" i="2" s="1"/>
  <c r="AG1577" i="2"/>
  <c r="AH1577" i="2"/>
  <c r="AI1577" i="2"/>
  <c r="AJ1577" i="2"/>
  <c r="AF1578" i="2"/>
  <c r="AK1578" i="2"/>
  <c r="AG1578" i="2"/>
  <c r="AH1578" i="2"/>
  <c r="AI1578" i="2"/>
  <c r="AJ1578" i="2"/>
  <c r="AF1579" i="2"/>
  <c r="AK1579" i="2" s="1"/>
  <c r="AG1579" i="2"/>
  <c r="AH1579" i="2"/>
  <c r="AI1579" i="2"/>
  <c r="AJ1579" i="2"/>
  <c r="AF1580" i="2"/>
  <c r="AK1580" i="2"/>
  <c r="AG1580" i="2"/>
  <c r="AH1580" i="2"/>
  <c r="AI1580" i="2"/>
  <c r="AJ1580" i="2"/>
  <c r="AF1581" i="2"/>
  <c r="AK1581" i="2" s="1"/>
  <c r="AG1581" i="2"/>
  <c r="AH1581" i="2"/>
  <c r="AI1581" i="2"/>
  <c r="AJ1581" i="2"/>
  <c r="AF1582" i="2"/>
  <c r="AK1582" i="2"/>
  <c r="AG1582" i="2"/>
  <c r="AH1582" i="2"/>
  <c r="AI1582" i="2"/>
  <c r="AJ1582" i="2"/>
  <c r="AF1583" i="2"/>
  <c r="AK1583" i="2" s="1"/>
  <c r="AG1583" i="2"/>
  <c r="AH1583" i="2"/>
  <c r="AI1583" i="2"/>
  <c r="AJ1583" i="2"/>
  <c r="AF1584" i="2"/>
  <c r="AK1584" i="2"/>
  <c r="AG1584" i="2"/>
  <c r="AH1584" i="2"/>
  <c r="AI1584" i="2"/>
  <c r="AJ1584" i="2"/>
  <c r="AF1585" i="2"/>
  <c r="AK1585" i="2" s="1"/>
  <c r="AG1585" i="2"/>
  <c r="AH1585" i="2"/>
  <c r="AI1585" i="2"/>
  <c r="AJ1585" i="2"/>
  <c r="AF1586" i="2"/>
  <c r="AK1586" i="2"/>
  <c r="AG1586" i="2"/>
  <c r="AH1586" i="2"/>
  <c r="AI1586" i="2"/>
  <c r="AJ1586" i="2"/>
  <c r="AF1587" i="2"/>
  <c r="AK1587" i="2" s="1"/>
  <c r="AG1587" i="2"/>
  <c r="AH1587" i="2"/>
  <c r="AI1587" i="2"/>
  <c r="AJ1587" i="2"/>
  <c r="AF1588" i="2"/>
  <c r="AK1588" i="2"/>
  <c r="AG1588" i="2"/>
  <c r="AL1588" i="2" s="1"/>
  <c r="AH1588" i="2"/>
  <c r="AI1588" i="2"/>
  <c r="AJ1588" i="2"/>
  <c r="AF1589" i="2"/>
  <c r="AK1589" i="2"/>
  <c r="AG1589" i="2"/>
  <c r="AH1589" i="2"/>
  <c r="AI1589" i="2"/>
  <c r="AJ1589" i="2"/>
  <c r="AF1590" i="2"/>
  <c r="AK1590" i="2"/>
  <c r="AG1590" i="2"/>
  <c r="AH1590" i="2"/>
  <c r="AI1590" i="2"/>
  <c r="AJ1590" i="2"/>
  <c r="AF1591" i="2"/>
  <c r="AK1591" i="2"/>
  <c r="AG1591" i="2"/>
  <c r="AH1591" i="2"/>
  <c r="AI1591" i="2"/>
  <c r="AJ1591" i="2"/>
  <c r="AF1592" i="2"/>
  <c r="AK1592" i="2" s="1"/>
  <c r="AG1592" i="2"/>
  <c r="AH1592" i="2"/>
  <c r="AI1592" i="2"/>
  <c r="AJ1592" i="2"/>
  <c r="AF1593" i="2"/>
  <c r="AK1593" i="2"/>
  <c r="AG1593" i="2"/>
  <c r="AH1593" i="2"/>
  <c r="AI1593" i="2"/>
  <c r="AJ1593" i="2"/>
  <c r="AF1594" i="2"/>
  <c r="AK1594" i="2" s="1"/>
  <c r="AG1594" i="2"/>
  <c r="AH1594" i="2"/>
  <c r="AI1594" i="2"/>
  <c r="AJ1594" i="2"/>
  <c r="AF1595" i="2"/>
  <c r="AK1595" i="2"/>
  <c r="AG1595" i="2"/>
  <c r="AH1595" i="2"/>
  <c r="AI1595" i="2"/>
  <c r="AJ1595" i="2"/>
  <c r="AF1596" i="2"/>
  <c r="AK1596" i="2" s="1"/>
  <c r="AG1596" i="2"/>
  <c r="AH1596" i="2"/>
  <c r="AI1596" i="2"/>
  <c r="AJ1596" i="2"/>
  <c r="AF1597" i="2"/>
  <c r="AK1597" i="2"/>
  <c r="AG1597" i="2"/>
  <c r="AH1597" i="2"/>
  <c r="AI1597" i="2"/>
  <c r="AJ1597" i="2"/>
  <c r="AF1598" i="2"/>
  <c r="AK1598" i="2" s="1"/>
  <c r="AG1598" i="2"/>
  <c r="AH1598" i="2"/>
  <c r="AI1598" i="2"/>
  <c r="AJ1598" i="2"/>
  <c r="AF1599" i="2"/>
  <c r="AK1599" i="2"/>
  <c r="AG1599" i="2"/>
  <c r="AH1599" i="2"/>
  <c r="AI1599" i="2"/>
  <c r="AJ1599" i="2"/>
  <c r="AF1600" i="2"/>
  <c r="AK1600" i="2" s="1"/>
  <c r="AG1600" i="2"/>
  <c r="AH1600" i="2"/>
  <c r="AI1600" i="2"/>
  <c r="AJ1600" i="2"/>
  <c r="AF1601" i="2"/>
  <c r="AK1601" i="2"/>
  <c r="AG1601" i="2"/>
  <c r="AH1601" i="2"/>
  <c r="AI1601" i="2"/>
  <c r="AJ1601" i="2"/>
  <c r="AF1602" i="2"/>
  <c r="AK1602" i="2" s="1"/>
  <c r="AG1602" i="2"/>
  <c r="AH1602" i="2"/>
  <c r="AI1602" i="2"/>
  <c r="AJ1602" i="2"/>
  <c r="AF1603" i="2"/>
  <c r="AK1603" i="2"/>
  <c r="AG1603" i="2"/>
  <c r="AH1603" i="2"/>
  <c r="AI1603" i="2"/>
  <c r="AJ1603" i="2"/>
  <c r="AF1604" i="2"/>
  <c r="AK1604" i="2" s="1"/>
  <c r="AG1604" i="2"/>
  <c r="AH1604" i="2"/>
  <c r="AI1604" i="2"/>
  <c r="AJ1604" i="2"/>
  <c r="AF1605" i="2"/>
  <c r="AK1605" i="2"/>
  <c r="AG1605" i="2"/>
  <c r="AH1605" i="2"/>
  <c r="AI1605" i="2"/>
  <c r="AJ1605" i="2"/>
  <c r="AF1606" i="2"/>
  <c r="AK1606" i="2" s="1"/>
  <c r="AG1606" i="2"/>
  <c r="AH1606" i="2"/>
  <c r="AI1606" i="2"/>
  <c r="AJ1606" i="2"/>
  <c r="AF1607" i="2"/>
  <c r="AK1607" i="2"/>
  <c r="AG1607" i="2"/>
  <c r="AH1607" i="2"/>
  <c r="AI1607" i="2"/>
  <c r="AJ1607" i="2"/>
  <c r="AF1608" i="2"/>
  <c r="AK1608" i="2" s="1"/>
  <c r="AG1608" i="2"/>
  <c r="AH1608" i="2"/>
  <c r="AI1608" i="2"/>
  <c r="AJ1608" i="2"/>
  <c r="AF1609" i="2"/>
  <c r="AK1609" i="2"/>
  <c r="AG1609" i="2"/>
  <c r="AH1609" i="2"/>
  <c r="AI1609" i="2"/>
  <c r="AJ1609" i="2"/>
  <c r="AF1610" i="2"/>
  <c r="AK1610" i="2" s="1"/>
  <c r="AG1610" i="2"/>
  <c r="AH1610" i="2"/>
  <c r="AI1610" i="2"/>
  <c r="AJ1610" i="2"/>
  <c r="AF1611" i="2"/>
  <c r="AK1611" i="2"/>
  <c r="AG1611" i="2"/>
  <c r="AH1611" i="2"/>
  <c r="AI1611" i="2"/>
  <c r="AJ1611" i="2"/>
  <c r="AF1612" i="2"/>
  <c r="AK1612" i="2" s="1"/>
  <c r="AG1612" i="2"/>
  <c r="AH1612" i="2"/>
  <c r="AI1612" i="2"/>
  <c r="AJ1612" i="2"/>
  <c r="AF1613" i="2"/>
  <c r="AK1613" i="2"/>
  <c r="AG1613" i="2"/>
  <c r="AH1613" i="2"/>
  <c r="AI1613" i="2"/>
  <c r="AJ1613" i="2"/>
  <c r="AF1614" i="2"/>
  <c r="AK1614" i="2" s="1"/>
  <c r="AG1614" i="2"/>
  <c r="AH1614" i="2"/>
  <c r="AI1614" i="2"/>
  <c r="AJ1614" i="2"/>
  <c r="AF1615" i="2"/>
  <c r="AK1615" i="2"/>
  <c r="AG1615" i="2"/>
  <c r="AH1615" i="2"/>
  <c r="AI1615" i="2"/>
  <c r="AJ1615" i="2"/>
  <c r="AF1616" i="2"/>
  <c r="AK1616" i="2" s="1"/>
  <c r="AG1616" i="2"/>
  <c r="AH1616" i="2"/>
  <c r="AI1616" i="2"/>
  <c r="AJ1616" i="2"/>
  <c r="AF1617" i="2"/>
  <c r="AK1617" i="2"/>
  <c r="AG1617" i="2"/>
  <c r="AH1617" i="2"/>
  <c r="AI1617" i="2"/>
  <c r="AJ1617" i="2"/>
  <c r="AF1618" i="2"/>
  <c r="AK1618" i="2" s="1"/>
  <c r="AG1618" i="2"/>
  <c r="AH1618" i="2"/>
  <c r="AI1618" i="2"/>
  <c r="AJ1618" i="2"/>
  <c r="AF1619" i="2"/>
  <c r="AK1619" i="2"/>
  <c r="AG1619" i="2"/>
  <c r="AH1619" i="2"/>
  <c r="AI1619" i="2"/>
  <c r="AJ1619" i="2"/>
  <c r="AF1620" i="2"/>
  <c r="AK1620" i="2" s="1"/>
  <c r="AG1620" i="2"/>
  <c r="AH1620" i="2"/>
  <c r="AI1620" i="2"/>
  <c r="AJ1620" i="2"/>
  <c r="AF1621" i="2"/>
  <c r="AK1621" i="2"/>
  <c r="AG1621" i="2"/>
  <c r="AH1621" i="2"/>
  <c r="AI1621" i="2"/>
  <c r="AJ1621" i="2"/>
  <c r="AF1622" i="2"/>
  <c r="AK1622" i="2" s="1"/>
  <c r="AG1622" i="2"/>
  <c r="AH1622" i="2"/>
  <c r="AI1622" i="2"/>
  <c r="AJ1622" i="2"/>
  <c r="AF1623" i="2"/>
  <c r="AK1623" i="2"/>
  <c r="AG1623" i="2"/>
  <c r="AH1623" i="2"/>
  <c r="AI1623" i="2"/>
  <c r="AJ1623" i="2"/>
  <c r="AF1624" i="2"/>
  <c r="AK1624" i="2" s="1"/>
  <c r="AG1624" i="2"/>
  <c r="AH1624" i="2"/>
  <c r="AI1624" i="2"/>
  <c r="AJ1624" i="2"/>
  <c r="AF1625" i="2"/>
  <c r="AK1625" i="2"/>
  <c r="AG1625" i="2"/>
  <c r="AH1625" i="2"/>
  <c r="AI1625" i="2"/>
  <c r="AJ1625" i="2"/>
  <c r="AF1626" i="2"/>
  <c r="AK1626" i="2" s="1"/>
  <c r="AG1626" i="2"/>
  <c r="AH1626" i="2"/>
  <c r="AI1626" i="2"/>
  <c r="AJ1626" i="2"/>
  <c r="AF1627" i="2"/>
  <c r="AK1627" i="2"/>
  <c r="AG1627" i="2"/>
  <c r="AH1627" i="2"/>
  <c r="AI1627" i="2"/>
  <c r="AJ1627" i="2"/>
  <c r="AF1628" i="2"/>
  <c r="AK1628" i="2" s="1"/>
  <c r="AG1628" i="2"/>
  <c r="AH1628" i="2"/>
  <c r="AI1628" i="2"/>
  <c r="AJ1628" i="2"/>
  <c r="AF1629" i="2"/>
  <c r="AK1629" i="2"/>
  <c r="AG1629" i="2"/>
  <c r="AH1629" i="2"/>
  <c r="AI1629" i="2"/>
  <c r="AJ1629" i="2"/>
  <c r="AF1630" i="2"/>
  <c r="AK1630" i="2" s="1"/>
  <c r="AG1630" i="2"/>
  <c r="AH1630" i="2"/>
  <c r="AI1630" i="2"/>
  <c r="AJ1630" i="2"/>
  <c r="AF1631" i="2"/>
  <c r="AK1631" i="2"/>
  <c r="AG1631" i="2"/>
  <c r="AH1631" i="2"/>
  <c r="AI1631" i="2"/>
  <c r="AJ1631" i="2"/>
  <c r="AF1632" i="2"/>
  <c r="AK1632" i="2" s="1"/>
  <c r="AG1632" i="2"/>
  <c r="AH1632" i="2"/>
  <c r="AI1632" i="2"/>
  <c r="AJ1632" i="2"/>
  <c r="AF1633" i="2"/>
  <c r="AK1633" i="2"/>
  <c r="AG1633" i="2"/>
  <c r="AH1633" i="2"/>
  <c r="AI1633" i="2"/>
  <c r="AJ1633" i="2"/>
  <c r="AF1634" i="2"/>
  <c r="AK1634" i="2"/>
  <c r="AG1634" i="2"/>
  <c r="AH1634" i="2"/>
  <c r="AI1634" i="2"/>
  <c r="AJ1634" i="2"/>
  <c r="AF1635" i="2"/>
  <c r="AK1635" i="2"/>
  <c r="AG1635" i="2"/>
  <c r="AH1635" i="2"/>
  <c r="AI1635" i="2"/>
  <c r="AJ1635" i="2"/>
  <c r="AF1636" i="2"/>
  <c r="AK1636" i="2"/>
  <c r="AG1636" i="2"/>
  <c r="AH1636" i="2"/>
  <c r="AI1636" i="2"/>
  <c r="AJ1636" i="2"/>
  <c r="AF1637" i="2"/>
  <c r="AK1637" i="2"/>
  <c r="AG1637" i="2"/>
  <c r="AH1637" i="2"/>
  <c r="AI1637" i="2"/>
  <c r="AJ1637" i="2"/>
  <c r="AF1638" i="2"/>
  <c r="AK1638" i="2"/>
  <c r="AG1638" i="2"/>
  <c r="AH1638" i="2"/>
  <c r="AI1638" i="2"/>
  <c r="AJ1638" i="2"/>
  <c r="AF1639" i="2"/>
  <c r="AK1639" i="2"/>
  <c r="AG1639" i="2"/>
  <c r="AH1639" i="2"/>
  <c r="AI1639" i="2"/>
  <c r="AJ1639" i="2"/>
  <c r="AF1640" i="2"/>
  <c r="AK1640" i="2"/>
  <c r="AG1640" i="2"/>
  <c r="AH1640" i="2"/>
  <c r="AI1640" i="2"/>
  <c r="AJ1640" i="2"/>
  <c r="AF1641" i="2"/>
  <c r="AK1641" i="2"/>
  <c r="AG1641" i="2"/>
  <c r="AH1641" i="2"/>
  <c r="AI1641" i="2"/>
  <c r="AJ1641" i="2"/>
  <c r="AF1642" i="2"/>
  <c r="AK1642" i="2"/>
  <c r="AG1642" i="2"/>
  <c r="AH1642" i="2"/>
  <c r="AI1642" i="2"/>
  <c r="AJ1642" i="2"/>
  <c r="AF1643" i="2"/>
  <c r="AK1643" i="2"/>
  <c r="AG1643" i="2"/>
  <c r="AH1643" i="2"/>
  <c r="AI1643" i="2"/>
  <c r="AJ1643" i="2"/>
  <c r="AF1644" i="2"/>
  <c r="AK1644" i="2"/>
  <c r="AG1644" i="2"/>
  <c r="AH1644" i="2"/>
  <c r="AI1644" i="2"/>
  <c r="AJ1644" i="2"/>
  <c r="AF1645" i="2"/>
  <c r="AK1645" i="2"/>
  <c r="AG1645" i="2"/>
  <c r="AH1645" i="2"/>
  <c r="AI1645" i="2"/>
  <c r="AJ1645" i="2"/>
  <c r="AF1646" i="2"/>
  <c r="AK1646" i="2"/>
  <c r="AG1646" i="2"/>
  <c r="AH1646" i="2"/>
  <c r="AI1646" i="2"/>
  <c r="AJ1646" i="2"/>
  <c r="AF1647" i="2"/>
  <c r="AK1647" i="2"/>
  <c r="AG1647" i="2"/>
  <c r="AH1647" i="2"/>
  <c r="AI1647" i="2"/>
  <c r="AJ1647" i="2"/>
  <c r="AF1648" i="2"/>
  <c r="AK1648" i="2"/>
  <c r="AG1648" i="2"/>
  <c r="AH1648" i="2"/>
  <c r="AI1648" i="2"/>
  <c r="AJ1648" i="2"/>
  <c r="AF1649" i="2"/>
  <c r="AK1649" i="2"/>
  <c r="AG1649" i="2"/>
  <c r="AH1649" i="2"/>
  <c r="AI1649" i="2"/>
  <c r="AJ1649" i="2"/>
  <c r="AF1650" i="2"/>
  <c r="AK1650" i="2"/>
  <c r="AG1650" i="2"/>
  <c r="AH1650" i="2"/>
  <c r="AI1650" i="2"/>
  <c r="AJ1650" i="2"/>
  <c r="AF1651" i="2"/>
  <c r="AK1651" i="2" s="1"/>
  <c r="AG1651" i="2"/>
  <c r="AH1651" i="2"/>
  <c r="AI1651" i="2"/>
  <c r="AJ1651" i="2"/>
  <c r="AF1652" i="2"/>
  <c r="AK1652" i="2"/>
  <c r="AG1652" i="2"/>
  <c r="AH1652" i="2"/>
  <c r="AI1652" i="2"/>
  <c r="AJ1652" i="2"/>
  <c r="AF1653" i="2"/>
  <c r="AK1653" i="2" s="1"/>
  <c r="AG1653" i="2"/>
  <c r="AH1653" i="2"/>
  <c r="AI1653" i="2"/>
  <c r="AJ1653" i="2"/>
  <c r="AF1654" i="2"/>
  <c r="AK1654" i="2"/>
  <c r="AG1654" i="2"/>
  <c r="AH1654" i="2"/>
  <c r="AI1654" i="2"/>
  <c r="AJ1654" i="2"/>
  <c r="AF1655" i="2"/>
  <c r="AK1655" i="2" s="1"/>
  <c r="AG1655" i="2"/>
  <c r="AH1655" i="2"/>
  <c r="AI1655" i="2"/>
  <c r="AJ1655" i="2"/>
  <c r="AF1656" i="2"/>
  <c r="AK1656" i="2"/>
  <c r="AG1656" i="2"/>
  <c r="AH1656" i="2"/>
  <c r="AI1656" i="2"/>
  <c r="AJ1656" i="2"/>
  <c r="AF1657" i="2"/>
  <c r="AK1657" i="2" s="1"/>
  <c r="AG1657" i="2"/>
  <c r="AH1657" i="2"/>
  <c r="AI1657" i="2"/>
  <c r="AJ1657" i="2"/>
  <c r="AF1658" i="2"/>
  <c r="AK1658" i="2"/>
  <c r="AG1658" i="2"/>
  <c r="AH1658" i="2"/>
  <c r="AI1658" i="2"/>
  <c r="AJ1658" i="2"/>
  <c r="AF1659" i="2"/>
  <c r="AK1659" i="2" s="1"/>
  <c r="AG1659" i="2"/>
  <c r="AH1659" i="2"/>
  <c r="AI1659" i="2"/>
  <c r="AJ1659" i="2"/>
  <c r="AF1660" i="2"/>
  <c r="AK1660" i="2"/>
  <c r="AG1660" i="2"/>
  <c r="AH1660" i="2"/>
  <c r="AI1660" i="2"/>
  <c r="AJ1660" i="2"/>
  <c r="AF1661" i="2"/>
  <c r="AK1661" i="2" s="1"/>
  <c r="AG1661" i="2"/>
  <c r="AH1661" i="2"/>
  <c r="AI1661" i="2"/>
  <c r="AJ1661" i="2"/>
  <c r="AF1662" i="2"/>
  <c r="AK1662" i="2"/>
  <c r="AG1662" i="2"/>
  <c r="AH1662" i="2"/>
  <c r="AI1662" i="2"/>
  <c r="AJ1662" i="2"/>
  <c r="AF1663" i="2"/>
  <c r="AK1663" i="2" s="1"/>
  <c r="AG1663" i="2"/>
  <c r="AH1663" i="2"/>
  <c r="AI1663" i="2"/>
  <c r="AJ1663" i="2"/>
  <c r="AF1664" i="2"/>
  <c r="AK1664" i="2"/>
  <c r="AG1664" i="2"/>
  <c r="AH1664" i="2"/>
  <c r="AI1664" i="2"/>
  <c r="AJ1664" i="2"/>
  <c r="AF1665" i="2"/>
  <c r="AK1665" i="2" s="1"/>
  <c r="AG1665" i="2"/>
  <c r="AH1665" i="2"/>
  <c r="AI1665" i="2"/>
  <c r="AJ1665" i="2"/>
  <c r="AF1666" i="2"/>
  <c r="AK1666" i="2"/>
  <c r="AG1666" i="2"/>
  <c r="AH1666" i="2"/>
  <c r="AI1666" i="2"/>
  <c r="AJ1666" i="2"/>
  <c r="AF1667" i="2"/>
  <c r="AK1667" i="2" s="1"/>
  <c r="AG1667" i="2"/>
  <c r="AH1667" i="2"/>
  <c r="AI1667" i="2"/>
  <c r="AJ1667" i="2"/>
  <c r="AF1668" i="2"/>
  <c r="AK1668" i="2"/>
  <c r="AG1668" i="2"/>
  <c r="AH1668" i="2"/>
  <c r="AI1668" i="2"/>
  <c r="AJ1668" i="2"/>
  <c r="AF1669" i="2"/>
  <c r="AK1669" i="2" s="1"/>
  <c r="AG1669" i="2"/>
  <c r="AH1669" i="2"/>
  <c r="AI1669" i="2"/>
  <c r="AJ1669" i="2"/>
  <c r="AF1670" i="2"/>
  <c r="AK1670" i="2"/>
  <c r="AG1670" i="2"/>
  <c r="AH1670" i="2"/>
  <c r="AI1670" i="2"/>
  <c r="AJ1670" i="2"/>
  <c r="AF1671" i="2"/>
  <c r="AK1671" i="2" s="1"/>
  <c r="AG1671" i="2"/>
  <c r="AH1671" i="2"/>
  <c r="AI1671" i="2"/>
  <c r="AJ1671" i="2"/>
  <c r="AF1672" i="2"/>
  <c r="AK1672" i="2"/>
  <c r="AG1672" i="2"/>
  <c r="AH1672" i="2"/>
  <c r="AI1672" i="2"/>
  <c r="AJ1672" i="2"/>
  <c r="AF1673" i="2"/>
  <c r="AK1673" i="2" s="1"/>
  <c r="AG1673" i="2"/>
  <c r="AH1673" i="2"/>
  <c r="AI1673" i="2"/>
  <c r="AJ1673" i="2"/>
  <c r="AF1674" i="2"/>
  <c r="AK1674" i="2"/>
  <c r="AG1674" i="2"/>
  <c r="AH1674" i="2"/>
  <c r="AI1674" i="2"/>
  <c r="AJ1674" i="2"/>
  <c r="AF1675" i="2"/>
  <c r="AK1675" i="2" s="1"/>
  <c r="AG1675" i="2"/>
  <c r="AH1675" i="2"/>
  <c r="AI1675" i="2"/>
  <c r="AJ1675" i="2"/>
  <c r="AF1676" i="2"/>
  <c r="AK1676" i="2"/>
  <c r="AG1676" i="2"/>
  <c r="AH1676" i="2"/>
  <c r="AI1676" i="2"/>
  <c r="AJ1676" i="2"/>
  <c r="AF1677" i="2"/>
  <c r="AK1677" i="2" s="1"/>
  <c r="AG1677" i="2"/>
  <c r="AH1677" i="2"/>
  <c r="AI1677" i="2"/>
  <c r="AJ1677" i="2"/>
  <c r="AF1678" i="2"/>
  <c r="AK1678" i="2"/>
  <c r="AG1678" i="2"/>
  <c r="AH1678" i="2"/>
  <c r="AI1678" i="2"/>
  <c r="AJ1678" i="2"/>
  <c r="AF1679" i="2"/>
  <c r="AK1679" i="2" s="1"/>
  <c r="AG1679" i="2"/>
  <c r="AH1679" i="2"/>
  <c r="AI1679" i="2"/>
  <c r="AJ1679" i="2"/>
  <c r="AF1680" i="2"/>
  <c r="AK1680" i="2"/>
  <c r="AG1680" i="2"/>
  <c r="AH1680" i="2"/>
  <c r="AI1680" i="2"/>
  <c r="AJ1680" i="2"/>
  <c r="AF1681" i="2"/>
  <c r="AK1681" i="2" s="1"/>
  <c r="AG1681" i="2"/>
  <c r="AH1681" i="2"/>
  <c r="AI1681" i="2"/>
  <c r="AJ1681" i="2"/>
  <c r="AF1682" i="2"/>
  <c r="AK1682" i="2"/>
  <c r="AG1682" i="2"/>
  <c r="AH1682" i="2"/>
  <c r="AI1682" i="2"/>
  <c r="AJ1682" i="2"/>
  <c r="AF1683" i="2"/>
  <c r="AK1683" i="2" s="1"/>
  <c r="AG1683" i="2"/>
  <c r="AH1683" i="2"/>
  <c r="AI1683" i="2"/>
  <c r="AJ1683" i="2"/>
  <c r="AF1684" i="2"/>
  <c r="AK1684" i="2"/>
  <c r="AG1684" i="2"/>
  <c r="AH1684" i="2"/>
  <c r="AI1684" i="2"/>
  <c r="AJ1684" i="2"/>
  <c r="AF1685" i="2"/>
  <c r="AK1685" i="2" s="1"/>
  <c r="AG1685" i="2"/>
  <c r="AH1685" i="2"/>
  <c r="AI1685" i="2"/>
  <c r="AJ1685" i="2"/>
  <c r="AF1686" i="2"/>
  <c r="AK1686" i="2"/>
  <c r="AG1686" i="2"/>
  <c r="AH1686" i="2"/>
  <c r="AI1686" i="2"/>
  <c r="AJ1686" i="2"/>
  <c r="AF1687" i="2"/>
  <c r="AK1687" i="2" s="1"/>
  <c r="AG1687" i="2"/>
  <c r="AH1687" i="2"/>
  <c r="AI1687" i="2"/>
  <c r="AJ1687" i="2"/>
  <c r="AF1688" i="2"/>
  <c r="AK1688" i="2"/>
  <c r="AG1688" i="2"/>
  <c r="AH1688" i="2"/>
  <c r="AI1688" i="2"/>
  <c r="AJ1688" i="2"/>
  <c r="AF1689" i="2"/>
  <c r="AK1689" i="2" s="1"/>
  <c r="AG1689" i="2"/>
  <c r="AH1689" i="2"/>
  <c r="AI1689" i="2"/>
  <c r="AJ1689" i="2"/>
  <c r="AF1690" i="2"/>
  <c r="AK1690" i="2"/>
  <c r="AG1690" i="2"/>
  <c r="AH1690" i="2"/>
  <c r="AI1690" i="2"/>
  <c r="AJ1690" i="2"/>
  <c r="AF1691" i="2"/>
  <c r="AK1691" i="2" s="1"/>
  <c r="AG1691" i="2"/>
  <c r="AH1691" i="2"/>
  <c r="AI1691" i="2"/>
  <c r="AJ1691" i="2"/>
  <c r="AF1692" i="2"/>
  <c r="AK1692" i="2"/>
  <c r="AG1692" i="2"/>
  <c r="AH1692" i="2"/>
  <c r="AI1692" i="2"/>
  <c r="AJ1692" i="2"/>
  <c r="AF1693" i="2"/>
  <c r="AK1693" i="2" s="1"/>
  <c r="AG1693" i="2"/>
  <c r="AH1693" i="2"/>
  <c r="AI1693" i="2"/>
  <c r="AJ1693" i="2"/>
  <c r="AF1694" i="2"/>
  <c r="AK1694" i="2"/>
  <c r="AG1694" i="2"/>
  <c r="AH1694" i="2"/>
  <c r="AI1694" i="2"/>
  <c r="AJ1694" i="2"/>
  <c r="AF1695" i="2"/>
  <c r="AK1695" i="2" s="1"/>
  <c r="AG1695" i="2"/>
  <c r="AH1695" i="2"/>
  <c r="AI1695" i="2"/>
  <c r="AJ1695" i="2"/>
  <c r="AF1696" i="2"/>
  <c r="AK1696" i="2"/>
  <c r="AG1696" i="2"/>
  <c r="AH1696" i="2"/>
  <c r="AI1696" i="2"/>
  <c r="AJ1696" i="2"/>
  <c r="AF1697" i="2"/>
  <c r="AK1697" i="2" s="1"/>
  <c r="AG1697" i="2"/>
  <c r="AH1697" i="2"/>
  <c r="AI1697" i="2"/>
  <c r="AJ1697" i="2"/>
  <c r="AF1698" i="2"/>
  <c r="AK1698" i="2"/>
  <c r="AG1698" i="2"/>
  <c r="AH1698" i="2"/>
  <c r="AI1698" i="2"/>
  <c r="AJ1698" i="2"/>
  <c r="AF1699" i="2"/>
  <c r="AK1699" i="2" s="1"/>
  <c r="AG1699" i="2"/>
  <c r="AH1699" i="2"/>
  <c r="AI1699" i="2"/>
  <c r="AJ1699" i="2"/>
  <c r="AF1700" i="2"/>
  <c r="AK1700" i="2"/>
  <c r="AG1700" i="2"/>
  <c r="AH1700" i="2"/>
  <c r="AI1700" i="2"/>
  <c r="AJ1700" i="2"/>
  <c r="AF1701" i="2"/>
  <c r="AK1701" i="2" s="1"/>
  <c r="AG1701" i="2"/>
  <c r="AH1701" i="2"/>
  <c r="AI1701" i="2"/>
  <c r="AJ1701" i="2"/>
  <c r="AF1702" i="2"/>
  <c r="AK1702" i="2"/>
  <c r="AG1702" i="2"/>
  <c r="AH1702" i="2"/>
  <c r="AI1702" i="2"/>
  <c r="AJ1702" i="2"/>
  <c r="AF1703" i="2"/>
  <c r="AK1703" i="2" s="1"/>
  <c r="AG1703" i="2"/>
  <c r="AH1703" i="2"/>
  <c r="AI1703" i="2"/>
  <c r="AJ1703" i="2"/>
  <c r="AF1704" i="2"/>
  <c r="AK1704" i="2"/>
  <c r="AG1704" i="2"/>
  <c r="AH1704" i="2"/>
  <c r="AI1704" i="2"/>
  <c r="AJ1704" i="2"/>
  <c r="AF1705" i="2"/>
  <c r="AK1705" i="2" s="1"/>
  <c r="AG1705" i="2"/>
  <c r="AH1705" i="2"/>
  <c r="AI1705" i="2"/>
  <c r="AJ1705" i="2"/>
  <c r="AF1706" i="2"/>
  <c r="AK1706" i="2"/>
  <c r="AG1706" i="2"/>
  <c r="AH1706" i="2"/>
  <c r="AI1706" i="2"/>
  <c r="AJ1706" i="2"/>
  <c r="AF1707" i="2"/>
  <c r="AK1707" i="2" s="1"/>
  <c r="AG1707" i="2"/>
  <c r="AH1707" i="2"/>
  <c r="AI1707" i="2"/>
  <c r="AJ1707" i="2"/>
  <c r="AF1708" i="2"/>
  <c r="AK1708" i="2"/>
  <c r="AG1708" i="2"/>
  <c r="AH1708" i="2"/>
  <c r="AI1708" i="2"/>
  <c r="AJ1708" i="2"/>
  <c r="AF1709" i="2"/>
  <c r="AK1709" i="2" s="1"/>
  <c r="AG1709" i="2"/>
  <c r="AH1709" i="2"/>
  <c r="AI1709" i="2"/>
  <c r="AJ1709" i="2"/>
  <c r="AF1710" i="2"/>
  <c r="AK1710" i="2"/>
  <c r="AG1710" i="2"/>
  <c r="AH1710" i="2"/>
  <c r="AI1710" i="2"/>
  <c r="AJ1710" i="2"/>
  <c r="AF1711" i="2"/>
  <c r="AK1711" i="2" s="1"/>
  <c r="AG1711" i="2"/>
  <c r="AH1711" i="2"/>
  <c r="AI1711" i="2"/>
  <c r="AJ1711" i="2"/>
  <c r="AF1712" i="2"/>
  <c r="AK1712" i="2"/>
  <c r="AG1712" i="2"/>
  <c r="AH1712" i="2"/>
  <c r="AI1712" i="2"/>
  <c r="AJ1712" i="2"/>
  <c r="AF1713" i="2"/>
  <c r="AK1713" i="2" s="1"/>
  <c r="AG1713" i="2"/>
  <c r="AH1713" i="2"/>
  <c r="AI1713" i="2"/>
  <c r="AJ1713" i="2"/>
  <c r="AF1714" i="2"/>
  <c r="AK1714" i="2"/>
  <c r="AG1714" i="2"/>
  <c r="AH1714" i="2"/>
  <c r="AI1714" i="2"/>
  <c r="AJ1714" i="2"/>
  <c r="AF1715" i="2"/>
  <c r="AK1715" i="2" s="1"/>
  <c r="AG1715" i="2"/>
  <c r="AH1715" i="2"/>
  <c r="AI1715" i="2"/>
  <c r="AJ1715" i="2"/>
  <c r="AF1716" i="2"/>
  <c r="AK1716" i="2"/>
  <c r="AG1716" i="2"/>
  <c r="AH1716" i="2"/>
  <c r="AI1716" i="2"/>
  <c r="AJ1716" i="2"/>
  <c r="AF1717" i="2"/>
  <c r="AK1717" i="2" s="1"/>
  <c r="AG1717" i="2"/>
  <c r="AH1717" i="2"/>
  <c r="AI1717" i="2"/>
  <c r="AJ1717" i="2"/>
  <c r="AF1718" i="2"/>
  <c r="AK1718" i="2"/>
  <c r="AG1718" i="2"/>
  <c r="AH1718" i="2"/>
  <c r="AI1718" i="2"/>
  <c r="AJ1718" i="2"/>
  <c r="AF1719" i="2"/>
  <c r="AK1719" i="2" s="1"/>
  <c r="AG1719" i="2"/>
  <c r="AH1719" i="2"/>
  <c r="AI1719" i="2"/>
  <c r="AJ1719" i="2"/>
  <c r="AF1720" i="2"/>
  <c r="AK1720" i="2"/>
  <c r="AG1720" i="2"/>
  <c r="AH1720" i="2"/>
  <c r="AI1720" i="2"/>
  <c r="AJ1720" i="2"/>
  <c r="AF1721" i="2"/>
  <c r="AK1721" i="2" s="1"/>
  <c r="AG1721" i="2"/>
  <c r="AH1721" i="2"/>
  <c r="AI1721" i="2"/>
  <c r="AJ1721" i="2"/>
  <c r="AF1722" i="2"/>
  <c r="AK1722" i="2"/>
  <c r="AG1722" i="2"/>
  <c r="AH1722" i="2"/>
  <c r="AI1722" i="2"/>
  <c r="AJ1722" i="2"/>
  <c r="AF1723" i="2"/>
  <c r="AK1723" i="2" s="1"/>
  <c r="AG1723" i="2"/>
  <c r="AH1723" i="2"/>
  <c r="AI1723" i="2"/>
  <c r="AJ1723" i="2"/>
  <c r="AF1724" i="2"/>
  <c r="AK1724" i="2"/>
  <c r="AG1724" i="2"/>
  <c r="AH1724" i="2"/>
  <c r="AI1724" i="2"/>
  <c r="AJ1724" i="2"/>
  <c r="AF1725" i="2"/>
  <c r="AK1725" i="2" s="1"/>
  <c r="AG1725" i="2"/>
  <c r="AH1725" i="2"/>
  <c r="AI1725" i="2"/>
  <c r="AJ1725" i="2"/>
  <c r="AF1726" i="2"/>
  <c r="AK1726" i="2"/>
  <c r="AG1726" i="2"/>
  <c r="AH1726" i="2"/>
  <c r="AI1726" i="2"/>
  <c r="AJ1726" i="2"/>
  <c r="AF1727" i="2"/>
  <c r="AK1727" i="2" s="1"/>
  <c r="AG1727" i="2"/>
  <c r="AH1727" i="2"/>
  <c r="AI1727" i="2"/>
  <c r="AJ1727" i="2"/>
  <c r="AF1728" i="2"/>
  <c r="AK1728" i="2"/>
  <c r="AG1728" i="2"/>
  <c r="AH1728" i="2"/>
  <c r="AI1728" i="2"/>
  <c r="AJ1728" i="2"/>
  <c r="AF1729" i="2"/>
  <c r="AK1729" i="2" s="1"/>
  <c r="AG1729" i="2"/>
  <c r="AH1729" i="2"/>
  <c r="AI1729" i="2"/>
  <c r="AJ1729" i="2"/>
  <c r="AF1730" i="2"/>
  <c r="AK1730" i="2"/>
  <c r="AG1730" i="2"/>
  <c r="AH1730" i="2"/>
  <c r="AI1730" i="2"/>
  <c r="AJ1730" i="2"/>
  <c r="AF1731" i="2"/>
  <c r="AK1731" i="2" s="1"/>
  <c r="AG1731" i="2"/>
  <c r="AH1731" i="2"/>
  <c r="AI1731" i="2"/>
  <c r="AJ1731" i="2"/>
  <c r="AF1732" i="2"/>
  <c r="AK1732" i="2"/>
  <c r="AG1732" i="2"/>
  <c r="AH1732" i="2"/>
  <c r="AI1732" i="2"/>
  <c r="AJ1732" i="2"/>
  <c r="AF1733" i="2"/>
  <c r="AK1733" i="2" s="1"/>
  <c r="AG1733" i="2"/>
  <c r="AH1733" i="2"/>
  <c r="AI1733" i="2"/>
  <c r="AJ1733" i="2"/>
  <c r="AF1734" i="2"/>
  <c r="AK1734" i="2"/>
  <c r="AG1734" i="2"/>
  <c r="AH1734" i="2"/>
  <c r="AI1734" i="2"/>
  <c r="AJ1734" i="2"/>
  <c r="AF1735" i="2"/>
  <c r="AK1735" i="2" s="1"/>
  <c r="AG1735" i="2"/>
  <c r="AH1735" i="2"/>
  <c r="AI1735" i="2"/>
  <c r="AJ1735" i="2"/>
  <c r="AF1736" i="2"/>
  <c r="AK1736" i="2"/>
  <c r="AG1736" i="2"/>
  <c r="AH1736" i="2"/>
  <c r="AI1736" i="2"/>
  <c r="AJ1736" i="2"/>
  <c r="AF1737" i="2"/>
  <c r="AK1737" i="2" s="1"/>
  <c r="AG1737" i="2"/>
  <c r="AH1737" i="2"/>
  <c r="AI1737" i="2"/>
  <c r="AJ1737" i="2"/>
  <c r="AF1738" i="2"/>
  <c r="AK1738" i="2"/>
  <c r="AG1738" i="2"/>
  <c r="AH1738" i="2"/>
  <c r="AI1738" i="2"/>
  <c r="AJ1738" i="2"/>
  <c r="AF1739" i="2"/>
  <c r="AK1739" i="2" s="1"/>
  <c r="AG1739" i="2"/>
  <c r="AH1739" i="2"/>
  <c r="AI1739" i="2"/>
  <c r="AJ1739" i="2"/>
  <c r="AF1740" i="2"/>
  <c r="AK1740" i="2"/>
  <c r="AG1740" i="2"/>
  <c r="AH1740" i="2"/>
  <c r="AI1740" i="2"/>
  <c r="AJ1740" i="2"/>
  <c r="AF1741" i="2"/>
  <c r="AK1741" i="2" s="1"/>
  <c r="AG1741" i="2"/>
  <c r="AH1741" i="2"/>
  <c r="AI1741" i="2"/>
  <c r="AJ1741" i="2"/>
  <c r="AF1742" i="2"/>
  <c r="AK1742" i="2"/>
  <c r="AG1742" i="2"/>
  <c r="AH1742" i="2"/>
  <c r="AI1742" i="2"/>
  <c r="AJ1742" i="2"/>
  <c r="AF1743" i="2"/>
  <c r="AK1743" i="2" s="1"/>
  <c r="AG1743" i="2"/>
  <c r="AH1743" i="2"/>
  <c r="AI1743" i="2"/>
  <c r="AJ1743" i="2"/>
  <c r="AF1744" i="2"/>
  <c r="AK1744" i="2"/>
  <c r="AG1744" i="2"/>
  <c r="AH1744" i="2"/>
  <c r="AI1744" i="2"/>
  <c r="AJ1744" i="2"/>
  <c r="AF1745" i="2"/>
  <c r="AK1745" i="2" s="1"/>
  <c r="AG1745" i="2"/>
  <c r="AH1745" i="2"/>
  <c r="AI1745" i="2"/>
  <c r="AJ1745" i="2"/>
  <c r="AF1746" i="2"/>
  <c r="AK1746" i="2"/>
  <c r="AG1746" i="2"/>
  <c r="AH1746" i="2"/>
  <c r="AI1746" i="2"/>
  <c r="AJ1746" i="2"/>
  <c r="AF1747" i="2"/>
  <c r="AK1747" i="2" s="1"/>
  <c r="AG1747" i="2"/>
  <c r="AH1747" i="2"/>
  <c r="AI1747" i="2"/>
  <c r="AJ1747" i="2"/>
  <c r="AF1748" i="2"/>
  <c r="AK1748" i="2"/>
  <c r="AG1748" i="2"/>
  <c r="AH1748" i="2"/>
  <c r="AI1748" i="2"/>
  <c r="AJ1748" i="2"/>
  <c r="AF1749" i="2"/>
  <c r="AK1749" i="2" s="1"/>
  <c r="AG1749" i="2"/>
  <c r="AH1749" i="2"/>
  <c r="AI1749" i="2"/>
  <c r="AJ1749" i="2"/>
  <c r="AF1750" i="2"/>
  <c r="AK1750" i="2"/>
  <c r="AG1750" i="2"/>
  <c r="AH1750" i="2"/>
  <c r="AI1750" i="2"/>
  <c r="AJ1750" i="2"/>
  <c r="AF1751" i="2"/>
  <c r="AK1751" i="2" s="1"/>
  <c r="AG1751" i="2"/>
  <c r="AH1751" i="2"/>
  <c r="AI1751" i="2"/>
  <c r="AJ1751" i="2"/>
  <c r="AF1752" i="2"/>
  <c r="AK1752" i="2"/>
  <c r="AG1752" i="2"/>
  <c r="AH1752" i="2"/>
  <c r="AI1752" i="2"/>
  <c r="AJ1752" i="2"/>
  <c r="AF1753" i="2"/>
  <c r="AK1753" i="2" s="1"/>
  <c r="AG1753" i="2"/>
  <c r="AH1753" i="2"/>
  <c r="AI1753" i="2"/>
  <c r="AJ1753" i="2"/>
  <c r="AF1754" i="2"/>
  <c r="AK1754" i="2"/>
  <c r="AG1754" i="2"/>
  <c r="AH1754" i="2"/>
  <c r="AI1754" i="2"/>
  <c r="AJ1754" i="2"/>
  <c r="AF1755" i="2"/>
  <c r="AK1755" i="2" s="1"/>
  <c r="AG1755" i="2"/>
  <c r="AH1755" i="2"/>
  <c r="AI1755" i="2"/>
  <c r="AJ1755" i="2"/>
  <c r="AF1756" i="2"/>
  <c r="AK1756" i="2"/>
  <c r="AG1756" i="2"/>
  <c r="AH1756" i="2"/>
  <c r="AI1756" i="2"/>
  <c r="AJ1756" i="2"/>
  <c r="AF1757" i="2"/>
  <c r="AK1757" i="2" s="1"/>
  <c r="AG1757" i="2"/>
  <c r="AH1757" i="2"/>
  <c r="AI1757" i="2"/>
  <c r="AJ1757" i="2"/>
  <c r="AF1758" i="2"/>
  <c r="AK1758" i="2"/>
  <c r="AG1758" i="2"/>
  <c r="AH1758" i="2"/>
  <c r="AI1758" i="2"/>
  <c r="AJ1758" i="2"/>
  <c r="AF1759" i="2"/>
  <c r="AK1759" i="2" s="1"/>
  <c r="AG1759" i="2"/>
  <c r="AH1759" i="2"/>
  <c r="AI1759" i="2"/>
  <c r="AJ1759" i="2"/>
  <c r="AF1760" i="2"/>
  <c r="AK1760" i="2"/>
  <c r="AG1760" i="2"/>
  <c r="AH1760" i="2"/>
  <c r="AI1760" i="2"/>
  <c r="AJ1760" i="2"/>
  <c r="AF1761" i="2"/>
  <c r="AK1761" i="2" s="1"/>
  <c r="AG1761" i="2"/>
  <c r="AH1761" i="2"/>
  <c r="AI1761" i="2"/>
  <c r="AJ1761" i="2"/>
  <c r="AF1762" i="2"/>
  <c r="AK1762" i="2"/>
  <c r="AG1762" i="2"/>
  <c r="AH1762" i="2"/>
  <c r="AI1762" i="2"/>
  <c r="AJ1762" i="2"/>
  <c r="AF1763" i="2"/>
  <c r="AK1763" i="2" s="1"/>
  <c r="AG1763" i="2"/>
  <c r="AH1763" i="2"/>
  <c r="AI1763" i="2"/>
  <c r="AJ1763" i="2"/>
  <c r="AF1764" i="2"/>
  <c r="AK1764" i="2"/>
  <c r="AG1764" i="2"/>
  <c r="AH1764" i="2"/>
  <c r="AI1764" i="2"/>
  <c r="AJ1764" i="2"/>
  <c r="AF1765" i="2"/>
  <c r="AK1765" i="2" s="1"/>
  <c r="AG1765" i="2"/>
  <c r="AH1765" i="2"/>
  <c r="AI1765" i="2"/>
  <c r="AJ1765" i="2"/>
  <c r="AF1766" i="2"/>
  <c r="AK1766" i="2"/>
  <c r="AG1766" i="2"/>
  <c r="AH1766" i="2"/>
  <c r="AI1766" i="2"/>
  <c r="AJ1766" i="2"/>
  <c r="AF1767" i="2"/>
  <c r="AK1767" i="2" s="1"/>
  <c r="AG1767" i="2"/>
  <c r="AH1767" i="2"/>
  <c r="AI1767" i="2"/>
  <c r="AJ1767" i="2"/>
  <c r="AF1768" i="2"/>
  <c r="AK1768" i="2"/>
  <c r="AG1768" i="2"/>
  <c r="AH1768" i="2"/>
  <c r="AI1768" i="2"/>
  <c r="AJ1768" i="2"/>
  <c r="AF1769" i="2"/>
  <c r="AK1769" i="2" s="1"/>
  <c r="AG1769" i="2"/>
  <c r="AH1769" i="2"/>
  <c r="AI1769" i="2"/>
  <c r="AJ1769" i="2"/>
  <c r="AF1770" i="2"/>
  <c r="AK1770" i="2"/>
  <c r="AG1770" i="2"/>
  <c r="AH1770" i="2"/>
  <c r="AI1770" i="2"/>
  <c r="AJ1770" i="2"/>
  <c r="AF1771" i="2"/>
  <c r="AK1771" i="2" s="1"/>
  <c r="AG1771" i="2"/>
  <c r="AH1771" i="2"/>
  <c r="AI1771" i="2"/>
  <c r="AJ1771" i="2"/>
  <c r="AF1772" i="2"/>
  <c r="AK1772" i="2"/>
  <c r="AG1772" i="2"/>
  <c r="AH1772" i="2"/>
  <c r="AI1772" i="2"/>
  <c r="AJ1772" i="2"/>
  <c r="AF1773" i="2"/>
  <c r="AK1773" i="2" s="1"/>
  <c r="AG1773" i="2"/>
  <c r="AH1773" i="2"/>
  <c r="AI1773" i="2"/>
  <c r="AJ1773" i="2"/>
  <c r="AF1774" i="2"/>
  <c r="AK1774" i="2"/>
  <c r="AG1774" i="2"/>
  <c r="AH1774" i="2"/>
  <c r="AI1774" i="2"/>
  <c r="AJ1774" i="2"/>
  <c r="AF1775" i="2"/>
  <c r="AK1775" i="2" s="1"/>
  <c r="AG1775" i="2"/>
  <c r="AH1775" i="2"/>
  <c r="AI1775" i="2"/>
  <c r="AJ1775" i="2"/>
  <c r="AF1776" i="2"/>
  <c r="AK1776" i="2"/>
  <c r="AG1776" i="2"/>
  <c r="AH1776" i="2"/>
  <c r="AI1776" i="2"/>
  <c r="AJ1776" i="2"/>
  <c r="AL1776" i="2"/>
  <c r="AF1777" i="2"/>
  <c r="AK1777" i="2"/>
  <c r="AG1777" i="2"/>
  <c r="AH1777" i="2"/>
  <c r="AI1777" i="2"/>
  <c r="AJ1777" i="2"/>
  <c r="AF1778" i="2"/>
  <c r="AK1778" i="2"/>
  <c r="AG1778" i="2"/>
  <c r="AH1778" i="2"/>
  <c r="AI1778" i="2"/>
  <c r="AJ1778" i="2"/>
  <c r="AF1779" i="2"/>
  <c r="AK1779" i="2"/>
  <c r="AG1779" i="2"/>
  <c r="AH1779" i="2"/>
  <c r="AI1779" i="2"/>
  <c r="AJ1779" i="2"/>
  <c r="AF1780" i="2"/>
  <c r="AK1780" i="2"/>
  <c r="AG1780" i="2"/>
  <c r="AH1780" i="2"/>
  <c r="AI1780" i="2"/>
  <c r="AJ1780" i="2"/>
  <c r="AF1781" i="2"/>
  <c r="AK1781" i="2"/>
  <c r="AG1781" i="2"/>
  <c r="AH1781" i="2"/>
  <c r="AI1781" i="2"/>
  <c r="AJ1781" i="2"/>
  <c r="AF1782" i="2"/>
  <c r="AK1782" i="2"/>
  <c r="AG1782" i="2"/>
  <c r="AH1782" i="2"/>
  <c r="AI1782" i="2"/>
  <c r="AJ1782" i="2"/>
  <c r="AF1783" i="2"/>
  <c r="AK1783" i="2"/>
  <c r="AG1783" i="2"/>
  <c r="AH1783" i="2"/>
  <c r="AI1783" i="2"/>
  <c r="AJ1783" i="2"/>
  <c r="AF1784" i="2"/>
  <c r="AK1784" i="2"/>
  <c r="AG1784" i="2"/>
  <c r="AH1784" i="2"/>
  <c r="AI1784" i="2"/>
  <c r="AJ1784" i="2"/>
  <c r="AF1785" i="2"/>
  <c r="AK1785" i="2"/>
  <c r="AG1785" i="2"/>
  <c r="AH1785" i="2"/>
  <c r="AI1785" i="2"/>
  <c r="AJ1785" i="2"/>
  <c r="AF1786" i="2"/>
  <c r="AK1786" i="2"/>
  <c r="AG1786" i="2"/>
  <c r="AH1786" i="2"/>
  <c r="AI1786" i="2"/>
  <c r="AJ1786" i="2"/>
  <c r="AF1787" i="2"/>
  <c r="AK1787" i="2"/>
  <c r="AG1787" i="2"/>
  <c r="AH1787" i="2"/>
  <c r="AI1787" i="2"/>
  <c r="AJ1787" i="2"/>
  <c r="AF1788" i="2"/>
  <c r="AK1788" i="2"/>
  <c r="AG1788" i="2"/>
  <c r="AH1788" i="2"/>
  <c r="AI1788" i="2"/>
  <c r="AJ1788" i="2"/>
  <c r="AF1789" i="2"/>
  <c r="AK1789" i="2"/>
  <c r="AG1789" i="2"/>
  <c r="AL1789" i="2"/>
  <c r="AH1789" i="2"/>
  <c r="AI1789" i="2"/>
  <c r="AJ1789" i="2"/>
  <c r="AF1790" i="2"/>
  <c r="AK1790" i="2" s="1"/>
  <c r="AG1790" i="2"/>
  <c r="AH1790" i="2"/>
  <c r="AI1790" i="2"/>
  <c r="AJ1790" i="2"/>
  <c r="AF1791" i="2"/>
  <c r="AK1791" i="2"/>
  <c r="AG1791" i="2"/>
  <c r="AH1791" i="2"/>
  <c r="AI1791" i="2"/>
  <c r="AJ1791" i="2"/>
  <c r="AF1792" i="2"/>
  <c r="AK1792" i="2" s="1"/>
  <c r="AG1792" i="2"/>
  <c r="AH1792" i="2"/>
  <c r="AI1792" i="2"/>
  <c r="AJ1792" i="2"/>
  <c r="AF1793" i="2"/>
  <c r="AK1793" i="2"/>
  <c r="AG1793" i="2"/>
  <c r="AH1793" i="2"/>
  <c r="AI1793" i="2"/>
  <c r="AJ1793" i="2"/>
  <c r="AF1794" i="2"/>
  <c r="AK1794" i="2" s="1"/>
  <c r="AG1794" i="2"/>
  <c r="AH1794" i="2"/>
  <c r="AI1794" i="2"/>
  <c r="AJ1794" i="2"/>
  <c r="AF1795" i="2"/>
  <c r="AK1795" i="2"/>
  <c r="AG1795" i="2"/>
  <c r="AH1795" i="2"/>
  <c r="AI1795" i="2"/>
  <c r="AJ1795" i="2"/>
  <c r="AF1796" i="2"/>
  <c r="AK1796" i="2" s="1"/>
  <c r="AG1796" i="2"/>
  <c r="AH1796" i="2"/>
  <c r="AI1796" i="2"/>
  <c r="AJ1796" i="2"/>
  <c r="AF1797" i="2"/>
  <c r="AK1797" i="2"/>
  <c r="AG1797" i="2"/>
  <c r="AH1797" i="2"/>
  <c r="AI1797" i="2"/>
  <c r="AJ1797" i="2"/>
  <c r="AF1798" i="2"/>
  <c r="AK1798" i="2" s="1"/>
  <c r="AG1798" i="2"/>
  <c r="AH1798" i="2"/>
  <c r="AI1798" i="2"/>
  <c r="AJ1798" i="2"/>
  <c r="AF1799" i="2"/>
  <c r="AK1799" i="2"/>
  <c r="AG1799" i="2"/>
  <c r="AH1799" i="2"/>
  <c r="AI1799" i="2"/>
  <c r="AJ1799" i="2"/>
  <c r="AF1800" i="2"/>
  <c r="AK1800" i="2" s="1"/>
  <c r="AG1800" i="2"/>
  <c r="AH1800" i="2"/>
  <c r="AI1800" i="2"/>
  <c r="AJ1800" i="2"/>
  <c r="AF1801" i="2"/>
  <c r="AK1801" i="2"/>
  <c r="AG1801" i="2"/>
  <c r="AH1801" i="2"/>
  <c r="AI1801" i="2"/>
  <c r="AJ1801" i="2"/>
  <c r="AF1802" i="2"/>
  <c r="AK1802" i="2" s="1"/>
  <c r="AG1802" i="2"/>
  <c r="AH1802" i="2"/>
  <c r="AI1802" i="2"/>
  <c r="AJ1802" i="2"/>
  <c r="AF1803" i="2"/>
  <c r="AK1803" i="2"/>
  <c r="AG1803" i="2"/>
  <c r="AH1803" i="2"/>
  <c r="AI1803" i="2"/>
  <c r="AJ1803" i="2"/>
  <c r="AF1804" i="2"/>
  <c r="AK1804" i="2" s="1"/>
  <c r="AG1804" i="2"/>
  <c r="AH1804" i="2"/>
  <c r="AI1804" i="2"/>
  <c r="AJ1804" i="2"/>
  <c r="AF1805" i="2"/>
  <c r="AK1805" i="2"/>
  <c r="AG1805" i="2"/>
  <c r="AH1805" i="2"/>
  <c r="AI1805" i="2"/>
  <c r="AJ1805" i="2"/>
  <c r="AF1806" i="2"/>
  <c r="AK1806" i="2" s="1"/>
  <c r="AG1806" i="2"/>
  <c r="AH1806" i="2"/>
  <c r="AI1806" i="2"/>
  <c r="AJ1806" i="2"/>
  <c r="AF1807" i="2"/>
  <c r="AG1807" i="2"/>
  <c r="AH1807" i="2"/>
  <c r="AI1807" i="2"/>
  <c r="AJ1807" i="2"/>
  <c r="AK1807" i="2"/>
  <c r="AF1808" i="2"/>
  <c r="AK1808" i="2" s="1"/>
  <c r="AG1808" i="2"/>
  <c r="AH1808" i="2"/>
  <c r="AI1808" i="2"/>
  <c r="AJ1808" i="2"/>
  <c r="AF1809" i="2"/>
  <c r="AK1809" i="2"/>
  <c r="AG1809" i="2"/>
  <c r="AH1809" i="2"/>
  <c r="AI1809" i="2"/>
  <c r="AJ1809" i="2"/>
  <c r="AF1810" i="2"/>
  <c r="AK1810" i="2" s="1"/>
  <c r="AG1810" i="2"/>
  <c r="AH1810" i="2"/>
  <c r="AI1810" i="2"/>
  <c r="AJ1810" i="2"/>
  <c r="AF1811" i="2"/>
  <c r="AK1811" i="2"/>
  <c r="AG1811" i="2"/>
  <c r="AH1811" i="2"/>
  <c r="AI1811" i="2"/>
  <c r="AJ1811" i="2"/>
  <c r="AF1812" i="2"/>
  <c r="AK1812" i="2" s="1"/>
  <c r="AG1812" i="2"/>
  <c r="AH1812" i="2"/>
  <c r="AI1812" i="2"/>
  <c r="AJ1812" i="2"/>
  <c r="AF1813" i="2"/>
  <c r="AK1813" i="2"/>
  <c r="AG1813" i="2"/>
  <c r="AH1813" i="2"/>
  <c r="AI1813" i="2"/>
  <c r="AJ1813" i="2"/>
  <c r="AF1814" i="2"/>
  <c r="AK1814" i="2" s="1"/>
  <c r="AG1814" i="2"/>
  <c r="AH1814" i="2"/>
  <c r="AI1814" i="2"/>
  <c r="AJ1814" i="2"/>
  <c r="AF1815" i="2"/>
  <c r="AK1815" i="2"/>
  <c r="AG1815" i="2"/>
  <c r="AH1815" i="2"/>
  <c r="AI1815" i="2"/>
  <c r="AJ1815" i="2"/>
  <c r="AF1816" i="2"/>
  <c r="AK1816" i="2" s="1"/>
  <c r="AG1816" i="2"/>
  <c r="AH1816" i="2"/>
  <c r="AI1816" i="2"/>
  <c r="AJ1816" i="2"/>
  <c r="AF1817" i="2"/>
  <c r="AK1817" i="2"/>
  <c r="AG1817" i="2"/>
  <c r="AH1817" i="2"/>
  <c r="AI1817" i="2"/>
  <c r="AJ1817" i="2"/>
  <c r="AF1818" i="2"/>
  <c r="AK1818" i="2" s="1"/>
  <c r="AG1818" i="2"/>
  <c r="AH1818" i="2"/>
  <c r="AI1818" i="2"/>
  <c r="AJ1818" i="2"/>
  <c r="AF1819" i="2"/>
  <c r="AK1819" i="2"/>
  <c r="AG1819" i="2"/>
  <c r="AH1819" i="2"/>
  <c r="AI1819" i="2"/>
  <c r="AJ1819" i="2"/>
  <c r="AF1820" i="2"/>
  <c r="AK1820" i="2"/>
  <c r="AG1820" i="2"/>
  <c r="AH1820" i="2"/>
  <c r="AI1820" i="2"/>
  <c r="AJ1820" i="2"/>
  <c r="AF1821" i="2"/>
  <c r="AK1821" i="2"/>
  <c r="AG1821" i="2"/>
  <c r="AH1821" i="2"/>
  <c r="AI1821" i="2"/>
  <c r="AJ1821" i="2"/>
  <c r="AF1822" i="2"/>
  <c r="AK1822" i="2"/>
  <c r="AG1822" i="2"/>
  <c r="AH1822" i="2"/>
  <c r="AI1822" i="2"/>
  <c r="AJ1822" i="2"/>
  <c r="AF1823" i="2"/>
  <c r="AK1823" i="2"/>
  <c r="AG1823" i="2"/>
  <c r="AH1823" i="2"/>
  <c r="AI1823" i="2"/>
  <c r="AJ1823" i="2"/>
  <c r="AF1824" i="2"/>
  <c r="AK1824" i="2"/>
  <c r="AG1824" i="2"/>
  <c r="AH1824" i="2"/>
  <c r="AI1824" i="2"/>
  <c r="AJ1824" i="2"/>
  <c r="AF1825" i="2"/>
  <c r="AK1825" i="2"/>
  <c r="AG1825" i="2"/>
  <c r="AH1825" i="2"/>
  <c r="AI1825" i="2"/>
  <c r="AJ1825" i="2"/>
  <c r="AF1826" i="2"/>
  <c r="AK1826" i="2"/>
  <c r="AG1826" i="2"/>
  <c r="AH1826" i="2"/>
  <c r="AI1826" i="2"/>
  <c r="AJ1826" i="2"/>
  <c r="AF1827" i="2"/>
  <c r="AK1827" i="2"/>
  <c r="AG1827" i="2"/>
  <c r="AH1827" i="2"/>
  <c r="AI1827" i="2"/>
  <c r="AJ1827" i="2"/>
  <c r="AF1828" i="2"/>
  <c r="AK1828" i="2"/>
  <c r="AG1828" i="2"/>
  <c r="AH1828" i="2"/>
  <c r="AI1828" i="2"/>
  <c r="AJ1828" i="2"/>
  <c r="AF1829" i="2"/>
  <c r="AK1829" i="2"/>
  <c r="AG1829" i="2"/>
  <c r="AH1829" i="2"/>
  <c r="AI1829" i="2"/>
  <c r="AJ1829" i="2"/>
  <c r="AF1830" i="2"/>
  <c r="AK1830" i="2"/>
  <c r="AG1830" i="2"/>
  <c r="AH1830" i="2"/>
  <c r="AI1830" i="2"/>
  <c r="AJ1830" i="2"/>
  <c r="AF1831" i="2"/>
  <c r="AK1831" i="2"/>
  <c r="AG1831" i="2"/>
  <c r="AH1831" i="2"/>
  <c r="AI1831" i="2"/>
  <c r="AJ1831" i="2"/>
  <c r="AF1832" i="2"/>
  <c r="AK1832" i="2"/>
  <c r="AG1832" i="2"/>
  <c r="AH1832" i="2"/>
  <c r="AI1832" i="2"/>
  <c r="AJ1832" i="2"/>
  <c r="AF1833" i="2"/>
  <c r="AK1833" i="2"/>
  <c r="AG1833" i="2"/>
  <c r="AH1833" i="2"/>
  <c r="AI1833" i="2"/>
  <c r="AJ1833" i="2"/>
  <c r="AF1834" i="2"/>
  <c r="AK1834" i="2"/>
  <c r="AG1834" i="2"/>
  <c r="AH1834" i="2"/>
  <c r="AI1834" i="2"/>
  <c r="AJ1834" i="2"/>
  <c r="AF1835" i="2"/>
  <c r="AK1835" i="2"/>
  <c r="AG1835" i="2"/>
  <c r="AH1835" i="2"/>
  <c r="AI1835" i="2"/>
  <c r="AJ1835" i="2"/>
  <c r="AF1836" i="2"/>
  <c r="AK1836" i="2"/>
  <c r="AG1836" i="2"/>
  <c r="AH1836" i="2"/>
  <c r="AI1836" i="2"/>
  <c r="AJ1836" i="2"/>
  <c r="AF1837" i="2"/>
  <c r="AK1837" i="2"/>
  <c r="AG1837" i="2"/>
  <c r="AH1837" i="2"/>
  <c r="AI1837" i="2"/>
  <c r="AJ1837" i="2"/>
  <c r="AF1838" i="2"/>
  <c r="AK1838" i="2"/>
  <c r="AG1838" i="2"/>
  <c r="AH1838" i="2"/>
  <c r="AI1838" i="2"/>
  <c r="AJ1838" i="2"/>
  <c r="AF1839" i="2"/>
  <c r="AK1839" i="2"/>
  <c r="AG1839" i="2"/>
  <c r="AH1839" i="2"/>
  <c r="AI1839" i="2"/>
  <c r="AJ1839" i="2"/>
  <c r="AF1840" i="2"/>
  <c r="AK1840" i="2"/>
  <c r="AG1840" i="2"/>
  <c r="AH1840" i="2"/>
  <c r="AI1840" i="2"/>
  <c r="AJ1840" i="2"/>
  <c r="AF1841" i="2"/>
  <c r="AK1841" i="2"/>
  <c r="AG1841" i="2"/>
  <c r="AH1841" i="2"/>
  <c r="AI1841" i="2"/>
  <c r="AJ1841" i="2"/>
  <c r="AF1842" i="2"/>
  <c r="AK1842" i="2"/>
  <c r="AG1842" i="2"/>
  <c r="AH1842" i="2"/>
  <c r="AI1842" i="2"/>
  <c r="AJ1842" i="2"/>
  <c r="AF1843" i="2"/>
  <c r="AK1843" i="2"/>
  <c r="AG1843" i="2"/>
  <c r="AH1843" i="2"/>
  <c r="AI1843" i="2"/>
  <c r="AJ1843" i="2"/>
  <c r="AF1844" i="2"/>
  <c r="AK1844" i="2"/>
  <c r="AG1844" i="2"/>
  <c r="AH1844" i="2"/>
  <c r="AI1844" i="2"/>
  <c r="AJ1844" i="2"/>
  <c r="AF1845" i="2"/>
  <c r="AK1845" i="2"/>
  <c r="AG1845" i="2"/>
  <c r="AH1845" i="2"/>
  <c r="AI1845" i="2"/>
  <c r="AJ1845" i="2"/>
  <c r="AF1846" i="2"/>
  <c r="AK1846" i="2"/>
  <c r="AG1846" i="2"/>
  <c r="AH1846" i="2"/>
  <c r="AI1846" i="2"/>
  <c r="AJ1846" i="2"/>
  <c r="AF1847" i="2"/>
  <c r="AK1847" i="2"/>
  <c r="AG1847" i="2"/>
  <c r="AH1847" i="2"/>
  <c r="AI1847" i="2"/>
  <c r="AJ1847" i="2"/>
  <c r="AF1848" i="2"/>
  <c r="AK1848" i="2"/>
  <c r="AG1848" i="2"/>
  <c r="AH1848" i="2"/>
  <c r="AI1848" i="2"/>
  <c r="AJ1848" i="2"/>
  <c r="AF1849" i="2"/>
  <c r="AK1849" i="2"/>
  <c r="AG1849" i="2"/>
  <c r="AH1849" i="2"/>
  <c r="AI1849" i="2"/>
  <c r="AJ1849" i="2"/>
  <c r="AF1850" i="2"/>
  <c r="AK1850" i="2"/>
  <c r="AG1850" i="2"/>
  <c r="AH1850" i="2"/>
  <c r="AI1850" i="2"/>
  <c r="AJ1850" i="2"/>
  <c r="AF1851" i="2"/>
  <c r="AK1851" i="2"/>
  <c r="AG1851" i="2"/>
  <c r="AH1851" i="2"/>
  <c r="AI1851" i="2"/>
  <c r="AJ1851" i="2"/>
  <c r="AF1852" i="2"/>
  <c r="AK1852" i="2"/>
  <c r="AG1852" i="2"/>
  <c r="AH1852" i="2"/>
  <c r="AI1852" i="2"/>
  <c r="AJ1852" i="2"/>
  <c r="AF1853" i="2"/>
  <c r="AK1853" i="2"/>
  <c r="AG1853" i="2"/>
  <c r="AH1853" i="2"/>
  <c r="AI1853" i="2"/>
  <c r="AJ1853" i="2"/>
  <c r="AF1854" i="2"/>
  <c r="AK1854" i="2"/>
  <c r="AG1854" i="2"/>
  <c r="AH1854" i="2"/>
  <c r="AI1854" i="2"/>
  <c r="AJ1854" i="2"/>
  <c r="AF1855" i="2"/>
  <c r="AK1855" i="2"/>
  <c r="AG1855" i="2"/>
  <c r="AH1855" i="2"/>
  <c r="AI1855" i="2"/>
  <c r="AJ1855" i="2"/>
  <c r="AF1856" i="2"/>
  <c r="AK1856" i="2"/>
  <c r="AG1856" i="2"/>
  <c r="AH1856" i="2"/>
  <c r="AI1856" i="2"/>
  <c r="AJ1856" i="2"/>
  <c r="AF1857" i="2"/>
  <c r="AK1857" i="2"/>
  <c r="AG1857" i="2"/>
  <c r="AH1857" i="2"/>
  <c r="AI1857" i="2"/>
  <c r="AJ1857" i="2"/>
  <c r="AF1858" i="2"/>
  <c r="AK1858" i="2"/>
  <c r="AG1858" i="2"/>
  <c r="AH1858" i="2"/>
  <c r="AI1858" i="2"/>
  <c r="AJ1858" i="2"/>
  <c r="AF1859" i="2"/>
  <c r="AK1859" i="2"/>
  <c r="AG1859" i="2"/>
  <c r="AH1859" i="2"/>
  <c r="AI1859" i="2"/>
  <c r="AJ1859" i="2"/>
  <c r="AF1860" i="2"/>
  <c r="AK1860" i="2"/>
  <c r="AG1860" i="2"/>
  <c r="AH1860" i="2"/>
  <c r="AI1860" i="2"/>
  <c r="AJ1860" i="2"/>
  <c r="AF1861" i="2"/>
  <c r="AK1861" i="2"/>
  <c r="AG1861" i="2"/>
  <c r="AH1861" i="2"/>
  <c r="AI1861" i="2"/>
  <c r="AJ1861" i="2"/>
  <c r="AF1862" i="2"/>
  <c r="AK1862" i="2"/>
  <c r="AG1862" i="2"/>
  <c r="AH1862" i="2"/>
  <c r="AI1862" i="2"/>
  <c r="AJ1862" i="2"/>
  <c r="AF1863" i="2"/>
  <c r="AK1863" i="2"/>
  <c r="AG1863" i="2"/>
  <c r="AH1863" i="2"/>
  <c r="AI1863" i="2"/>
  <c r="AJ1863" i="2"/>
  <c r="AF1864" i="2"/>
  <c r="AK1864" i="2"/>
  <c r="AG1864" i="2"/>
  <c r="AH1864" i="2"/>
  <c r="AI1864" i="2"/>
  <c r="AJ1864" i="2"/>
  <c r="AF1865" i="2"/>
  <c r="AK1865" i="2"/>
  <c r="AG1865" i="2"/>
  <c r="AH1865" i="2"/>
  <c r="AI1865" i="2"/>
  <c r="AJ1865" i="2"/>
  <c r="AF1866" i="2"/>
  <c r="AK1866" i="2"/>
  <c r="AG1866" i="2"/>
  <c r="AH1866" i="2"/>
  <c r="AI1866" i="2"/>
  <c r="AJ1866" i="2"/>
  <c r="AF1867" i="2"/>
  <c r="AK1867" i="2"/>
  <c r="AG1867" i="2"/>
  <c r="AH1867" i="2"/>
  <c r="AI1867" i="2"/>
  <c r="AJ1867" i="2"/>
  <c r="AF1868" i="2"/>
  <c r="AK1868" i="2"/>
  <c r="AG1868" i="2"/>
  <c r="AH1868" i="2"/>
  <c r="AI1868" i="2"/>
  <c r="AJ1868" i="2"/>
  <c r="AF1869" i="2"/>
  <c r="AK1869" i="2"/>
  <c r="AG1869" i="2"/>
  <c r="AH1869" i="2"/>
  <c r="AI1869" i="2"/>
  <c r="AJ1869" i="2"/>
  <c r="AF1870" i="2"/>
  <c r="AK1870" i="2"/>
  <c r="AG1870" i="2"/>
  <c r="AH1870" i="2"/>
  <c r="AI1870" i="2"/>
  <c r="AJ1870" i="2"/>
  <c r="AF1871" i="2"/>
  <c r="AK1871" i="2"/>
  <c r="AG1871" i="2"/>
  <c r="AH1871" i="2"/>
  <c r="AI1871" i="2"/>
  <c r="AJ1871" i="2"/>
  <c r="AF1872" i="2"/>
  <c r="AK1872" i="2"/>
  <c r="AG1872" i="2"/>
  <c r="AH1872" i="2"/>
  <c r="AI1872" i="2"/>
  <c r="AJ1872" i="2"/>
  <c r="AF1873" i="2"/>
  <c r="AK1873" i="2"/>
  <c r="AG1873" i="2"/>
  <c r="AH1873" i="2"/>
  <c r="AI1873" i="2"/>
  <c r="AJ1873" i="2"/>
  <c r="AF1874" i="2"/>
  <c r="AK1874" i="2"/>
  <c r="AG1874" i="2"/>
  <c r="AH1874" i="2"/>
  <c r="AI1874" i="2"/>
  <c r="AJ1874" i="2"/>
  <c r="AF1875" i="2"/>
  <c r="AK1875" i="2"/>
  <c r="AG1875" i="2"/>
  <c r="AH1875" i="2"/>
  <c r="AI1875" i="2"/>
  <c r="AJ1875" i="2"/>
  <c r="AF1876" i="2"/>
  <c r="AK1876" i="2"/>
  <c r="AG1876" i="2"/>
  <c r="AH1876" i="2"/>
  <c r="AI1876" i="2"/>
  <c r="AJ1876" i="2"/>
  <c r="AF1877" i="2"/>
  <c r="AK1877" i="2"/>
  <c r="AG1877" i="2"/>
  <c r="AH1877" i="2"/>
  <c r="AI1877" i="2"/>
  <c r="AJ1877" i="2"/>
  <c r="AF1878" i="2"/>
  <c r="AK1878" i="2"/>
  <c r="AG1878" i="2"/>
  <c r="AH1878" i="2"/>
  <c r="AI1878" i="2"/>
  <c r="AJ1878" i="2"/>
  <c r="AF1879" i="2"/>
  <c r="AK1879" i="2"/>
  <c r="AG1879" i="2"/>
  <c r="AH1879" i="2"/>
  <c r="AI1879" i="2"/>
  <c r="AJ1879" i="2"/>
  <c r="AF1880" i="2"/>
  <c r="AK1880" i="2"/>
  <c r="AG1880" i="2"/>
  <c r="AH1880" i="2"/>
  <c r="AI1880" i="2"/>
  <c r="AJ1880" i="2"/>
  <c r="AF1881" i="2"/>
  <c r="AK1881" i="2"/>
  <c r="AG1881" i="2"/>
  <c r="AH1881" i="2"/>
  <c r="AI1881" i="2"/>
  <c r="AJ1881" i="2"/>
  <c r="AF1882" i="2"/>
  <c r="AK1882" i="2"/>
  <c r="AG1882" i="2"/>
  <c r="AH1882" i="2"/>
  <c r="AI1882" i="2"/>
  <c r="AJ1882" i="2"/>
  <c r="AF1883" i="2"/>
  <c r="AK1883" i="2"/>
  <c r="AG1883" i="2"/>
  <c r="AH1883" i="2"/>
  <c r="AI1883" i="2"/>
  <c r="AJ1883" i="2"/>
  <c r="AF1884" i="2"/>
  <c r="AK1884" i="2"/>
  <c r="AG1884" i="2"/>
  <c r="AH1884" i="2"/>
  <c r="AI1884" i="2"/>
  <c r="AJ1884" i="2"/>
  <c r="AF1885" i="2"/>
  <c r="AK1885" i="2" s="1"/>
  <c r="AG1885" i="2"/>
  <c r="AH1885" i="2"/>
  <c r="AI1885" i="2"/>
  <c r="AJ1885" i="2"/>
  <c r="AF1886" i="2"/>
  <c r="AK1886" i="2"/>
  <c r="AG1886" i="2"/>
  <c r="AH1886" i="2"/>
  <c r="AI1886" i="2"/>
  <c r="AJ1886" i="2"/>
  <c r="AF1887" i="2"/>
  <c r="AK1887" i="2" s="1"/>
  <c r="AG1887" i="2"/>
  <c r="AH1887" i="2"/>
  <c r="AI1887" i="2"/>
  <c r="AJ1887" i="2"/>
  <c r="AF1888" i="2"/>
  <c r="AK1888" i="2"/>
  <c r="AG1888" i="2"/>
  <c r="AH1888" i="2"/>
  <c r="AI1888" i="2"/>
  <c r="AJ1888" i="2"/>
  <c r="AF1889" i="2"/>
  <c r="AK1889" i="2" s="1"/>
  <c r="AG1889" i="2"/>
  <c r="AH1889" i="2"/>
  <c r="AI1889" i="2"/>
  <c r="AJ1889" i="2"/>
  <c r="AF1890" i="2"/>
  <c r="AK1890" i="2"/>
  <c r="AG1890" i="2"/>
  <c r="AH1890" i="2"/>
  <c r="AI1890" i="2"/>
  <c r="AJ1890" i="2"/>
  <c r="AF1891" i="2"/>
  <c r="AK1891" i="2" s="1"/>
  <c r="AG1891" i="2"/>
  <c r="AH1891" i="2"/>
  <c r="AI1891" i="2"/>
  <c r="AJ1891" i="2"/>
  <c r="AF1892" i="2"/>
  <c r="AK1892" i="2"/>
  <c r="AG1892" i="2"/>
  <c r="AH1892" i="2"/>
  <c r="AI1892" i="2"/>
  <c r="AJ1892" i="2"/>
  <c r="AF1893" i="2"/>
  <c r="AK1893" i="2" s="1"/>
  <c r="AG1893" i="2"/>
  <c r="AH1893" i="2"/>
  <c r="AI1893" i="2"/>
  <c r="AJ1893" i="2"/>
  <c r="AF1894" i="2"/>
  <c r="AK1894" i="2"/>
  <c r="AG1894" i="2"/>
  <c r="AH1894" i="2"/>
  <c r="AI1894" i="2"/>
  <c r="AJ1894" i="2"/>
  <c r="AF1895" i="2"/>
  <c r="AK1895" i="2" s="1"/>
  <c r="AG1895" i="2"/>
  <c r="AH1895" i="2"/>
  <c r="AI1895" i="2"/>
  <c r="AJ1895" i="2"/>
  <c r="AF1896" i="2"/>
  <c r="AK1896" i="2"/>
  <c r="AG1896" i="2"/>
  <c r="AH1896" i="2"/>
  <c r="AI1896" i="2"/>
  <c r="AJ1896" i="2"/>
  <c r="AF1897" i="2"/>
  <c r="AK1897" i="2" s="1"/>
  <c r="AG1897" i="2"/>
  <c r="AH1897" i="2"/>
  <c r="AI1897" i="2"/>
  <c r="AJ1897" i="2"/>
  <c r="AF1898" i="2"/>
  <c r="AK1898" i="2"/>
  <c r="AG1898" i="2"/>
  <c r="AH1898" i="2"/>
  <c r="AI1898" i="2"/>
  <c r="AJ1898" i="2"/>
  <c r="AF1899" i="2"/>
  <c r="AK1899" i="2" s="1"/>
  <c r="AG1899" i="2"/>
  <c r="AH1899" i="2"/>
  <c r="AI1899" i="2"/>
  <c r="AJ1899" i="2"/>
  <c r="AF1900" i="2"/>
  <c r="AK1900" i="2"/>
  <c r="AG1900" i="2"/>
  <c r="AH1900" i="2"/>
  <c r="AI1900" i="2"/>
  <c r="AJ1900" i="2"/>
  <c r="AF1901" i="2"/>
  <c r="AK1901" i="2" s="1"/>
  <c r="AG1901" i="2"/>
  <c r="AH1901" i="2"/>
  <c r="AI1901" i="2"/>
  <c r="AJ1901" i="2"/>
  <c r="AF1902" i="2"/>
  <c r="AK1902" i="2"/>
  <c r="AG1902" i="2"/>
  <c r="AH1902" i="2"/>
  <c r="AI1902" i="2"/>
  <c r="AJ1902" i="2"/>
  <c r="AF1903" i="2"/>
  <c r="AK1903" i="2" s="1"/>
  <c r="AG1903" i="2"/>
  <c r="AH1903" i="2"/>
  <c r="AI1903" i="2"/>
  <c r="AJ1903" i="2"/>
  <c r="AF1904" i="2"/>
  <c r="AK1904" i="2"/>
  <c r="AG1904" i="2"/>
  <c r="AH1904" i="2"/>
  <c r="AI1904" i="2"/>
  <c r="AJ1904" i="2"/>
  <c r="AF1905" i="2"/>
  <c r="AK1905" i="2" s="1"/>
  <c r="AG1905" i="2"/>
  <c r="AH1905" i="2"/>
  <c r="AI1905" i="2"/>
  <c r="AJ1905" i="2"/>
  <c r="AF1906" i="2"/>
  <c r="AK1906" i="2"/>
  <c r="AG1906" i="2"/>
  <c r="AH1906" i="2"/>
  <c r="AI1906" i="2"/>
  <c r="AJ1906" i="2"/>
  <c r="AF1907" i="2"/>
  <c r="AK1907" i="2" s="1"/>
  <c r="AG1907" i="2"/>
  <c r="AH1907" i="2"/>
  <c r="AI1907" i="2"/>
  <c r="AJ1907" i="2"/>
  <c r="AF1908" i="2"/>
  <c r="AK1908" i="2"/>
  <c r="AG1908" i="2"/>
  <c r="AH1908" i="2"/>
  <c r="AI1908" i="2"/>
  <c r="AJ1908" i="2"/>
  <c r="AF1909" i="2"/>
  <c r="AK1909" i="2" s="1"/>
  <c r="AG1909" i="2"/>
  <c r="AH1909" i="2"/>
  <c r="AI1909" i="2"/>
  <c r="AJ1909" i="2"/>
  <c r="AF1910" i="2"/>
  <c r="AK1910" i="2"/>
  <c r="AG1910" i="2"/>
  <c r="AH1910" i="2"/>
  <c r="AI1910" i="2"/>
  <c r="AJ1910" i="2"/>
  <c r="AF1911" i="2"/>
  <c r="AK1911" i="2" s="1"/>
  <c r="AG1911" i="2"/>
  <c r="AH1911" i="2"/>
  <c r="AI1911" i="2"/>
  <c r="AJ1911" i="2"/>
  <c r="AF1912" i="2"/>
  <c r="AK1912" i="2"/>
  <c r="AG1912" i="2"/>
  <c r="AH1912" i="2"/>
  <c r="AI1912" i="2"/>
  <c r="AJ1912" i="2"/>
  <c r="AF1913" i="2"/>
  <c r="AK1913" i="2" s="1"/>
  <c r="AG1913" i="2"/>
  <c r="AH1913" i="2"/>
  <c r="AI1913" i="2"/>
  <c r="AJ1913" i="2"/>
  <c r="AF1914" i="2"/>
  <c r="AK1914" i="2"/>
  <c r="AG1914" i="2"/>
  <c r="AH1914" i="2"/>
  <c r="AI1914" i="2"/>
  <c r="AJ1914" i="2"/>
  <c r="AF1915" i="2"/>
  <c r="AK1915" i="2" s="1"/>
  <c r="AG1915" i="2"/>
  <c r="AH1915" i="2"/>
  <c r="AI1915" i="2"/>
  <c r="AJ1915" i="2"/>
  <c r="AF1916" i="2"/>
  <c r="AK1916" i="2"/>
  <c r="AG1916" i="2"/>
  <c r="AH1916" i="2"/>
  <c r="AI1916" i="2"/>
  <c r="AJ1916" i="2"/>
  <c r="AF1917" i="2"/>
  <c r="AK1917" i="2" s="1"/>
  <c r="AG1917" i="2"/>
  <c r="AH1917" i="2"/>
  <c r="AI1917" i="2"/>
  <c r="AJ1917" i="2"/>
  <c r="AF1918" i="2"/>
  <c r="AK1918" i="2"/>
  <c r="AG1918" i="2"/>
  <c r="AH1918" i="2"/>
  <c r="AI1918" i="2"/>
  <c r="AJ1918" i="2"/>
  <c r="AF1919" i="2"/>
  <c r="AK1919" i="2" s="1"/>
  <c r="AG1919" i="2"/>
  <c r="AH1919" i="2"/>
  <c r="AI1919" i="2"/>
  <c r="AJ1919" i="2"/>
  <c r="AF1920" i="2"/>
  <c r="AK1920" i="2"/>
  <c r="AG1920" i="2"/>
  <c r="AH1920" i="2"/>
  <c r="AI1920" i="2"/>
  <c r="AJ1920" i="2"/>
  <c r="AF1921" i="2"/>
  <c r="AK1921" i="2" s="1"/>
  <c r="AG1921" i="2"/>
  <c r="AH1921" i="2"/>
  <c r="AI1921" i="2"/>
  <c r="AJ1921" i="2"/>
  <c r="AF1922" i="2"/>
  <c r="AK1922" i="2" s="1"/>
  <c r="AG1922" i="2"/>
  <c r="AH1922" i="2"/>
  <c r="AI1922" i="2"/>
  <c r="AJ1922" i="2"/>
  <c r="AF1923" i="2"/>
  <c r="AK1923" i="2" s="1"/>
  <c r="AG1923" i="2"/>
  <c r="AH1923" i="2"/>
  <c r="AI1923" i="2"/>
  <c r="AJ1923" i="2"/>
  <c r="AF1924" i="2"/>
  <c r="AK1924" i="2"/>
  <c r="AG1924" i="2"/>
  <c r="AH1924" i="2"/>
  <c r="AI1924" i="2"/>
  <c r="AJ1924" i="2"/>
  <c r="AF1925" i="2"/>
  <c r="AK1925" i="2" s="1"/>
  <c r="AG1925" i="2"/>
  <c r="AH1925" i="2"/>
  <c r="AI1925" i="2"/>
  <c r="AJ1925" i="2"/>
  <c r="AF1926" i="2"/>
  <c r="AK1926" i="2" s="1"/>
  <c r="AG1926" i="2"/>
  <c r="AH1926" i="2"/>
  <c r="AI1926" i="2"/>
  <c r="AJ1926" i="2"/>
  <c r="AF1927" i="2"/>
  <c r="AK1927" i="2" s="1"/>
  <c r="AG1927" i="2"/>
  <c r="AH1927" i="2"/>
  <c r="AI1927" i="2"/>
  <c r="AJ1927" i="2"/>
  <c r="AF1928" i="2"/>
  <c r="AK1928" i="2"/>
  <c r="AG1928" i="2"/>
  <c r="AH1928" i="2"/>
  <c r="AI1928" i="2"/>
  <c r="AJ1928" i="2"/>
  <c r="AF1929" i="2"/>
  <c r="AK1929" i="2" s="1"/>
  <c r="AG1929" i="2"/>
  <c r="AH1929" i="2"/>
  <c r="AI1929" i="2"/>
  <c r="AJ1929" i="2"/>
  <c r="AF1930" i="2"/>
  <c r="AK1930" i="2" s="1"/>
  <c r="AG1930" i="2"/>
  <c r="AH1930" i="2"/>
  <c r="AI1930" i="2"/>
  <c r="AJ1930" i="2"/>
  <c r="AF1931" i="2"/>
  <c r="AK1931" i="2" s="1"/>
  <c r="AG1931" i="2"/>
  <c r="AH1931" i="2"/>
  <c r="AI1931" i="2"/>
  <c r="AJ1931" i="2"/>
  <c r="AF1932" i="2"/>
  <c r="AK1932" i="2"/>
  <c r="AG1932" i="2"/>
  <c r="AH1932" i="2"/>
  <c r="AI1932" i="2"/>
  <c r="AJ1932" i="2"/>
  <c r="AF1933" i="2"/>
  <c r="AK1933" i="2" s="1"/>
  <c r="AG1933" i="2"/>
  <c r="AH1933" i="2"/>
  <c r="AI1933" i="2"/>
  <c r="AJ1933" i="2"/>
  <c r="AF1934" i="2"/>
  <c r="AK1934" i="2" s="1"/>
  <c r="AG1934" i="2"/>
  <c r="AH1934" i="2"/>
  <c r="AI1934" i="2"/>
  <c r="AJ1934" i="2"/>
  <c r="AF1935" i="2"/>
  <c r="AK1935" i="2" s="1"/>
  <c r="AG1935" i="2"/>
  <c r="AH1935" i="2"/>
  <c r="AI1935" i="2"/>
  <c r="AJ1935" i="2"/>
  <c r="AF1936" i="2"/>
  <c r="AK1936" i="2"/>
  <c r="AG1936" i="2"/>
  <c r="AH1936" i="2"/>
  <c r="AI1936" i="2"/>
  <c r="AJ1936" i="2"/>
  <c r="AF1937" i="2"/>
  <c r="AK1937" i="2" s="1"/>
  <c r="AG1937" i="2"/>
  <c r="AH1937" i="2"/>
  <c r="AI1937" i="2"/>
  <c r="AJ1937" i="2"/>
  <c r="AF1938" i="2"/>
  <c r="AK1938" i="2" s="1"/>
  <c r="AG1938" i="2"/>
  <c r="AH1938" i="2"/>
  <c r="AI1938" i="2"/>
  <c r="AJ1938" i="2"/>
  <c r="AF1939" i="2"/>
  <c r="AK1939" i="2" s="1"/>
  <c r="AG1939" i="2"/>
  <c r="AH1939" i="2"/>
  <c r="AI1939" i="2"/>
  <c r="AJ1939" i="2"/>
  <c r="AF1940" i="2"/>
  <c r="AK1940" i="2"/>
  <c r="AG1940" i="2"/>
  <c r="AH1940" i="2"/>
  <c r="AI1940" i="2"/>
  <c r="AJ1940" i="2"/>
  <c r="AF1941" i="2"/>
  <c r="AK1941" i="2" s="1"/>
  <c r="AG1941" i="2"/>
  <c r="AH1941" i="2"/>
  <c r="AI1941" i="2"/>
  <c r="AJ1941" i="2"/>
  <c r="AF1942" i="2"/>
  <c r="AK1942" i="2" s="1"/>
  <c r="AG1942" i="2"/>
  <c r="AH1942" i="2"/>
  <c r="AI1942" i="2"/>
  <c r="AJ1942" i="2"/>
  <c r="AF1943" i="2"/>
  <c r="AK1943" i="2" s="1"/>
  <c r="AG1943" i="2"/>
  <c r="AH1943" i="2"/>
  <c r="AI1943" i="2"/>
  <c r="AJ1943" i="2"/>
  <c r="AF1944" i="2"/>
  <c r="AK1944" i="2"/>
  <c r="AG1944" i="2"/>
  <c r="AH1944" i="2"/>
  <c r="AI1944" i="2"/>
  <c r="AJ1944" i="2"/>
  <c r="AF1945" i="2"/>
  <c r="AK1945" i="2" s="1"/>
  <c r="AG1945" i="2"/>
  <c r="AH1945" i="2"/>
  <c r="AI1945" i="2"/>
  <c r="AJ1945" i="2"/>
  <c r="AF1946" i="2"/>
  <c r="AK1946" i="2" s="1"/>
  <c r="AG1946" i="2"/>
  <c r="AH1946" i="2"/>
  <c r="AI1946" i="2"/>
  <c r="AJ1946" i="2"/>
  <c r="AF1947" i="2"/>
  <c r="AK1947" i="2" s="1"/>
  <c r="AG1947" i="2"/>
  <c r="AH1947" i="2"/>
  <c r="AI1947" i="2"/>
  <c r="AJ1947" i="2"/>
  <c r="AF1948" i="2"/>
  <c r="AK1948" i="2"/>
  <c r="AG1948" i="2"/>
  <c r="AH1948" i="2"/>
  <c r="AI1948" i="2"/>
  <c r="AJ1948" i="2"/>
  <c r="AF1949" i="2"/>
  <c r="AK1949" i="2" s="1"/>
  <c r="AG1949" i="2"/>
  <c r="AH1949" i="2"/>
  <c r="AI1949" i="2"/>
  <c r="AJ1949" i="2"/>
  <c r="AF1950" i="2"/>
  <c r="AK1950" i="2" s="1"/>
  <c r="AG1950" i="2"/>
  <c r="AH1950" i="2"/>
  <c r="AI1950" i="2"/>
  <c r="AJ1950" i="2"/>
  <c r="AF1951" i="2"/>
  <c r="AK1951" i="2" s="1"/>
  <c r="AG1951" i="2"/>
  <c r="AH1951" i="2"/>
  <c r="AI1951" i="2"/>
  <c r="AJ1951" i="2"/>
  <c r="AF1952" i="2"/>
  <c r="AK1952" i="2"/>
  <c r="AG1952" i="2"/>
  <c r="AH1952" i="2"/>
  <c r="AI1952" i="2"/>
  <c r="AJ1952" i="2"/>
  <c r="AF1953" i="2"/>
  <c r="AK1953" i="2" s="1"/>
  <c r="AG1953" i="2"/>
  <c r="AH1953" i="2"/>
  <c r="AI1953" i="2"/>
  <c r="AJ1953" i="2"/>
  <c r="AF1954" i="2"/>
  <c r="AK1954" i="2" s="1"/>
  <c r="AG1954" i="2"/>
  <c r="AH1954" i="2"/>
  <c r="AI1954" i="2"/>
  <c r="AJ1954" i="2"/>
  <c r="AF1955" i="2"/>
  <c r="AK1955" i="2" s="1"/>
  <c r="AG1955" i="2"/>
  <c r="AH1955" i="2"/>
  <c r="AI1955" i="2"/>
  <c r="AJ1955" i="2"/>
  <c r="AF1956" i="2"/>
  <c r="AK1956" i="2"/>
  <c r="AG1956" i="2"/>
  <c r="AH1956" i="2"/>
  <c r="AI1956" i="2"/>
  <c r="AJ1956" i="2"/>
  <c r="AF1957" i="2"/>
  <c r="AK1957" i="2" s="1"/>
  <c r="AG1957" i="2"/>
  <c r="AH1957" i="2"/>
  <c r="AI1957" i="2"/>
  <c r="AJ1957" i="2"/>
  <c r="AF1958" i="2"/>
  <c r="AK1958" i="2" s="1"/>
  <c r="AG1958" i="2"/>
  <c r="AH1958" i="2"/>
  <c r="AI1958" i="2"/>
  <c r="AJ1958" i="2"/>
  <c r="AF1959" i="2"/>
  <c r="AK1959" i="2" s="1"/>
  <c r="AG1959" i="2"/>
  <c r="AH1959" i="2"/>
  <c r="AI1959" i="2"/>
  <c r="AJ1959" i="2"/>
  <c r="AF1960" i="2"/>
  <c r="AK1960" i="2"/>
  <c r="AG1960" i="2"/>
  <c r="AH1960" i="2"/>
  <c r="AI1960" i="2"/>
  <c r="AJ1960" i="2"/>
  <c r="AF1961" i="2"/>
  <c r="AK1961" i="2" s="1"/>
  <c r="AG1961" i="2"/>
  <c r="AH1961" i="2"/>
  <c r="AI1961" i="2"/>
  <c r="AJ1961" i="2"/>
  <c r="AF1962" i="2"/>
  <c r="AK1962" i="2" s="1"/>
  <c r="AG1962" i="2"/>
  <c r="AH1962" i="2"/>
  <c r="AI1962" i="2"/>
  <c r="AJ1962" i="2"/>
  <c r="AF1963" i="2"/>
  <c r="AK1963" i="2" s="1"/>
  <c r="AG1963" i="2"/>
  <c r="AH1963" i="2"/>
  <c r="AI1963" i="2"/>
  <c r="AJ1963" i="2"/>
  <c r="AF1964" i="2"/>
  <c r="AK1964" i="2"/>
  <c r="AG1964" i="2"/>
  <c r="AH1964" i="2"/>
  <c r="AI1964" i="2"/>
  <c r="AJ1964" i="2"/>
  <c r="AF1965" i="2"/>
  <c r="AK1965" i="2" s="1"/>
  <c r="AG1965" i="2"/>
  <c r="AH1965" i="2"/>
  <c r="AI1965" i="2"/>
  <c r="AJ1965" i="2"/>
  <c r="AF1966" i="2"/>
  <c r="AK1966" i="2" s="1"/>
  <c r="AG1966" i="2"/>
  <c r="AH1966" i="2"/>
  <c r="AI1966" i="2"/>
  <c r="AJ1966" i="2"/>
  <c r="AF1967" i="2"/>
  <c r="AK1967" i="2" s="1"/>
  <c r="AG1967" i="2"/>
  <c r="AH1967" i="2"/>
  <c r="AI1967" i="2"/>
  <c r="AJ1967" i="2"/>
  <c r="AF1968" i="2"/>
  <c r="AK1968" i="2"/>
  <c r="AG1968" i="2"/>
  <c r="AH1968" i="2"/>
  <c r="AI1968" i="2"/>
  <c r="AJ1968" i="2"/>
  <c r="AF1969" i="2"/>
  <c r="AK1969" i="2" s="1"/>
  <c r="AG1969" i="2"/>
  <c r="AH1969" i="2"/>
  <c r="AI1969" i="2"/>
  <c r="AJ1969" i="2"/>
  <c r="AF1970" i="2"/>
  <c r="AK1970" i="2" s="1"/>
  <c r="AG1970" i="2"/>
  <c r="AH1970" i="2"/>
  <c r="AI1970" i="2"/>
  <c r="AJ1970" i="2"/>
  <c r="AF1971" i="2"/>
  <c r="AK1971" i="2" s="1"/>
  <c r="AG1971" i="2"/>
  <c r="AH1971" i="2"/>
  <c r="AL1971" i="2" s="1"/>
  <c r="AI1971" i="2"/>
  <c r="AJ1971" i="2"/>
  <c r="AF1972" i="2"/>
  <c r="AK1972" i="2" s="1"/>
  <c r="AG1972" i="2"/>
  <c r="AH1972" i="2"/>
  <c r="AI1972" i="2"/>
  <c r="AJ1972" i="2"/>
  <c r="AF1973" i="2"/>
  <c r="AK1973" i="2"/>
  <c r="AG1973" i="2"/>
  <c r="AH1973" i="2"/>
  <c r="AI1973" i="2"/>
  <c r="AJ1973" i="2"/>
  <c r="AF1974" i="2"/>
  <c r="AK1974" i="2" s="1"/>
  <c r="AG1974" i="2"/>
  <c r="AH1974" i="2"/>
  <c r="AI1974" i="2"/>
  <c r="AJ1974" i="2"/>
  <c r="AF1975" i="2"/>
  <c r="AK1975" i="2"/>
  <c r="AG1975" i="2"/>
  <c r="AH1975" i="2"/>
  <c r="AI1975" i="2"/>
  <c r="AJ1975" i="2"/>
  <c r="AF1976" i="2"/>
  <c r="AK1976" i="2" s="1"/>
  <c r="AG1976" i="2"/>
  <c r="AH1976" i="2"/>
  <c r="AI1976" i="2"/>
  <c r="AJ1976" i="2"/>
  <c r="AF1977" i="2"/>
  <c r="AK1977" i="2"/>
  <c r="AG1977" i="2"/>
  <c r="AH1977" i="2"/>
  <c r="AI1977" i="2"/>
  <c r="AJ1977" i="2"/>
  <c r="AF1978" i="2"/>
  <c r="AK1978" i="2" s="1"/>
  <c r="AG1978" i="2"/>
  <c r="AH1978" i="2"/>
  <c r="AI1978" i="2"/>
  <c r="AJ1978" i="2"/>
  <c r="AF1979" i="2"/>
  <c r="AK1979" i="2"/>
  <c r="AG1979" i="2"/>
  <c r="AH1979" i="2"/>
  <c r="AI1979" i="2"/>
  <c r="AJ1979" i="2"/>
  <c r="AF1980" i="2"/>
  <c r="AK1980" i="2" s="1"/>
  <c r="AG1980" i="2"/>
  <c r="AH1980" i="2"/>
  <c r="AI1980" i="2"/>
  <c r="AJ1980" i="2"/>
  <c r="AF1981" i="2"/>
  <c r="AK1981" i="2"/>
  <c r="AG1981" i="2"/>
  <c r="AH1981" i="2"/>
  <c r="AI1981" i="2"/>
  <c r="AJ1981" i="2"/>
  <c r="AF1982" i="2"/>
  <c r="AK1982" i="2" s="1"/>
  <c r="AG1982" i="2"/>
  <c r="AH1982" i="2"/>
  <c r="AI1982" i="2"/>
  <c r="AJ1982" i="2"/>
  <c r="AF1983" i="2"/>
  <c r="AK1983" i="2"/>
  <c r="AG1983" i="2"/>
  <c r="AH1983" i="2"/>
  <c r="AI1983" i="2"/>
  <c r="AJ1983" i="2"/>
  <c r="AF1984" i="2"/>
  <c r="AK1984" i="2" s="1"/>
  <c r="AG1984" i="2"/>
  <c r="AH1984" i="2"/>
  <c r="AI1984" i="2"/>
  <c r="AJ1984" i="2"/>
  <c r="AF1985" i="2"/>
  <c r="AK1985" i="2"/>
  <c r="AG1985" i="2"/>
  <c r="AH1985" i="2"/>
  <c r="AI1985" i="2"/>
  <c r="AJ1985" i="2"/>
  <c r="AF1986" i="2"/>
  <c r="AK1986" i="2" s="1"/>
  <c r="AG1986" i="2"/>
  <c r="AH1986" i="2"/>
  <c r="AI1986" i="2"/>
  <c r="AJ1986" i="2"/>
  <c r="AF1987" i="2"/>
  <c r="AK1987" i="2"/>
  <c r="AG1987" i="2"/>
  <c r="AH1987" i="2"/>
  <c r="AI1987" i="2"/>
  <c r="AJ1987" i="2"/>
  <c r="AF1988" i="2"/>
  <c r="AK1988" i="2" s="1"/>
  <c r="AG1988" i="2"/>
  <c r="AH1988" i="2"/>
  <c r="AI1988" i="2"/>
  <c r="AJ1988" i="2"/>
  <c r="AF1989" i="2"/>
  <c r="AK1989" i="2"/>
  <c r="AG1989" i="2"/>
  <c r="AH1989" i="2"/>
  <c r="AI1989" i="2"/>
  <c r="AJ1989" i="2"/>
  <c r="AF1990" i="2"/>
  <c r="AK1990" i="2" s="1"/>
  <c r="AG1990" i="2"/>
  <c r="AH1990" i="2"/>
  <c r="AI1990" i="2"/>
  <c r="AJ1990" i="2"/>
  <c r="AF1991" i="2"/>
  <c r="AK1991" i="2"/>
  <c r="AG1991" i="2"/>
  <c r="AH1991" i="2"/>
  <c r="AI1991" i="2"/>
  <c r="AJ1991" i="2"/>
  <c r="AF1992" i="2"/>
  <c r="AK1992" i="2" s="1"/>
  <c r="AG1992" i="2"/>
  <c r="AH1992" i="2"/>
  <c r="AI1992" i="2"/>
  <c r="AJ1992" i="2"/>
  <c r="AF1993" i="2"/>
  <c r="AK1993" i="2"/>
  <c r="AG1993" i="2"/>
  <c r="AH1993" i="2"/>
  <c r="AI1993" i="2"/>
  <c r="AJ1993" i="2"/>
  <c r="AF1994" i="2"/>
  <c r="AK1994" i="2" s="1"/>
  <c r="AG1994" i="2"/>
  <c r="AH1994" i="2"/>
  <c r="AI1994" i="2"/>
  <c r="AJ1994" i="2"/>
  <c r="AF1995" i="2"/>
  <c r="AK1995" i="2"/>
  <c r="AG1995" i="2"/>
  <c r="AH1995" i="2"/>
  <c r="AI1995" i="2"/>
  <c r="AJ1995" i="2"/>
  <c r="AF1996" i="2"/>
  <c r="AK1996" i="2" s="1"/>
  <c r="AG1996" i="2"/>
  <c r="AH1996" i="2"/>
  <c r="AI1996" i="2"/>
  <c r="AJ1996" i="2"/>
  <c r="AF1997" i="2"/>
  <c r="AK1997" i="2"/>
  <c r="AG1997" i="2"/>
  <c r="AH1997" i="2"/>
  <c r="AI1997" i="2"/>
  <c r="AJ1997" i="2"/>
  <c r="AF1998" i="2"/>
  <c r="AK1998" i="2" s="1"/>
  <c r="AG1998" i="2"/>
  <c r="AH1998" i="2"/>
  <c r="AI1998" i="2"/>
  <c r="AJ1998" i="2"/>
  <c r="AF1999" i="2"/>
  <c r="AK1999" i="2"/>
  <c r="AG1999" i="2"/>
  <c r="AH1999" i="2"/>
  <c r="AI1999" i="2"/>
  <c r="AJ1999" i="2"/>
  <c r="AF2000" i="2"/>
  <c r="AK2000" i="2" s="1"/>
  <c r="AG2000" i="2"/>
  <c r="AH2000" i="2"/>
  <c r="AI2000" i="2"/>
  <c r="AJ2000" i="2"/>
  <c r="AF2001" i="2"/>
  <c r="AK2001" i="2"/>
  <c r="AG2001" i="2"/>
  <c r="AH2001" i="2"/>
  <c r="AI2001" i="2"/>
  <c r="AJ2001" i="2"/>
  <c r="AF2002" i="2"/>
  <c r="AK2002" i="2" s="1"/>
  <c r="AG2002" i="2"/>
  <c r="AH2002" i="2"/>
  <c r="AI2002" i="2"/>
  <c r="AJ2002" i="2"/>
  <c r="AF2003" i="2"/>
  <c r="AK2003" i="2"/>
  <c r="AG2003" i="2"/>
  <c r="AH2003" i="2"/>
  <c r="AI2003" i="2"/>
  <c r="AJ2003" i="2"/>
  <c r="AF2004" i="2"/>
  <c r="AK2004" i="2" s="1"/>
  <c r="AG2004" i="2"/>
  <c r="AH2004" i="2"/>
  <c r="AI2004" i="2"/>
  <c r="AJ2004" i="2"/>
  <c r="AF2005" i="2"/>
  <c r="AK2005" i="2" s="1"/>
  <c r="AG2005" i="2"/>
  <c r="AH2005" i="2"/>
  <c r="AI2005" i="2"/>
  <c r="AJ2005" i="2"/>
  <c r="AF2006" i="2"/>
  <c r="AK2006" i="2" s="1"/>
  <c r="AG2006" i="2"/>
  <c r="AL2006" i="2" s="1"/>
  <c r="AH2006" i="2"/>
  <c r="AI2006" i="2"/>
  <c r="AJ2006" i="2"/>
  <c r="AF2007" i="2"/>
  <c r="AK2007" i="2" s="1"/>
  <c r="AG2007" i="2"/>
  <c r="AH2007" i="2"/>
  <c r="AI2007" i="2"/>
  <c r="AJ2007" i="2"/>
  <c r="AF2008" i="2"/>
  <c r="AK2008" i="2"/>
  <c r="AG2008" i="2"/>
  <c r="AH2008" i="2"/>
  <c r="AI2008" i="2"/>
  <c r="AJ2008" i="2"/>
  <c r="AF2009" i="2"/>
  <c r="AK2009" i="2" s="1"/>
  <c r="AG2009" i="2"/>
  <c r="AH2009" i="2"/>
  <c r="AI2009" i="2"/>
  <c r="AJ2009" i="2"/>
  <c r="AF2010" i="2"/>
  <c r="AK2010" i="2"/>
  <c r="AG2010" i="2"/>
  <c r="AH2010" i="2"/>
  <c r="AI2010" i="2"/>
  <c r="AJ2010" i="2"/>
  <c r="AF2011" i="2"/>
  <c r="AK2011" i="2" s="1"/>
  <c r="AG2011" i="2"/>
  <c r="AH2011" i="2"/>
  <c r="AI2011" i="2"/>
  <c r="AJ2011" i="2"/>
  <c r="AF2012" i="2"/>
  <c r="AK2012" i="2"/>
  <c r="AG2012" i="2"/>
  <c r="AH2012" i="2"/>
  <c r="AI2012" i="2"/>
  <c r="AJ2012" i="2"/>
  <c r="AF2013" i="2"/>
  <c r="AK2013" i="2" s="1"/>
  <c r="AG2013" i="2"/>
  <c r="AH2013" i="2"/>
  <c r="AI2013" i="2"/>
  <c r="AJ2013" i="2"/>
  <c r="AF2014" i="2"/>
  <c r="AK2014" i="2"/>
  <c r="AG2014" i="2"/>
  <c r="AH2014" i="2"/>
  <c r="AI2014" i="2"/>
  <c r="AJ2014" i="2"/>
  <c r="AF2015" i="2"/>
  <c r="AK2015" i="2" s="1"/>
  <c r="AG2015" i="2"/>
  <c r="AH2015" i="2"/>
  <c r="AI2015" i="2"/>
  <c r="AJ2015" i="2"/>
  <c r="AF2016" i="2"/>
  <c r="AK2016" i="2" s="1"/>
  <c r="AG2016" i="2"/>
  <c r="AH2016" i="2"/>
  <c r="AI2016" i="2"/>
  <c r="AJ2016" i="2"/>
  <c r="AF2017" i="2"/>
  <c r="AK2017" i="2" s="1"/>
  <c r="AG2017" i="2"/>
  <c r="AH2017" i="2"/>
  <c r="AI2017" i="2"/>
  <c r="AJ2017" i="2"/>
  <c r="AF2018" i="2"/>
  <c r="AK2018" i="2"/>
  <c r="AG2018" i="2"/>
  <c r="AH2018" i="2"/>
  <c r="AI2018" i="2"/>
  <c r="AJ2018" i="2"/>
  <c r="AF2019" i="2"/>
  <c r="AK2019" i="2" s="1"/>
  <c r="AG2019" i="2"/>
  <c r="AH2019" i="2"/>
  <c r="AI2019" i="2"/>
  <c r="AJ2019" i="2"/>
  <c r="AF2020" i="2"/>
  <c r="AK2020" i="2" s="1"/>
  <c r="AG2020" i="2"/>
  <c r="AH2020" i="2"/>
  <c r="AI2020" i="2"/>
  <c r="AJ2020" i="2"/>
  <c r="AF2021" i="2"/>
  <c r="AK2021" i="2" s="1"/>
  <c r="AG2021" i="2"/>
  <c r="AH2021" i="2"/>
  <c r="AI2021" i="2"/>
  <c r="AJ2021" i="2"/>
  <c r="AF2022" i="2"/>
  <c r="AK2022" i="2"/>
  <c r="AG2022" i="2"/>
  <c r="AH2022" i="2"/>
  <c r="AI2022" i="2"/>
  <c r="AJ2022" i="2"/>
  <c r="AF2023" i="2"/>
  <c r="AK2023" i="2" s="1"/>
  <c r="AG2023" i="2"/>
  <c r="AH2023" i="2"/>
  <c r="AI2023" i="2"/>
  <c r="AJ2023" i="2"/>
  <c r="AF2024" i="2"/>
  <c r="AK2024" i="2" s="1"/>
  <c r="AG2024" i="2"/>
  <c r="AH2024" i="2"/>
  <c r="AI2024" i="2"/>
  <c r="AJ2024" i="2"/>
  <c r="AF2025" i="2"/>
  <c r="AK2025" i="2" s="1"/>
  <c r="AG2025" i="2"/>
  <c r="AH2025" i="2"/>
  <c r="AI2025" i="2"/>
  <c r="AJ2025" i="2"/>
  <c r="AF2026" i="2"/>
  <c r="AK2026" i="2"/>
  <c r="AG2026" i="2"/>
  <c r="AH2026" i="2"/>
  <c r="AI2026" i="2"/>
  <c r="AJ2026" i="2"/>
  <c r="AF2027" i="2"/>
  <c r="AK2027" i="2" s="1"/>
  <c r="AG2027" i="2"/>
  <c r="AH2027" i="2"/>
  <c r="AI2027" i="2"/>
  <c r="AJ2027" i="2"/>
  <c r="AF2028" i="2"/>
  <c r="AK2028" i="2" s="1"/>
  <c r="AG2028" i="2"/>
  <c r="AH2028" i="2"/>
  <c r="AI2028" i="2"/>
  <c r="AJ2028" i="2"/>
  <c r="AF2029" i="2"/>
  <c r="AK2029" i="2" s="1"/>
  <c r="AG2029" i="2"/>
  <c r="AL2029" i="2" s="1"/>
  <c r="AH2029" i="2"/>
  <c r="AI2029" i="2"/>
  <c r="AJ2029" i="2"/>
  <c r="AF2030" i="2"/>
  <c r="AK2030" i="2" s="1"/>
  <c r="AG2030" i="2"/>
  <c r="AH2030" i="2"/>
  <c r="AI2030" i="2"/>
  <c r="AJ2030" i="2"/>
  <c r="AF2031" i="2"/>
  <c r="AG2031" i="2"/>
  <c r="AH2031" i="2"/>
  <c r="AI2031" i="2"/>
  <c r="AJ2031" i="2"/>
  <c r="AK2031" i="2"/>
  <c r="AF2032" i="2"/>
  <c r="AK2032" i="2" s="1"/>
  <c r="AG2032" i="2"/>
  <c r="AH2032" i="2"/>
  <c r="AI2032" i="2"/>
  <c r="AJ2032" i="2"/>
  <c r="AF2033" i="2"/>
  <c r="AK2033" i="2"/>
  <c r="AG2033" i="2"/>
  <c r="AH2033" i="2"/>
  <c r="AI2033" i="2"/>
  <c r="AJ2033" i="2"/>
  <c r="AF2034" i="2"/>
  <c r="AK2034" i="2" s="1"/>
  <c r="AG2034" i="2"/>
  <c r="AH2034" i="2"/>
  <c r="AI2034" i="2"/>
  <c r="AJ2034" i="2"/>
  <c r="AF2035" i="2"/>
  <c r="AK2035" i="2"/>
  <c r="AG2035" i="2"/>
  <c r="AH2035" i="2"/>
  <c r="AI2035" i="2"/>
  <c r="AJ2035" i="2"/>
  <c r="AF2036" i="2"/>
  <c r="AK2036" i="2" s="1"/>
  <c r="AG2036" i="2"/>
  <c r="AH2036" i="2"/>
  <c r="AI2036" i="2"/>
  <c r="AJ2036" i="2"/>
  <c r="AF2037" i="2"/>
  <c r="AK2037" i="2"/>
  <c r="AG2037" i="2"/>
  <c r="AH2037" i="2"/>
  <c r="AI2037" i="2"/>
  <c r="AJ2037" i="2"/>
  <c r="AF2038" i="2"/>
  <c r="AK2038" i="2" s="1"/>
  <c r="AG2038" i="2"/>
  <c r="AH2038" i="2"/>
  <c r="AI2038" i="2"/>
  <c r="AJ2038" i="2"/>
  <c r="AF2039" i="2"/>
  <c r="AK2039" i="2"/>
  <c r="AG2039" i="2"/>
  <c r="AH2039" i="2"/>
  <c r="AI2039" i="2"/>
  <c r="AJ2039" i="2"/>
  <c r="AF2040" i="2"/>
  <c r="AK2040" i="2" s="1"/>
  <c r="AG2040" i="2"/>
  <c r="AH2040" i="2"/>
  <c r="AI2040" i="2"/>
  <c r="AJ2040" i="2"/>
  <c r="AF2041" i="2"/>
  <c r="AK2041" i="2"/>
  <c r="AG2041" i="2"/>
  <c r="AH2041" i="2"/>
  <c r="AI2041" i="2"/>
  <c r="AJ2041" i="2"/>
  <c r="AF2042" i="2"/>
  <c r="AK2042" i="2" s="1"/>
  <c r="AG2042" i="2"/>
  <c r="AH2042" i="2"/>
  <c r="AI2042" i="2"/>
  <c r="AJ2042" i="2"/>
  <c r="AF2043" i="2"/>
  <c r="AK2043" i="2"/>
  <c r="AG2043" i="2"/>
  <c r="AH2043" i="2"/>
  <c r="AI2043" i="2"/>
  <c r="AJ2043" i="2"/>
  <c r="AF2044" i="2"/>
  <c r="AK2044" i="2" s="1"/>
  <c r="AG2044" i="2"/>
  <c r="AH2044" i="2"/>
  <c r="AI2044" i="2"/>
  <c r="AJ2044" i="2"/>
  <c r="AF2045" i="2"/>
  <c r="AK2045" i="2"/>
  <c r="AG2045" i="2"/>
  <c r="AH2045" i="2"/>
  <c r="AI2045" i="2"/>
  <c r="AJ2045" i="2"/>
  <c r="AF2046" i="2"/>
  <c r="AK2046" i="2" s="1"/>
  <c r="AG2046" i="2"/>
  <c r="AH2046" i="2"/>
  <c r="AI2046" i="2"/>
  <c r="AJ2046" i="2"/>
  <c r="AF2047" i="2"/>
  <c r="AK2047" i="2"/>
  <c r="AG2047" i="2"/>
  <c r="AH2047" i="2"/>
  <c r="AI2047" i="2"/>
  <c r="AJ2047" i="2"/>
  <c r="AF2048" i="2"/>
  <c r="AK2048" i="2" s="1"/>
  <c r="AG2048" i="2"/>
  <c r="AH2048" i="2"/>
  <c r="AI2048" i="2"/>
  <c r="AJ2048" i="2"/>
  <c r="AF2049" i="2"/>
  <c r="AK2049" i="2"/>
  <c r="AG2049" i="2"/>
  <c r="AH2049" i="2"/>
  <c r="AI2049" i="2"/>
  <c r="AJ2049" i="2"/>
  <c r="AF2050" i="2"/>
  <c r="AK2050" i="2" s="1"/>
  <c r="AG2050" i="2"/>
  <c r="AH2050" i="2"/>
  <c r="AI2050" i="2"/>
  <c r="AJ2050" i="2"/>
  <c r="AF2051" i="2"/>
  <c r="AK2051" i="2"/>
  <c r="AG2051" i="2"/>
  <c r="AH2051" i="2"/>
  <c r="AI2051" i="2"/>
  <c r="AJ2051" i="2"/>
  <c r="AF2052" i="2"/>
  <c r="AK2052" i="2" s="1"/>
  <c r="AG2052" i="2"/>
  <c r="AH2052" i="2"/>
  <c r="AI2052" i="2"/>
  <c r="AJ2052" i="2"/>
  <c r="AF2053" i="2"/>
  <c r="AK2053" i="2"/>
  <c r="AG2053" i="2"/>
  <c r="AH2053" i="2"/>
  <c r="AI2053" i="2"/>
  <c r="AJ2053" i="2"/>
  <c r="AF2054" i="2"/>
  <c r="AK2054" i="2" s="1"/>
  <c r="AG2054" i="2"/>
  <c r="AH2054" i="2"/>
  <c r="AI2054" i="2"/>
  <c r="AJ2054" i="2"/>
  <c r="AF2055" i="2"/>
  <c r="AK2055" i="2"/>
  <c r="AG2055" i="2"/>
  <c r="AH2055" i="2"/>
  <c r="AI2055" i="2"/>
  <c r="AJ2055" i="2"/>
  <c r="AF2056" i="2"/>
  <c r="AK2056" i="2" s="1"/>
  <c r="AG2056" i="2"/>
  <c r="AH2056" i="2"/>
  <c r="AI2056" i="2"/>
  <c r="AJ2056" i="2"/>
  <c r="AF2057" i="2"/>
  <c r="AK2057" i="2"/>
  <c r="AG2057" i="2"/>
  <c r="AH2057" i="2"/>
  <c r="AI2057" i="2"/>
  <c r="AJ2057" i="2"/>
  <c r="AF2058" i="2"/>
  <c r="AK2058" i="2" s="1"/>
  <c r="AG2058" i="2"/>
  <c r="AH2058" i="2"/>
  <c r="AI2058" i="2"/>
  <c r="AJ2058" i="2"/>
  <c r="AF2059" i="2"/>
  <c r="AK2059" i="2"/>
  <c r="AG2059" i="2"/>
  <c r="AH2059" i="2"/>
  <c r="AI2059" i="2"/>
  <c r="AJ2059" i="2"/>
  <c r="AF2060" i="2"/>
  <c r="AK2060" i="2" s="1"/>
  <c r="AG2060" i="2"/>
  <c r="AH2060" i="2"/>
  <c r="AI2060" i="2"/>
  <c r="AJ2060" i="2"/>
  <c r="AF2061" i="2"/>
  <c r="AK2061" i="2"/>
  <c r="AG2061" i="2"/>
  <c r="AH2061" i="2"/>
  <c r="AI2061" i="2"/>
  <c r="AJ2061" i="2"/>
  <c r="AF2062" i="2"/>
  <c r="AK2062" i="2" s="1"/>
  <c r="AG2062" i="2"/>
  <c r="AH2062" i="2"/>
  <c r="AI2062" i="2"/>
  <c r="AJ2062" i="2"/>
  <c r="AF2063" i="2"/>
  <c r="AK2063" i="2"/>
  <c r="AG2063" i="2"/>
  <c r="AH2063" i="2"/>
  <c r="AI2063" i="2"/>
  <c r="AJ2063" i="2"/>
  <c r="AF2064" i="2"/>
  <c r="AK2064" i="2" s="1"/>
  <c r="AG2064" i="2"/>
  <c r="AH2064" i="2"/>
  <c r="AI2064" i="2"/>
  <c r="AJ2064" i="2"/>
  <c r="AF2065" i="2"/>
  <c r="AK2065" i="2"/>
  <c r="AG2065" i="2"/>
  <c r="AH2065" i="2"/>
  <c r="AI2065" i="2"/>
  <c r="AJ2065" i="2"/>
  <c r="AF2066" i="2"/>
  <c r="AK2066" i="2" s="1"/>
  <c r="AG2066" i="2"/>
  <c r="AH2066" i="2"/>
  <c r="AI2066" i="2"/>
  <c r="AJ2066" i="2"/>
  <c r="AF2067" i="2"/>
  <c r="AK2067" i="2"/>
  <c r="AG2067" i="2"/>
  <c r="AH2067" i="2"/>
  <c r="AI2067" i="2"/>
  <c r="AJ2067" i="2"/>
  <c r="AF2068" i="2"/>
  <c r="AK2068" i="2" s="1"/>
  <c r="AG2068" i="2"/>
  <c r="AH2068" i="2"/>
  <c r="AI2068" i="2"/>
  <c r="AJ2068" i="2"/>
  <c r="AF2069" i="2"/>
  <c r="AK2069" i="2"/>
  <c r="AG2069" i="2"/>
  <c r="AH2069" i="2"/>
  <c r="AI2069" i="2"/>
  <c r="AJ2069" i="2"/>
  <c r="AF2070" i="2"/>
  <c r="AK2070" i="2" s="1"/>
  <c r="AG2070" i="2"/>
  <c r="AH2070" i="2"/>
  <c r="AI2070" i="2"/>
  <c r="AJ2070" i="2"/>
  <c r="AF2071" i="2"/>
  <c r="AK2071" i="2" s="1"/>
  <c r="AG2071" i="2"/>
  <c r="AH2071" i="2"/>
  <c r="AI2071" i="2"/>
  <c r="AJ2071" i="2"/>
  <c r="AF2072" i="2"/>
  <c r="AK2072" i="2" s="1"/>
  <c r="AG2072" i="2"/>
  <c r="AH2072" i="2"/>
  <c r="AI2072" i="2"/>
  <c r="AJ2072" i="2"/>
  <c r="AF2073" i="2"/>
  <c r="AK2073" i="2"/>
  <c r="AG2073" i="2"/>
  <c r="AH2073" i="2"/>
  <c r="AI2073" i="2"/>
  <c r="AJ2073" i="2"/>
  <c r="AF2074" i="2"/>
  <c r="AK2074" i="2" s="1"/>
  <c r="AG2074" i="2"/>
  <c r="AH2074" i="2"/>
  <c r="AI2074" i="2"/>
  <c r="AJ2074" i="2"/>
  <c r="AF2075" i="2"/>
  <c r="AK2075" i="2"/>
  <c r="AG2075" i="2"/>
  <c r="AH2075" i="2"/>
  <c r="AI2075" i="2"/>
  <c r="AJ2075" i="2"/>
  <c r="AF2076" i="2"/>
  <c r="AK2076" i="2" s="1"/>
  <c r="AG2076" i="2"/>
  <c r="AH2076" i="2"/>
  <c r="AI2076" i="2"/>
  <c r="AJ2076" i="2"/>
  <c r="AF2077" i="2"/>
  <c r="AK2077" i="2"/>
  <c r="AG2077" i="2"/>
  <c r="AH2077" i="2"/>
  <c r="AI2077" i="2"/>
  <c r="AJ2077" i="2"/>
  <c r="AF2078" i="2"/>
  <c r="AK2078" i="2" s="1"/>
  <c r="AG2078" i="2"/>
  <c r="AH2078" i="2"/>
  <c r="AI2078" i="2"/>
  <c r="AJ2078" i="2"/>
  <c r="AF2079" i="2"/>
  <c r="AK2079" i="2" s="1"/>
  <c r="AG2079" i="2"/>
  <c r="AH2079" i="2"/>
  <c r="AI2079" i="2"/>
  <c r="AJ2079" i="2"/>
  <c r="AF2080" i="2"/>
  <c r="AK2080" i="2" s="1"/>
  <c r="AG2080" i="2"/>
  <c r="AH2080" i="2"/>
  <c r="AI2080" i="2"/>
  <c r="AJ2080" i="2"/>
  <c r="AF2081" i="2"/>
  <c r="AK2081" i="2"/>
  <c r="AG2081" i="2"/>
  <c r="AH2081" i="2"/>
  <c r="AI2081" i="2"/>
  <c r="AJ2081" i="2"/>
  <c r="AF2082" i="2"/>
  <c r="AK2082" i="2" s="1"/>
  <c r="AG2082" i="2"/>
  <c r="AH2082" i="2"/>
  <c r="AI2082" i="2"/>
  <c r="AJ2082" i="2"/>
  <c r="AF2083" i="2"/>
  <c r="AK2083" i="2"/>
  <c r="AG2083" i="2"/>
  <c r="AH2083" i="2"/>
  <c r="AI2083" i="2"/>
  <c r="AJ2083" i="2"/>
  <c r="AF2084" i="2"/>
  <c r="AK2084" i="2" s="1"/>
  <c r="AG2084" i="2"/>
  <c r="AH2084" i="2"/>
  <c r="AI2084" i="2"/>
  <c r="AJ2084" i="2"/>
  <c r="AF2085" i="2"/>
  <c r="AK2085" i="2"/>
  <c r="AG2085" i="2"/>
  <c r="AH2085" i="2"/>
  <c r="AI2085" i="2"/>
  <c r="AJ2085" i="2"/>
  <c r="AF2086" i="2"/>
  <c r="AK2086" i="2" s="1"/>
  <c r="AG2086" i="2"/>
  <c r="AH2086" i="2"/>
  <c r="AI2086" i="2"/>
  <c r="AJ2086" i="2"/>
  <c r="AF2087" i="2"/>
  <c r="AK2087" i="2" s="1"/>
  <c r="AG2087" i="2"/>
  <c r="AH2087" i="2"/>
  <c r="AI2087" i="2"/>
  <c r="AJ2087" i="2"/>
  <c r="AF2088" i="2"/>
  <c r="AK2088" i="2" s="1"/>
  <c r="AG2088" i="2"/>
  <c r="AH2088" i="2"/>
  <c r="AI2088" i="2"/>
  <c r="AJ2088" i="2"/>
  <c r="AF2089" i="2"/>
  <c r="AK2089" i="2"/>
  <c r="AG2089" i="2"/>
  <c r="AH2089" i="2"/>
  <c r="AI2089" i="2"/>
  <c r="AJ2089" i="2"/>
  <c r="AF2090" i="2"/>
  <c r="AK2090" i="2" s="1"/>
  <c r="AG2090" i="2"/>
  <c r="AH2090" i="2"/>
  <c r="AI2090" i="2"/>
  <c r="AJ2090" i="2"/>
  <c r="AF2091" i="2"/>
  <c r="AK2091" i="2"/>
  <c r="AG2091" i="2"/>
  <c r="AH2091" i="2"/>
  <c r="AI2091" i="2"/>
  <c r="AJ2091" i="2"/>
  <c r="AL2091" i="2" s="1"/>
  <c r="AF2092" i="2"/>
  <c r="AK2092" i="2"/>
  <c r="AG2092" i="2"/>
  <c r="AH2092" i="2"/>
  <c r="AI2092" i="2"/>
  <c r="AJ2092" i="2"/>
  <c r="AF2093" i="2"/>
  <c r="AK2093" i="2"/>
  <c r="AG2093" i="2"/>
  <c r="AH2093" i="2"/>
  <c r="AI2093" i="2"/>
  <c r="AJ2093" i="2"/>
  <c r="AF2094" i="2"/>
  <c r="AK2094" i="2"/>
  <c r="AG2094" i="2"/>
  <c r="AH2094" i="2"/>
  <c r="AI2094" i="2"/>
  <c r="AJ2094" i="2"/>
  <c r="AF2095" i="2"/>
  <c r="AK2095" i="2"/>
  <c r="AG2095" i="2"/>
  <c r="AH2095" i="2"/>
  <c r="AI2095" i="2"/>
  <c r="AJ2095" i="2"/>
  <c r="AF2096" i="2"/>
  <c r="AK2096" i="2"/>
  <c r="AG2096" i="2"/>
  <c r="AH2096" i="2"/>
  <c r="AI2096" i="2"/>
  <c r="AJ2096" i="2"/>
  <c r="AF2097" i="2"/>
  <c r="AK2097" i="2"/>
  <c r="AG2097" i="2"/>
  <c r="AH2097" i="2"/>
  <c r="AI2097" i="2"/>
  <c r="AJ2097" i="2"/>
  <c r="AF2098" i="2"/>
  <c r="AK2098" i="2"/>
  <c r="AG2098" i="2"/>
  <c r="AH2098" i="2"/>
  <c r="AI2098" i="2"/>
  <c r="AJ2098" i="2"/>
  <c r="AF2099" i="2"/>
  <c r="AK2099" i="2"/>
  <c r="AG2099" i="2"/>
  <c r="AH2099" i="2"/>
  <c r="AI2099" i="2"/>
  <c r="AJ2099" i="2"/>
  <c r="AF2100" i="2"/>
  <c r="AK2100" i="2"/>
  <c r="AG2100" i="2"/>
  <c r="AH2100" i="2"/>
  <c r="AI2100" i="2"/>
  <c r="AJ2100" i="2"/>
  <c r="AF2101" i="2"/>
  <c r="AK2101" i="2"/>
  <c r="AG2101" i="2"/>
  <c r="AH2101" i="2"/>
  <c r="AI2101" i="2"/>
  <c r="AJ2101" i="2"/>
  <c r="AF2102" i="2"/>
  <c r="AK2102" i="2"/>
  <c r="AG2102" i="2"/>
  <c r="AH2102" i="2"/>
  <c r="AI2102" i="2"/>
  <c r="AJ2102" i="2"/>
  <c r="AF2103" i="2"/>
  <c r="AK2103" i="2"/>
  <c r="AG2103" i="2"/>
  <c r="AH2103" i="2"/>
  <c r="AI2103" i="2"/>
  <c r="AJ2103" i="2"/>
  <c r="AF2104" i="2"/>
  <c r="AK2104" i="2"/>
  <c r="AG2104" i="2"/>
  <c r="AH2104" i="2"/>
  <c r="AI2104" i="2"/>
  <c r="AJ2104" i="2"/>
  <c r="AF2105" i="2"/>
  <c r="AK2105" i="2"/>
  <c r="AG2105" i="2"/>
  <c r="AH2105" i="2"/>
  <c r="AI2105" i="2"/>
  <c r="AJ2105" i="2"/>
  <c r="AF2106" i="2"/>
  <c r="AK2106" i="2"/>
  <c r="AG2106" i="2"/>
  <c r="AH2106" i="2"/>
  <c r="AI2106" i="2"/>
  <c r="AJ2106" i="2"/>
  <c r="AF2107" i="2"/>
  <c r="AK2107" i="2"/>
  <c r="AG2107" i="2"/>
  <c r="AH2107" i="2"/>
  <c r="AI2107" i="2"/>
  <c r="AJ2107" i="2"/>
  <c r="AF2108" i="2"/>
  <c r="AK2108" i="2"/>
  <c r="AG2108" i="2"/>
  <c r="AH2108" i="2"/>
  <c r="AI2108" i="2"/>
  <c r="AJ2108" i="2"/>
  <c r="AF2109" i="2"/>
  <c r="AK2109" i="2"/>
  <c r="AG2109" i="2"/>
  <c r="AH2109" i="2"/>
  <c r="AI2109" i="2"/>
  <c r="AJ2109" i="2"/>
  <c r="AF2110" i="2"/>
  <c r="AK2110" i="2"/>
  <c r="AG2110" i="2"/>
  <c r="AH2110" i="2"/>
  <c r="AI2110" i="2"/>
  <c r="AJ2110" i="2"/>
  <c r="AF2111" i="2"/>
  <c r="AK2111" i="2"/>
  <c r="AG2111" i="2"/>
  <c r="AH2111" i="2"/>
  <c r="AI2111" i="2"/>
  <c r="AJ2111" i="2"/>
  <c r="AF2112" i="2"/>
  <c r="AK2112" i="2"/>
  <c r="AG2112" i="2"/>
  <c r="AH2112" i="2"/>
  <c r="AI2112" i="2"/>
  <c r="AJ2112" i="2"/>
  <c r="AF2113" i="2"/>
  <c r="AK2113" i="2"/>
  <c r="AG2113" i="2"/>
  <c r="AH2113" i="2"/>
  <c r="AI2113" i="2"/>
  <c r="AJ2113" i="2"/>
  <c r="AF2114" i="2"/>
  <c r="AK2114" i="2"/>
  <c r="AG2114" i="2"/>
  <c r="AH2114" i="2"/>
  <c r="AI2114" i="2"/>
  <c r="AJ2114" i="2"/>
  <c r="AF2115" i="2"/>
  <c r="AK2115" i="2"/>
  <c r="AG2115" i="2"/>
  <c r="AH2115" i="2"/>
  <c r="AI2115" i="2"/>
  <c r="AJ2115" i="2"/>
  <c r="AF2116" i="2"/>
  <c r="AK2116" i="2"/>
  <c r="AG2116" i="2"/>
  <c r="AH2116" i="2"/>
  <c r="AI2116" i="2"/>
  <c r="AJ2116" i="2"/>
  <c r="AF2117" i="2"/>
  <c r="AK2117" i="2"/>
  <c r="AG2117" i="2"/>
  <c r="AH2117" i="2"/>
  <c r="AI2117" i="2"/>
  <c r="AJ2117" i="2"/>
  <c r="AF2118" i="2"/>
  <c r="AK2118" i="2"/>
  <c r="AG2118" i="2"/>
  <c r="AH2118" i="2"/>
  <c r="AI2118" i="2"/>
  <c r="AJ2118" i="2"/>
  <c r="AF2119" i="2"/>
  <c r="AK2119" i="2"/>
  <c r="AG2119" i="2"/>
  <c r="AH2119" i="2"/>
  <c r="AI2119" i="2"/>
  <c r="AJ2119" i="2"/>
  <c r="AF2120" i="2"/>
  <c r="AK2120" i="2"/>
  <c r="AG2120" i="2"/>
  <c r="AH2120" i="2"/>
  <c r="AI2120" i="2"/>
  <c r="AJ2120" i="2"/>
  <c r="AF2121" i="2"/>
  <c r="AK2121" i="2"/>
  <c r="AG2121" i="2"/>
  <c r="AH2121" i="2"/>
  <c r="AI2121" i="2"/>
  <c r="AJ2121" i="2"/>
  <c r="AF2122" i="2"/>
  <c r="AK2122" i="2"/>
  <c r="AG2122" i="2"/>
  <c r="AH2122" i="2"/>
  <c r="AI2122" i="2"/>
  <c r="AJ2122" i="2"/>
  <c r="AF2123" i="2"/>
  <c r="AK2123" i="2"/>
  <c r="AG2123" i="2"/>
  <c r="AH2123" i="2"/>
  <c r="AI2123" i="2"/>
  <c r="AJ2123" i="2"/>
  <c r="AF2124" i="2"/>
  <c r="AK2124" i="2"/>
  <c r="AG2124" i="2"/>
  <c r="AH2124" i="2"/>
  <c r="AI2124" i="2"/>
  <c r="AJ2124" i="2"/>
  <c r="AF2125" i="2"/>
  <c r="AK2125" i="2" s="1"/>
  <c r="AG2125" i="2"/>
  <c r="AH2125" i="2"/>
  <c r="AI2125" i="2"/>
  <c r="AJ2125" i="2"/>
  <c r="AF2126" i="2"/>
  <c r="AK2126" i="2" s="1"/>
  <c r="AG2126" i="2"/>
  <c r="AH2126" i="2"/>
  <c r="AI2126" i="2"/>
  <c r="AJ2126" i="2"/>
  <c r="AF2127" i="2"/>
  <c r="AK2127" i="2" s="1"/>
  <c r="AG2127" i="2"/>
  <c r="AH2127" i="2"/>
  <c r="AI2127" i="2"/>
  <c r="AJ2127" i="2"/>
  <c r="AF2128" i="2"/>
  <c r="AK2128" i="2"/>
  <c r="AG2128" i="2"/>
  <c r="AH2128" i="2"/>
  <c r="AI2128" i="2"/>
  <c r="AJ2128" i="2"/>
  <c r="AF2129" i="2"/>
  <c r="AK2129" i="2" s="1"/>
  <c r="AG2129" i="2"/>
  <c r="AH2129" i="2"/>
  <c r="AI2129" i="2"/>
  <c r="AJ2129" i="2"/>
  <c r="AF2130" i="2"/>
  <c r="AK2130" i="2"/>
  <c r="AG2130" i="2"/>
  <c r="AH2130" i="2"/>
  <c r="AI2130" i="2"/>
  <c r="AJ2130" i="2"/>
  <c r="AF2131" i="2"/>
  <c r="AK2131" i="2" s="1"/>
  <c r="AG2131" i="2"/>
  <c r="AH2131" i="2"/>
  <c r="AI2131" i="2"/>
  <c r="AJ2131" i="2"/>
  <c r="AF2132" i="2"/>
  <c r="AK2132" i="2"/>
  <c r="AG2132" i="2"/>
  <c r="AH2132" i="2"/>
  <c r="AI2132" i="2"/>
  <c r="AJ2132" i="2"/>
  <c r="AF2133" i="2"/>
  <c r="AK2133" i="2" s="1"/>
  <c r="AG2133" i="2"/>
  <c r="AH2133" i="2"/>
  <c r="AI2133" i="2"/>
  <c r="AJ2133" i="2"/>
  <c r="AF2134" i="2"/>
  <c r="AK2134" i="2" s="1"/>
  <c r="AG2134" i="2"/>
  <c r="AH2134" i="2"/>
  <c r="AI2134" i="2"/>
  <c r="AJ2134" i="2"/>
  <c r="AF2135" i="2"/>
  <c r="AK2135" i="2" s="1"/>
  <c r="AG2135" i="2"/>
  <c r="AH2135" i="2"/>
  <c r="AI2135" i="2"/>
  <c r="AJ2135" i="2"/>
  <c r="AF2136" i="2"/>
  <c r="AK2136" i="2"/>
  <c r="AG2136" i="2"/>
  <c r="AH2136" i="2"/>
  <c r="AI2136" i="2"/>
  <c r="AJ2136" i="2"/>
  <c r="AF2137" i="2"/>
  <c r="AK2137" i="2" s="1"/>
  <c r="AG2137" i="2"/>
  <c r="AH2137" i="2"/>
  <c r="AI2137" i="2"/>
  <c r="AJ2137" i="2"/>
  <c r="AF2138" i="2"/>
  <c r="AK2138" i="2"/>
  <c r="AG2138" i="2"/>
  <c r="AH2138" i="2"/>
  <c r="AI2138" i="2"/>
  <c r="AJ2138" i="2"/>
  <c r="AF2139" i="2"/>
  <c r="AK2139" i="2" s="1"/>
  <c r="AG2139" i="2"/>
  <c r="AH2139" i="2"/>
  <c r="AI2139" i="2"/>
  <c r="AJ2139" i="2"/>
  <c r="AF2140" i="2"/>
  <c r="AK2140" i="2"/>
  <c r="AG2140" i="2"/>
  <c r="AH2140" i="2"/>
  <c r="AI2140" i="2"/>
  <c r="AJ2140" i="2"/>
  <c r="AF2141" i="2"/>
  <c r="AK2141" i="2" s="1"/>
  <c r="AG2141" i="2"/>
  <c r="AH2141" i="2"/>
  <c r="AI2141" i="2"/>
  <c r="AJ2141" i="2"/>
  <c r="AF2142" i="2"/>
  <c r="AK2142" i="2" s="1"/>
  <c r="AG2142" i="2"/>
  <c r="AH2142" i="2"/>
  <c r="AI2142" i="2"/>
  <c r="AJ2142" i="2"/>
  <c r="AF2143" i="2"/>
  <c r="AK2143" i="2" s="1"/>
  <c r="AG2143" i="2"/>
  <c r="AH2143" i="2"/>
  <c r="AI2143" i="2"/>
  <c r="AJ2143" i="2"/>
  <c r="AF2144" i="2"/>
  <c r="AK2144" i="2"/>
  <c r="AG2144" i="2"/>
  <c r="AH2144" i="2"/>
  <c r="AI2144" i="2"/>
  <c r="AJ2144" i="2"/>
  <c r="AF2145" i="2"/>
  <c r="AK2145" i="2" s="1"/>
  <c r="AG2145" i="2"/>
  <c r="AH2145" i="2"/>
  <c r="AI2145" i="2"/>
  <c r="AJ2145" i="2"/>
  <c r="AF2146" i="2"/>
  <c r="AK2146" i="2"/>
  <c r="AG2146" i="2"/>
  <c r="AH2146" i="2"/>
  <c r="AI2146" i="2"/>
  <c r="AJ2146" i="2"/>
  <c r="AF2147" i="2"/>
  <c r="AK2147" i="2" s="1"/>
  <c r="AG2147" i="2"/>
  <c r="AH2147" i="2"/>
  <c r="AI2147" i="2"/>
  <c r="AJ2147" i="2"/>
  <c r="AF2148" i="2"/>
  <c r="AK2148" i="2"/>
  <c r="AG2148" i="2"/>
  <c r="AH2148" i="2"/>
  <c r="AI2148" i="2"/>
  <c r="AJ2148" i="2"/>
  <c r="AF2149" i="2"/>
  <c r="AK2149" i="2" s="1"/>
  <c r="AG2149" i="2"/>
  <c r="AH2149" i="2"/>
  <c r="AI2149" i="2"/>
  <c r="AJ2149" i="2"/>
  <c r="AL2149" i="2"/>
  <c r="AF2150" i="2"/>
  <c r="AK2150" i="2"/>
  <c r="AG2150" i="2"/>
  <c r="AH2150" i="2"/>
  <c r="AI2150" i="2"/>
  <c r="AJ2150" i="2"/>
  <c r="AF2151" i="2"/>
  <c r="AK2151" i="2"/>
  <c r="AG2151" i="2"/>
  <c r="AH2151" i="2"/>
  <c r="AI2151" i="2"/>
  <c r="AL2151" i="2" s="1"/>
  <c r="AJ2151" i="2"/>
  <c r="AF2152" i="2"/>
  <c r="AK2152" i="2" s="1"/>
  <c r="AG2152" i="2"/>
  <c r="AH2152" i="2"/>
  <c r="AI2152" i="2"/>
  <c r="AJ2152" i="2"/>
  <c r="AF2153" i="2"/>
  <c r="AK2153" i="2"/>
  <c r="AG2153" i="2"/>
  <c r="AH2153" i="2"/>
  <c r="AI2153" i="2"/>
  <c r="AJ2153" i="2"/>
  <c r="AF2154" i="2"/>
  <c r="AK2154" i="2" s="1"/>
  <c r="AG2154" i="2"/>
  <c r="AH2154" i="2"/>
  <c r="AI2154" i="2"/>
  <c r="AJ2154" i="2"/>
  <c r="AF2155" i="2"/>
  <c r="AK2155" i="2"/>
  <c r="AG2155" i="2"/>
  <c r="AH2155" i="2"/>
  <c r="AI2155" i="2"/>
  <c r="AJ2155" i="2"/>
  <c r="AF2156" i="2"/>
  <c r="AK2156" i="2" s="1"/>
  <c r="AG2156" i="2"/>
  <c r="AH2156" i="2"/>
  <c r="AI2156" i="2"/>
  <c r="AJ2156" i="2"/>
  <c r="AF2157" i="2"/>
  <c r="AK2157" i="2"/>
  <c r="AG2157" i="2"/>
  <c r="AH2157" i="2"/>
  <c r="AI2157" i="2"/>
  <c r="AJ2157" i="2"/>
  <c r="AF2158" i="2"/>
  <c r="AK2158" i="2" s="1"/>
  <c r="AG2158" i="2"/>
  <c r="AH2158" i="2"/>
  <c r="AI2158" i="2"/>
  <c r="AJ2158" i="2"/>
  <c r="AF2159" i="2"/>
  <c r="AK2159" i="2" s="1"/>
  <c r="AG2159" i="2"/>
  <c r="AH2159" i="2"/>
  <c r="AI2159" i="2"/>
  <c r="AJ2159" i="2"/>
  <c r="AF2160" i="2"/>
  <c r="AK2160" i="2"/>
  <c r="AG2160" i="2"/>
  <c r="AH2160" i="2"/>
  <c r="AI2160" i="2"/>
  <c r="AJ2160" i="2"/>
  <c r="AF2161" i="2"/>
  <c r="AK2161" i="2"/>
  <c r="AG2161" i="2"/>
  <c r="AH2161" i="2"/>
  <c r="AI2161" i="2"/>
  <c r="AJ2161" i="2"/>
  <c r="AF2162" i="2"/>
  <c r="AK2162" i="2"/>
  <c r="AG2162" i="2"/>
  <c r="AH2162" i="2"/>
  <c r="AI2162" i="2"/>
  <c r="AJ2162" i="2"/>
  <c r="AF2163" i="2"/>
  <c r="AK2163" i="2"/>
  <c r="AG2163" i="2"/>
  <c r="AH2163" i="2"/>
  <c r="AI2163" i="2"/>
  <c r="AJ2163" i="2"/>
  <c r="AF2164" i="2"/>
  <c r="AK2164" i="2"/>
  <c r="AG2164" i="2"/>
  <c r="AH2164" i="2"/>
  <c r="AI2164" i="2"/>
  <c r="AJ2164" i="2"/>
  <c r="AF2165" i="2"/>
  <c r="AK2165" i="2"/>
  <c r="AG2165" i="2"/>
  <c r="AH2165" i="2"/>
  <c r="AI2165" i="2"/>
  <c r="AJ2165" i="2"/>
  <c r="AF2166" i="2"/>
  <c r="AK2166" i="2"/>
  <c r="AG2166" i="2"/>
  <c r="AH2166" i="2"/>
  <c r="AI2166" i="2"/>
  <c r="AJ2166" i="2"/>
  <c r="AF2167" i="2"/>
  <c r="AK2167" i="2"/>
  <c r="AG2167" i="2"/>
  <c r="AH2167" i="2"/>
  <c r="AI2167" i="2"/>
  <c r="AJ2167" i="2"/>
  <c r="AF2168" i="2"/>
  <c r="AK2168" i="2"/>
  <c r="AG2168" i="2"/>
  <c r="AH2168" i="2"/>
  <c r="AI2168" i="2"/>
  <c r="AJ2168" i="2"/>
  <c r="AF2169" i="2"/>
  <c r="AK2169" i="2"/>
  <c r="AG2169" i="2"/>
  <c r="AH2169" i="2"/>
  <c r="AI2169" i="2"/>
  <c r="AJ2169" i="2"/>
  <c r="AF2170" i="2"/>
  <c r="AK2170" i="2"/>
  <c r="AG2170" i="2"/>
  <c r="AH2170" i="2"/>
  <c r="AI2170" i="2"/>
  <c r="AJ2170" i="2"/>
  <c r="AF2171" i="2"/>
  <c r="AK2171" i="2"/>
  <c r="AG2171" i="2"/>
  <c r="AH2171" i="2"/>
  <c r="AI2171" i="2"/>
  <c r="AJ2171" i="2"/>
  <c r="AF2172" i="2"/>
  <c r="AK2172" i="2"/>
  <c r="AG2172" i="2"/>
  <c r="AH2172" i="2"/>
  <c r="AI2172" i="2"/>
  <c r="AJ2172" i="2"/>
  <c r="AF2173" i="2"/>
  <c r="AK2173" i="2"/>
  <c r="AG2173" i="2"/>
  <c r="AH2173" i="2"/>
  <c r="AI2173" i="2"/>
  <c r="AJ2173" i="2"/>
  <c r="AF2174" i="2"/>
  <c r="AK2174" i="2"/>
  <c r="AG2174" i="2"/>
  <c r="AH2174" i="2"/>
  <c r="AI2174" i="2"/>
  <c r="AJ2174" i="2"/>
  <c r="AF2175" i="2"/>
  <c r="AK2175" i="2"/>
  <c r="AG2175" i="2"/>
  <c r="AH2175" i="2"/>
  <c r="AL2175" i="2" s="1"/>
  <c r="AI2175" i="2"/>
  <c r="AJ2175" i="2"/>
  <c r="AF2176" i="2"/>
  <c r="AK2176" i="2" s="1"/>
  <c r="AG2176" i="2"/>
  <c r="AH2176" i="2"/>
  <c r="AI2176" i="2"/>
  <c r="AJ2176" i="2"/>
  <c r="AF2177" i="2"/>
  <c r="AK2177" i="2" s="1"/>
  <c r="AG2177" i="2"/>
  <c r="AH2177" i="2"/>
  <c r="AI2177" i="2"/>
  <c r="AJ2177" i="2"/>
  <c r="AF2178" i="2"/>
  <c r="AK2178" i="2"/>
  <c r="AG2178" i="2"/>
  <c r="AH2178" i="2"/>
  <c r="AI2178" i="2"/>
  <c r="AJ2178" i="2"/>
  <c r="AF2179" i="2"/>
  <c r="AK2179" i="2" s="1"/>
  <c r="AG2179" i="2"/>
  <c r="AH2179" i="2"/>
  <c r="AI2179" i="2"/>
  <c r="AJ2179" i="2"/>
  <c r="AF2180" i="2"/>
  <c r="AK2180" i="2" s="1"/>
  <c r="AG2180" i="2"/>
  <c r="AH2180" i="2"/>
  <c r="AI2180" i="2"/>
  <c r="AJ2180" i="2"/>
  <c r="AF2181" i="2"/>
  <c r="AK2181" i="2" s="1"/>
  <c r="AG2181" i="2"/>
  <c r="AH2181" i="2"/>
  <c r="AI2181" i="2"/>
  <c r="AJ2181" i="2"/>
  <c r="AF2182" i="2"/>
  <c r="AK2182" i="2"/>
  <c r="AG2182" i="2"/>
  <c r="AH2182" i="2"/>
  <c r="AI2182" i="2"/>
  <c r="AJ2182" i="2"/>
  <c r="AF2183" i="2"/>
  <c r="AK2183" i="2" s="1"/>
  <c r="AG2183" i="2"/>
  <c r="AH2183" i="2"/>
  <c r="AI2183" i="2"/>
  <c r="AJ2183" i="2"/>
  <c r="AF2184" i="2"/>
  <c r="AK2184" i="2" s="1"/>
  <c r="AG2184" i="2"/>
  <c r="AH2184" i="2"/>
  <c r="AI2184" i="2"/>
  <c r="AJ2184" i="2"/>
  <c r="AF2185" i="2"/>
  <c r="AK2185" i="2"/>
  <c r="AG2185" i="2"/>
  <c r="AH2185" i="2"/>
  <c r="AI2185" i="2"/>
  <c r="AJ2185" i="2"/>
  <c r="AF2186" i="2"/>
  <c r="AK2186" i="2" s="1"/>
  <c r="AG2186" i="2"/>
  <c r="AH2186" i="2"/>
  <c r="AI2186" i="2"/>
  <c r="AJ2186" i="2"/>
  <c r="AF2187" i="2"/>
  <c r="AK2187" i="2"/>
  <c r="AG2187" i="2"/>
  <c r="AH2187" i="2"/>
  <c r="AI2187" i="2"/>
  <c r="AJ2187" i="2"/>
  <c r="AF2188" i="2"/>
  <c r="AK2188" i="2" s="1"/>
  <c r="AG2188" i="2"/>
  <c r="AH2188" i="2"/>
  <c r="AI2188" i="2"/>
  <c r="AJ2188" i="2"/>
  <c r="AF2189" i="2"/>
  <c r="AK2189" i="2"/>
  <c r="AG2189" i="2"/>
  <c r="AH2189" i="2"/>
  <c r="AI2189" i="2"/>
  <c r="AJ2189" i="2"/>
  <c r="AF2190" i="2"/>
  <c r="AK2190" i="2" s="1"/>
  <c r="AG2190" i="2"/>
  <c r="AH2190" i="2"/>
  <c r="AI2190" i="2"/>
  <c r="AJ2190" i="2"/>
  <c r="AF2191" i="2"/>
  <c r="AK2191" i="2"/>
  <c r="AG2191" i="2"/>
  <c r="AL2191" i="2" s="1"/>
  <c r="AH2191" i="2"/>
  <c r="AI2191" i="2"/>
  <c r="AJ2191" i="2"/>
  <c r="AF2192" i="2"/>
  <c r="AK2192" i="2" s="1"/>
  <c r="AG2192" i="2"/>
  <c r="AH2192" i="2"/>
  <c r="AI2192" i="2"/>
  <c r="AJ2192" i="2"/>
  <c r="AF2193" i="2"/>
  <c r="AK2193" i="2"/>
  <c r="AG2193" i="2"/>
  <c r="AH2193" i="2"/>
  <c r="AI2193" i="2"/>
  <c r="AJ2193" i="2"/>
  <c r="AF2194" i="2"/>
  <c r="AK2194" i="2" s="1"/>
  <c r="AG2194" i="2"/>
  <c r="AH2194" i="2"/>
  <c r="AI2194" i="2"/>
  <c r="AJ2194" i="2"/>
  <c r="AF2195" i="2"/>
  <c r="AK2195" i="2"/>
  <c r="AG2195" i="2"/>
  <c r="AH2195" i="2"/>
  <c r="AI2195" i="2"/>
  <c r="AJ2195" i="2"/>
  <c r="AF2196" i="2"/>
  <c r="AK2196" i="2" s="1"/>
  <c r="AG2196" i="2"/>
  <c r="AH2196" i="2"/>
  <c r="AI2196" i="2"/>
  <c r="AJ2196" i="2"/>
  <c r="AF2197" i="2"/>
  <c r="AK2197" i="2" s="1"/>
  <c r="AG2197" i="2"/>
  <c r="AH2197" i="2"/>
  <c r="AI2197" i="2"/>
  <c r="AJ2197" i="2"/>
  <c r="AF2198" i="2"/>
  <c r="AK2198" i="2" s="1"/>
  <c r="AG2198" i="2"/>
  <c r="AH2198" i="2"/>
  <c r="AI2198" i="2"/>
  <c r="AJ2198" i="2"/>
  <c r="AF2199" i="2"/>
  <c r="AK2199" i="2"/>
  <c r="AG2199" i="2"/>
  <c r="AH2199" i="2"/>
  <c r="AL2199" i="2" s="1"/>
  <c r="AI2199" i="2"/>
  <c r="AJ2199" i="2"/>
  <c r="AF2200" i="2"/>
  <c r="AK2200" i="2"/>
  <c r="AG2200" i="2"/>
  <c r="AH2200" i="2"/>
  <c r="AI2200" i="2"/>
  <c r="AJ2200" i="2"/>
  <c r="AF2201" i="2"/>
  <c r="AK2201" i="2" s="1"/>
  <c r="AG2201" i="2"/>
  <c r="AH2201" i="2"/>
  <c r="AI2201" i="2"/>
  <c r="AJ2201" i="2"/>
  <c r="AF2202" i="2"/>
  <c r="AK2202" i="2"/>
  <c r="AG2202" i="2"/>
  <c r="AH2202" i="2"/>
  <c r="AI2202" i="2"/>
  <c r="AJ2202" i="2"/>
  <c r="AF2203" i="2"/>
  <c r="AK2203" i="2" s="1"/>
  <c r="AG2203" i="2"/>
  <c r="AH2203" i="2"/>
  <c r="AI2203" i="2"/>
  <c r="AJ2203" i="2"/>
  <c r="AF2204" i="2"/>
  <c r="AK2204" i="2"/>
  <c r="AG2204" i="2"/>
  <c r="AL2204" i="2" s="1"/>
  <c r="AH2204" i="2"/>
  <c r="AI2204" i="2"/>
  <c r="AJ2204" i="2"/>
  <c r="AF2205" i="2"/>
  <c r="AK2205" i="2" s="1"/>
  <c r="AG2205" i="2"/>
  <c r="AH2205" i="2"/>
  <c r="AI2205" i="2"/>
  <c r="AJ2205" i="2"/>
  <c r="AF2206" i="2"/>
  <c r="AK2206" i="2"/>
  <c r="AG2206" i="2"/>
  <c r="AH2206" i="2"/>
  <c r="AI2206" i="2"/>
  <c r="AJ2206" i="2"/>
  <c r="AF2207" i="2"/>
  <c r="AK2207" i="2" s="1"/>
  <c r="AG2207" i="2"/>
  <c r="AH2207" i="2"/>
  <c r="AI2207" i="2"/>
  <c r="AJ2207" i="2"/>
  <c r="AF2208" i="2"/>
  <c r="AK2208" i="2" s="1"/>
  <c r="AG2208" i="2"/>
  <c r="AH2208" i="2"/>
  <c r="AI2208" i="2"/>
  <c r="AJ2208" i="2"/>
  <c r="AF2209" i="2"/>
  <c r="AK2209" i="2" s="1"/>
  <c r="AG2209" i="2"/>
  <c r="AH2209" i="2"/>
  <c r="AI2209" i="2"/>
  <c r="AJ2209" i="2"/>
  <c r="AF2210" i="2"/>
  <c r="AK2210" i="2"/>
  <c r="AG2210" i="2"/>
  <c r="AH2210" i="2"/>
  <c r="AI2210" i="2"/>
  <c r="AJ2210" i="2"/>
  <c r="AF2211" i="2"/>
  <c r="AK2211" i="2" s="1"/>
  <c r="AG2211" i="2"/>
  <c r="AH2211" i="2"/>
  <c r="AI2211" i="2"/>
  <c r="AJ2211" i="2"/>
  <c r="AF2212" i="2"/>
  <c r="AK2212" i="2"/>
  <c r="AG2212" i="2"/>
  <c r="AH2212" i="2"/>
  <c r="AI2212" i="2"/>
  <c r="AJ2212" i="2"/>
  <c r="AF2213" i="2"/>
  <c r="AK2213" i="2" s="1"/>
  <c r="AG2213" i="2"/>
  <c r="AH2213" i="2"/>
  <c r="AI2213" i="2"/>
  <c r="AJ2213" i="2"/>
  <c r="AF2214" i="2"/>
  <c r="AK2214" i="2"/>
  <c r="AG2214" i="2"/>
  <c r="AH2214" i="2"/>
  <c r="AI2214" i="2"/>
  <c r="AJ2214" i="2"/>
  <c r="AF2215" i="2"/>
  <c r="AK2215" i="2" s="1"/>
  <c r="AG2215" i="2"/>
  <c r="AH2215" i="2"/>
  <c r="AI2215" i="2"/>
  <c r="AJ2215" i="2"/>
  <c r="AF2216" i="2"/>
  <c r="AK2216" i="2" s="1"/>
  <c r="AG2216" i="2"/>
  <c r="AH2216" i="2"/>
  <c r="AI2216" i="2"/>
  <c r="AJ2216" i="2"/>
  <c r="AF2217" i="2"/>
  <c r="AK2217" i="2"/>
  <c r="AG2217" i="2"/>
  <c r="AH2217" i="2"/>
  <c r="AI2217" i="2"/>
  <c r="AJ2217" i="2"/>
  <c r="AF2218" i="2"/>
  <c r="AK2218" i="2" s="1"/>
  <c r="AG2218" i="2"/>
  <c r="AH2218" i="2"/>
  <c r="AI2218" i="2"/>
  <c r="AJ2218" i="2"/>
  <c r="AF2219" i="2"/>
  <c r="AK2219" i="2"/>
  <c r="AG2219" i="2"/>
  <c r="AH2219" i="2"/>
  <c r="AI2219" i="2"/>
  <c r="AJ2219" i="2"/>
  <c r="AF2220" i="2"/>
  <c r="AK2220" i="2" s="1"/>
  <c r="AG2220" i="2"/>
  <c r="AH2220" i="2"/>
  <c r="AI2220" i="2"/>
  <c r="AJ2220" i="2"/>
  <c r="AF2221" i="2"/>
  <c r="AK2221" i="2"/>
  <c r="AG2221" i="2"/>
  <c r="AH2221" i="2"/>
  <c r="AI2221" i="2"/>
  <c r="AJ2221" i="2"/>
  <c r="AF2222" i="2"/>
  <c r="AK2222" i="2" s="1"/>
  <c r="AG2222" i="2"/>
  <c r="AH2222" i="2"/>
  <c r="AI2222" i="2"/>
  <c r="AJ2222" i="2"/>
  <c r="AF2223" i="2"/>
  <c r="AK2223" i="2"/>
  <c r="AG2223" i="2"/>
  <c r="AH2223" i="2"/>
  <c r="AI2223" i="2"/>
  <c r="AJ2223" i="2"/>
  <c r="AF2224" i="2"/>
  <c r="AK2224" i="2" s="1"/>
  <c r="AG2224" i="2"/>
  <c r="AH2224" i="2"/>
  <c r="AI2224" i="2"/>
  <c r="AJ2224" i="2"/>
  <c r="AF2225" i="2"/>
  <c r="AK2225" i="2"/>
  <c r="AG2225" i="2"/>
  <c r="AH2225" i="2"/>
  <c r="AI2225" i="2"/>
  <c r="AJ2225" i="2"/>
  <c r="AF2226" i="2"/>
  <c r="AK2226" i="2" s="1"/>
  <c r="AG2226" i="2"/>
  <c r="AH2226" i="2"/>
  <c r="AI2226" i="2"/>
  <c r="AJ2226" i="2"/>
  <c r="AF2227" i="2"/>
  <c r="AK2227" i="2"/>
  <c r="AG2227" i="2"/>
  <c r="AH2227" i="2"/>
  <c r="AI2227" i="2"/>
  <c r="AJ2227" i="2"/>
  <c r="AF2228" i="2"/>
  <c r="AK2228" i="2" s="1"/>
  <c r="AG2228" i="2"/>
  <c r="AH2228" i="2"/>
  <c r="AI2228" i="2"/>
  <c r="AJ2228" i="2"/>
  <c r="AF2229" i="2"/>
  <c r="AK2229" i="2" s="1"/>
  <c r="AG2229" i="2"/>
  <c r="AH2229" i="2"/>
  <c r="AI2229" i="2"/>
  <c r="AJ2229" i="2"/>
  <c r="AF2230" i="2"/>
  <c r="AK2230" i="2" s="1"/>
  <c r="AG2230" i="2"/>
  <c r="AH2230" i="2"/>
  <c r="AI2230" i="2"/>
  <c r="AJ2230" i="2"/>
  <c r="AF2231" i="2"/>
  <c r="AK2231" i="2"/>
  <c r="AG2231" i="2"/>
  <c r="AH2231" i="2"/>
  <c r="AI2231" i="2"/>
  <c r="AJ2231" i="2"/>
  <c r="AF2232" i="2"/>
  <c r="AK2232" i="2" s="1"/>
  <c r="AG2232" i="2"/>
  <c r="AH2232" i="2"/>
  <c r="AI2232" i="2"/>
  <c r="AJ2232" i="2"/>
  <c r="AF2233" i="2"/>
  <c r="AK2233" i="2"/>
  <c r="AG2233" i="2"/>
  <c r="AH2233" i="2"/>
  <c r="AI2233" i="2"/>
  <c r="AJ2233" i="2"/>
  <c r="AF2234" i="2"/>
  <c r="AK2234" i="2" s="1"/>
  <c r="AG2234" i="2"/>
  <c r="AH2234" i="2"/>
  <c r="AI2234" i="2"/>
  <c r="AJ2234" i="2"/>
  <c r="AF2235" i="2"/>
  <c r="AK2235" i="2"/>
  <c r="AG2235" i="2"/>
  <c r="AH2235" i="2"/>
  <c r="AI2235" i="2"/>
  <c r="AJ2235" i="2"/>
  <c r="AF2236" i="2"/>
  <c r="AK2236" i="2" s="1"/>
  <c r="AG2236" i="2"/>
  <c r="AH2236" i="2"/>
  <c r="AI2236" i="2"/>
  <c r="AJ2236" i="2"/>
  <c r="AF2237" i="2"/>
  <c r="AK2237" i="2" s="1"/>
  <c r="AG2237" i="2"/>
  <c r="AH2237" i="2"/>
  <c r="AI2237" i="2"/>
  <c r="AJ2237" i="2"/>
  <c r="AF2238" i="2"/>
  <c r="AK2238" i="2" s="1"/>
  <c r="AG2238" i="2"/>
  <c r="AH2238" i="2"/>
  <c r="AI2238" i="2"/>
  <c r="AJ2238" i="2"/>
  <c r="AF2239" i="2"/>
  <c r="AK2239" i="2"/>
  <c r="AG2239" i="2"/>
  <c r="AH2239" i="2"/>
  <c r="AI2239" i="2"/>
  <c r="AJ2239" i="2"/>
  <c r="AF2240" i="2"/>
  <c r="AK2240" i="2" s="1"/>
  <c r="AG2240" i="2"/>
  <c r="AH2240" i="2"/>
  <c r="AI2240" i="2"/>
  <c r="AJ2240" i="2"/>
  <c r="AF2241" i="2"/>
  <c r="AK2241" i="2"/>
  <c r="AG2241" i="2"/>
  <c r="AH2241" i="2"/>
  <c r="AI2241" i="2"/>
  <c r="AJ2241" i="2"/>
  <c r="AF2242" i="2"/>
  <c r="AK2242" i="2" s="1"/>
  <c r="AG2242" i="2"/>
  <c r="AH2242" i="2"/>
  <c r="AI2242" i="2"/>
  <c r="AJ2242" i="2"/>
  <c r="AF2243" i="2"/>
  <c r="AK2243" i="2"/>
  <c r="AG2243" i="2"/>
  <c r="AH2243" i="2"/>
  <c r="AI2243" i="2"/>
  <c r="AJ2243" i="2"/>
  <c r="AF2244" i="2"/>
  <c r="AK2244" i="2" s="1"/>
  <c r="AG2244" i="2"/>
  <c r="AH2244" i="2"/>
  <c r="AI2244" i="2"/>
  <c r="AJ2244" i="2"/>
  <c r="AF2245" i="2"/>
  <c r="AK2245" i="2" s="1"/>
  <c r="AG2245" i="2"/>
  <c r="AH2245" i="2"/>
  <c r="AI2245" i="2"/>
  <c r="AJ2245" i="2"/>
  <c r="AF2246" i="2"/>
  <c r="AK2246" i="2" s="1"/>
  <c r="AG2246" i="2"/>
  <c r="AH2246" i="2"/>
  <c r="AI2246" i="2"/>
  <c r="AJ2246" i="2"/>
  <c r="AF2247" i="2"/>
  <c r="AK2247" i="2"/>
  <c r="AG2247" i="2"/>
  <c r="AH2247" i="2"/>
  <c r="AI2247" i="2"/>
  <c r="AJ2247" i="2"/>
  <c r="AF2248" i="2"/>
  <c r="AK2248" i="2" s="1"/>
  <c r="AG2248" i="2"/>
  <c r="AH2248" i="2"/>
  <c r="AI2248" i="2"/>
  <c r="AJ2248" i="2"/>
  <c r="AF2249" i="2"/>
  <c r="AK2249" i="2"/>
  <c r="AG2249" i="2"/>
  <c r="AH2249" i="2"/>
  <c r="AI2249" i="2"/>
  <c r="AJ2249" i="2"/>
  <c r="AF2250" i="2"/>
  <c r="AK2250" i="2" s="1"/>
  <c r="AG2250" i="2"/>
  <c r="AH2250" i="2"/>
  <c r="AI2250" i="2"/>
  <c r="AJ2250" i="2"/>
  <c r="AF2251" i="2"/>
  <c r="AK2251" i="2"/>
  <c r="AG2251" i="2"/>
  <c r="AH2251" i="2"/>
  <c r="AI2251" i="2"/>
  <c r="AJ2251" i="2"/>
  <c r="AF2252" i="2"/>
  <c r="AK2252" i="2" s="1"/>
  <c r="AG2252" i="2"/>
  <c r="AH2252" i="2"/>
  <c r="AI2252" i="2"/>
  <c r="AJ2252" i="2"/>
  <c r="AF2253" i="2"/>
  <c r="AK2253" i="2" s="1"/>
  <c r="AG2253" i="2"/>
  <c r="AH2253" i="2"/>
  <c r="AI2253" i="2"/>
  <c r="AJ2253" i="2"/>
  <c r="AF2254" i="2"/>
  <c r="AK2254" i="2" s="1"/>
  <c r="AG2254" i="2"/>
  <c r="AH2254" i="2"/>
  <c r="AI2254" i="2"/>
  <c r="AJ2254" i="2"/>
  <c r="AF2255" i="2"/>
  <c r="AK2255" i="2"/>
  <c r="AG2255" i="2"/>
  <c r="AH2255" i="2"/>
  <c r="AL2255" i="2" s="1"/>
  <c r="AI2255" i="2"/>
  <c r="AJ2255" i="2"/>
  <c r="AF2256" i="2"/>
  <c r="AK2256" i="2"/>
  <c r="AG2256" i="2"/>
  <c r="AH2256" i="2"/>
  <c r="AI2256" i="2"/>
  <c r="AJ2256" i="2"/>
  <c r="AF2257" i="2"/>
  <c r="AK2257" i="2" s="1"/>
  <c r="AG2257" i="2"/>
  <c r="AH2257" i="2"/>
  <c r="AI2257" i="2"/>
  <c r="AJ2257" i="2"/>
  <c r="AF2258" i="2"/>
  <c r="AK2258" i="2"/>
  <c r="AG2258" i="2"/>
  <c r="AH2258" i="2"/>
  <c r="AI2258" i="2"/>
  <c r="AJ2258" i="2"/>
  <c r="AF2259" i="2"/>
  <c r="AK2259" i="2" s="1"/>
  <c r="AG2259" i="2"/>
  <c r="AH2259" i="2"/>
  <c r="AI2259" i="2"/>
  <c r="AJ2259" i="2"/>
  <c r="AF2260" i="2"/>
  <c r="AK2260" i="2"/>
  <c r="AG2260" i="2"/>
  <c r="AH2260" i="2"/>
  <c r="AI2260" i="2"/>
  <c r="AJ2260" i="2"/>
  <c r="AF2261" i="2"/>
  <c r="AK2261" i="2" s="1"/>
  <c r="AG2261" i="2"/>
  <c r="AH2261" i="2"/>
  <c r="AI2261" i="2"/>
  <c r="AJ2261" i="2"/>
  <c r="AF2262" i="2"/>
  <c r="AK2262" i="2"/>
  <c r="AG2262" i="2"/>
  <c r="AH2262" i="2"/>
  <c r="AI2262" i="2"/>
  <c r="AJ2262" i="2"/>
  <c r="AF2263" i="2"/>
  <c r="AK2263" i="2" s="1"/>
  <c r="AL2263" i="2" s="1"/>
  <c r="AG2263" i="2"/>
  <c r="AH2263" i="2"/>
  <c r="AI2263" i="2"/>
  <c r="AJ2263" i="2"/>
  <c r="AF2264" i="2"/>
  <c r="AK2264" i="2"/>
  <c r="AG2264" i="2"/>
  <c r="AH2264" i="2"/>
  <c r="AL2264" i="2" s="1"/>
  <c r="AI2264" i="2"/>
  <c r="AJ2264" i="2"/>
  <c r="AF2265" i="2"/>
  <c r="AK2265" i="2"/>
  <c r="AG2265" i="2"/>
  <c r="AH2265" i="2"/>
  <c r="AI2265" i="2"/>
  <c r="AJ2265" i="2"/>
  <c r="AF2266" i="2"/>
  <c r="AK2266" i="2" s="1"/>
  <c r="AG2266" i="2"/>
  <c r="AH2266" i="2"/>
  <c r="AI2266" i="2"/>
  <c r="AJ2266" i="2"/>
  <c r="AF2267" i="2"/>
  <c r="AK2267" i="2"/>
  <c r="AG2267" i="2"/>
  <c r="AH2267" i="2"/>
  <c r="AI2267" i="2"/>
  <c r="AJ2267" i="2"/>
  <c r="AF2268" i="2"/>
  <c r="AK2268" i="2" s="1"/>
  <c r="AG2268" i="2"/>
  <c r="AH2268" i="2"/>
  <c r="AI2268" i="2"/>
  <c r="AJ2268" i="2"/>
  <c r="AF2269" i="2"/>
  <c r="AK2269" i="2"/>
  <c r="AG2269" i="2"/>
  <c r="AH2269" i="2"/>
  <c r="AI2269" i="2"/>
  <c r="AJ2269" i="2"/>
  <c r="AF2270" i="2"/>
  <c r="AK2270" i="2" s="1"/>
  <c r="AG2270" i="2"/>
  <c r="AH2270" i="2"/>
  <c r="AI2270" i="2"/>
  <c r="AJ2270" i="2"/>
  <c r="AF2271" i="2"/>
  <c r="AK2271" i="2"/>
  <c r="AG2271" i="2"/>
  <c r="AH2271" i="2"/>
  <c r="AI2271" i="2"/>
  <c r="AJ2271" i="2"/>
  <c r="AF2272" i="2"/>
  <c r="AK2272" i="2" s="1"/>
  <c r="AG2272" i="2"/>
  <c r="AH2272" i="2"/>
  <c r="AI2272" i="2"/>
  <c r="AJ2272" i="2"/>
  <c r="AF2273" i="2"/>
  <c r="AK2273" i="2"/>
  <c r="AG2273" i="2"/>
  <c r="AH2273" i="2"/>
  <c r="AI2273" i="2"/>
  <c r="AJ2273" i="2"/>
  <c r="AF2274" i="2"/>
  <c r="AK2274" i="2" s="1"/>
  <c r="AG2274" i="2"/>
  <c r="AH2274" i="2"/>
  <c r="AI2274" i="2"/>
  <c r="AJ2274" i="2"/>
  <c r="AF2275" i="2"/>
  <c r="AK2275" i="2"/>
  <c r="AG2275" i="2"/>
  <c r="AH2275" i="2"/>
  <c r="AI2275" i="2"/>
  <c r="AJ2275" i="2"/>
  <c r="AF2276" i="2"/>
  <c r="AK2276" i="2" s="1"/>
  <c r="AG2276" i="2"/>
  <c r="AH2276" i="2"/>
  <c r="AI2276" i="2"/>
  <c r="AJ2276" i="2"/>
  <c r="AF2277" i="2"/>
  <c r="AK2277" i="2"/>
  <c r="AG2277" i="2"/>
  <c r="AH2277" i="2"/>
  <c r="AI2277" i="2"/>
  <c r="AJ2277" i="2"/>
  <c r="AL2277" i="2" s="1"/>
  <c r="AF2278" i="2"/>
  <c r="AK2278" i="2" s="1"/>
  <c r="AG2278" i="2"/>
  <c r="AH2278" i="2"/>
  <c r="AI2278" i="2"/>
  <c r="AJ2278" i="2"/>
  <c r="AF2279" i="2"/>
  <c r="AK2279" i="2"/>
  <c r="AG2279" i="2"/>
  <c r="AH2279" i="2"/>
  <c r="AI2279" i="2"/>
  <c r="AJ2279" i="2"/>
  <c r="AF2280" i="2"/>
  <c r="AK2280" i="2" s="1"/>
  <c r="AG2280" i="2"/>
  <c r="AH2280" i="2"/>
  <c r="AI2280" i="2"/>
  <c r="AJ2280" i="2"/>
  <c r="AF2281" i="2"/>
  <c r="AK2281" i="2"/>
  <c r="AG2281" i="2"/>
  <c r="AH2281" i="2"/>
  <c r="AI2281" i="2"/>
  <c r="AJ2281" i="2"/>
  <c r="AF2282" i="2"/>
  <c r="AK2282" i="2" s="1"/>
  <c r="AG2282" i="2"/>
  <c r="AL2282" i="2" s="1"/>
  <c r="AH2282" i="2"/>
  <c r="AI2282" i="2"/>
  <c r="AJ2282" i="2"/>
  <c r="AF2283" i="2"/>
  <c r="AK2283" i="2" s="1"/>
  <c r="AG2283" i="2"/>
  <c r="AH2283" i="2"/>
  <c r="AI2283" i="2"/>
  <c r="AJ2283" i="2"/>
  <c r="AF2284" i="2"/>
  <c r="AK2284" i="2"/>
  <c r="AG2284" i="2"/>
  <c r="AH2284" i="2"/>
  <c r="AI2284" i="2"/>
  <c r="AJ2284" i="2"/>
  <c r="AF2285" i="2"/>
  <c r="AK2285" i="2" s="1"/>
  <c r="AG2285" i="2"/>
  <c r="AH2285" i="2"/>
  <c r="AI2285" i="2"/>
  <c r="AJ2285" i="2"/>
  <c r="AF2286" i="2"/>
  <c r="AK2286" i="2"/>
  <c r="AG2286" i="2"/>
  <c r="AH2286" i="2"/>
  <c r="AI2286" i="2"/>
  <c r="AJ2286" i="2"/>
  <c r="AF2287" i="2"/>
  <c r="AK2287" i="2" s="1"/>
  <c r="AG2287" i="2"/>
  <c r="AH2287" i="2"/>
  <c r="AI2287" i="2"/>
  <c r="AJ2287" i="2"/>
  <c r="AF2288" i="2"/>
  <c r="AK2288" i="2"/>
  <c r="AG2288" i="2"/>
  <c r="AH2288" i="2"/>
  <c r="AI2288" i="2"/>
  <c r="AJ2288" i="2"/>
  <c r="AF2289" i="2"/>
  <c r="AK2289" i="2" s="1"/>
  <c r="AG2289" i="2"/>
  <c r="AH2289" i="2"/>
  <c r="AI2289" i="2"/>
  <c r="AJ2289" i="2"/>
  <c r="AF2290" i="2"/>
  <c r="AK2290" i="2"/>
  <c r="AG2290" i="2"/>
  <c r="AH2290" i="2"/>
  <c r="AI2290" i="2"/>
  <c r="AJ2290" i="2"/>
  <c r="AF2291" i="2"/>
  <c r="AK2291" i="2" s="1"/>
  <c r="AG2291" i="2"/>
  <c r="AH2291" i="2"/>
  <c r="AI2291" i="2"/>
  <c r="AJ2291" i="2"/>
  <c r="AF2292" i="2"/>
  <c r="AK2292" i="2"/>
  <c r="AG2292" i="2"/>
  <c r="AH2292" i="2"/>
  <c r="AI2292" i="2"/>
  <c r="AJ2292" i="2"/>
  <c r="AF2293" i="2"/>
  <c r="AK2293" i="2" s="1"/>
  <c r="AG2293" i="2"/>
  <c r="AH2293" i="2"/>
  <c r="AI2293" i="2"/>
  <c r="AJ2293" i="2"/>
  <c r="AF2294" i="2"/>
  <c r="AK2294" i="2"/>
  <c r="AG2294" i="2"/>
  <c r="AH2294" i="2"/>
  <c r="AI2294" i="2"/>
  <c r="AJ2294" i="2"/>
  <c r="AF2295" i="2"/>
  <c r="AK2295" i="2" s="1"/>
  <c r="AG2295" i="2"/>
  <c r="AH2295" i="2"/>
  <c r="AI2295" i="2"/>
  <c r="AJ2295" i="2"/>
  <c r="AF2296" i="2"/>
  <c r="AK2296" i="2"/>
  <c r="AG2296" i="2"/>
  <c r="AH2296" i="2"/>
  <c r="AI2296" i="2"/>
  <c r="AJ2296" i="2"/>
  <c r="AF2297" i="2"/>
  <c r="AK2297" i="2" s="1"/>
  <c r="AG2297" i="2"/>
  <c r="AH2297" i="2"/>
  <c r="AI2297" i="2"/>
  <c r="AJ2297" i="2"/>
  <c r="AF2298" i="2"/>
  <c r="AK2298" i="2"/>
  <c r="AG2298" i="2"/>
  <c r="AH2298" i="2"/>
  <c r="AI2298" i="2"/>
  <c r="AJ2298" i="2"/>
  <c r="AF2299" i="2"/>
  <c r="AK2299" i="2" s="1"/>
  <c r="AG2299" i="2"/>
  <c r="AH2299" i="2"/>
  <c r="AI2299" i="2"/>
  <c r="AJ2299" i="2"/>
  <c r="AF2300" i="2"/>
  <c r="AK2300" i="2" s="1"/>
  <c r="AG2300" i="2"/>
  <c r="AH2300" i="2"/>
  <c r="AI2300" i="2"/>
  <c r="AJ2300" i="2"/>
  <c r="AF2301" i="2"/>
  <c r="AK2301" i="2" s="1"/>
  <c r="AG2301" i="2"/>
  <c r="AH2301" i="2"/>
  <c r="AI2301" i="2"/>
  <c r="AJ2301" i="2"/>
  <c r="AF2302" i="2"/>
  <c r="AK2302" i="2"/>
  <c r="AG2302" i="2"/>
  <c r="AH2302" i="2"/>
  <c r="AI2302" i="2"/>
  <c r="AJ2302" i="2"/>
  <c r="AF2303" i="2"/>
  <c r="AK2303" i="2" s="1"/>
  <c r="AG2303" i="2"/>
  <c r="AH2303" i="2"/>
  <c r="AL2303" i="2" s="1"/>
  <c r="AI2303" i="2"/>
  <c r="AJ2303" i="2"/>
  <c r="AF2304" i="2"/>
  <c r="AK2304" i="2"/>
  <c r="AG2304" i="2"/>
  <c r="AH2304" i="2"/>
  <c r="AI2304" i="2"/>
  <c r="AJ2304" i="2"/>
  <c r="AF2305" i="2"/>
  <c r="AK2305" i="2"/>
  <c r="AG2305" i="2"/>
  <c r="AH2305" i="2"/>
  <c r="AI2305" i="2"/>
  <c r="AJ2305" i="2"/>
  <c r="AF2306" i="2"/>
  <c r="AK2306" i="2"/>
  <c r="AG2306" i="2"/>
  <c r="AH2306" i="2"/>
  <c r="AI2306" i="2"/>
  <c r="AJ2306" i="2"/>
  <c r="AF2307" i="2"/>
  <c r="AK2307" i="2"/>
  <c r="AG2307" i="2"/>
  <c r="AH2307" i="2"/>
  <c r="AI2307" i="2"/>
  <c r="AJ2307" i="2"/>
  <c r="AF2308" i="2"/>
  <c r="AK2308" i="2"/>
  <c r="AG2308" i="2"/>
  <c r="AH2308" i="2"/>
  <c r="AI2308" i="2"/>
  <c r="AJ2308" i="2"/>
  <c r="AF2309" i="2"/>
  <c r="AK2309" i="2"/>
  <c r="AG2309" i="2"/>
  <c r="AH2309" i="2"/>
  <c r="AI2309" i="2"/>
  <c r="AJ2309" i="2"/>
  <c r="AF2310" i="2"/>
  <c r="AK2310" i="2"/>
  <c r="AG2310" i="2"/>
  <c r="AH2310" i="2"/>
  <c r="AI2310" i="2"/>
  <c r="AJ2310" i="2"/>
  <c r="AF2311" i="2"/>
  <c r="AK2311" i="2"/>
  <c r="AG2311" i="2"/>
  <c r="AH2311" i="2"/>
  <c r="AI2311" i="2"/>
  <c r="AJ2311" i="2"/>
  <c r="AF2312" i="2"/>
  <c r="AK2312" i="2"/>
  <c r="AG2312" i="2"/>
  <c r="AH2312" i="2"/>
  <c r="AI2312" i="2"/>
  <c r="AJ2312" i="2"/>
  <c r="AF2313" i="2"/>
  <c r="AK2313" i="2"/>
  <c r="AG2313" i="2"/>
  <c r="AH2313" i="2"/>
  <c r="AI2313" i="2"/>
  <c r="AJ2313" i="2"/>
  <c r="AF2314" i="2"/>
  <c r="AK2314" i="2"/>
  <c r="AG2314" i="2"/>
  <c r="AH2314" i="2"/>
  <c r="AI2314" i="2"/>
  <c r="AJ2314" i="2"/>
  <c r="AF2315" i="2"/>
  <c r="AK2315" i="2"/>
  <c r="AG2315" i="2"/>
  <c r="AH2315" i="2"/>
  <c r="AI2315" i="2"/>
  <c r="AJ2315" i="2"/>
  <c r="AF2316" i="2"/>
  <c r="AK2316" i="2" s="1"/>
  <c r="AG2316" i="2"/>
  <c r="AH2316" i="2"/>
  <c r="AI2316" i="2"/>
  <c r="AJ2316" i="2"/>
  <c r="AF2317" i="2"/>
  <c r="AK2317" i="2" s="1"/>
  <c r="AG2317" i="2"/>
  <c r="AH2317" i="2"/>
  <c r="AI2317" i="2"/>
  <c r="AJ2317" i="2"/>
  <c r="AF2318" i="2"/>
  <c r="AK2318" i="2" s="1"/>
  <c r="AG2318" i="2"/>
  <c r="AH2318" i="2"/>
  <c r="AI2318" i="2"/>
  <c r="AJ2318" i="2"/>
  <c r="AF2319" i="2"/>
  <c r="AK2319" i="2"/>
  <c r="AG2319" i="2"/>
  <c r="AH2319" i="2"/>
  <c r="AI2319" i="2"/>
  <c r="AJ2319" i="2"/>
  <c r="AF2320" i="2"/>
  <c r="AK2320" i="2" s="1"/>
  <c r="AG2320" i="2"/>
  <c r="AH2320" i="2"/>
  <c r="AL2320" i="2" s="1"/>
  <c r="AI2320" i="2"/>
  <c r="AJ2320" i="2"/>
  <c r="AF2321" i="2"/>
  <c r="AK2321" i="2"/>
  <c r="AG2321" i="2"/>
  <c r="AH2321" i="2"/>
  <c r="AI2321" i="2"/>
  <c r="AJ2321" i="2"/>
  <c r="AF2322" i="2"/>
  <c r="AK2322" i="2"/>
  <c r="AG2322" i="2"/>
  <c r="AH2322" i="2"/>
  <c r="AI2322" i="2"/>
  <c r="AJ2322" i="2"/>
  <c r="AF2323" i="2"/>
  <c r="AK2323" i="2"/>
  <c r="AG2323" i="2"/>
  <c r="AH2323" i="2"/>
  <c r="AI2323" i="2"/>
  <c r="AJ2323" i="2"/>
  <c r="AF2324" i="2"/>
  <c r="AK2324" i="2"/>
  <c r="AG2324" i="2"/>
  <c r="AH2324" i="2"/>
  <c r="AI2324" i="2"/>
  <c r="AJ2324" i="2"/>
  <c r="AF2325" i="2"/>
  <c r="AK2325" i="2"/>
  <c r="AG2325" i="2"/>
  <c r="AH2325" i="2"/>
  <c r="AI2325" i="2"/>
  <c r="AJ2325" i="2"/>
  <c r="AF2326" i="2"/>
  <c r="AK2326" i="2"/>
  <c r="AG2326" i="2"/>
  <c r="AH2326" i="2"/>
  <c r="AI2326" i="2"/>
  <c r="AJ2326" i="2"/>
  <c r="AF2327" i="2"/>
  <c r="AK2327" i="2"/>
  <c r="AG2327" i="2"/>
  <c r="AH2327" i="2"/>
  <c r="AI2327" i="2"/>
  <c r="AJ2327" i="2"/>
  <c r="AF2328" i="2"/>
  <c r="AK2328" i="2"/>
  <c r="AG2328" i="2"/>
  <c r="AH2328" i="2"/>
  <c r="AI2328" i="2"/>
  <c r="AJ2328" i="2"/>
  <c r="AF2329" i="2"/>
  <c r="AK2329" i="2"/>
  <c r="AG2329" i="2"/>
  <c r="AH2329" i="2"/>
  <c r="AI2329" i="2"/>
  <c r="AJ2329" i="2"/>
  <c r="AF2330" i="2"/>
  <c r="AK2330" i="2"/>
  <c r="AG2330" i="2"/>
  <c r="AH2330" i="2"/>
  <c r="AI2330" i="2"/>
  <c r="AJ2330" i="2"/>
  <c r="AF2331" i="2"/>
  <c r="AK2331" i="2"/>
  <c r="AG2331" i="2"/>
  <c r="AH2331" i="2"/>
  <c r="AI2331" i="2"/>
  <c r="AJ2331" i="2"/>
  <c r="AF2332" i="2"/>
  <c r="AK2332" i="2"/>
  <c r="AG2332" i="2"/>
  <c r="AH2332" i="2"/>
  <c r="AI2332" i="2"/>
  <c r="AJ2332" i="2"/>
  <c r="AF2333" i="2"/>
  <c r="AK2333" i="2"/>
  <c r="AG2333" i="2"/>
  <c r="AH2333" i="2"/>
  <c r="AI2333" i="2"/>
  <c r="AJ2333" i="2"/>
  <c r="AF2334" i="2"/>
  <c r="AK2334" i="2"/>
  <c r="AG2334" i="2"/>
  <c r="AL2334" i="2" s="1"/>
  <c r="AH2334" i="2"/>
  <c r="AI2334" i="2"/>
  <c r="AJ2334" i="2"/>
  <c r="AF2335" i="2"/>
  <c r="AK2335" i="2" s="1"/>
  <c r="AG2335" i="2"/>
  <c r="AH2335" i="2"/>
  <c r="AI2335" i="2"/>
  <c r="AJ2335" i="2"/>
  <c r="AF2336" i="2"/>
  <c r="AK2336" i="2"/>
  <c r="AG2336" i="2"/>
  <c r="AH2336" i="2"/>
  <c r="AI2336" i="2"/>
  <c r="AJ2336" i="2"/>
  <c r="AF2337" i="2"/>
  <c r="AK2337" i="2" s="1"/>
  <c r="AG2337" i="2"/>
  <c r="AH2337" i="2"/>
  <c r="AI2337" i="2"/>
  <c r="AJ2337" i="2"/>
  <c r="AF2338" i="2"/>
  <c r="AK2338" i="2" s="1"/>
  <c r="AG2338" i="2"/>
  <c r="AH2338" i="2"/>
  <c r="AI2338" i="2"/>
  <c r="AJ2338" i="2"/>
  <c r="AF2339" i="2"/>
  <c r="AK2339" i="2" s="1"/>
  <c r="AG2339" i="2"/>
  <c r="AH2339" i="2"/>
  <c r="AI2339" i="2"/>
  <c r="AJ2339" i="2"/>
  <c r="AF2340" i="2"/>
  <c r="AK2340" i="2"/>
  <c r="AG2340" i="2"/>
  <c r="AH2340" i="2"/>
  <c r="AI2340" i="2"/>
  <c r="AJ2340" i="2"/>
  <c r="AF2341" i="2"/>
  <c r="AK2341" i="2" s="1"/>
  <c r="AG2341" i="2"/>
  <c r="AH2341" i="2"/>
  <c r="AI2341" i="2"/>
  <c r="AJ2341" i="2"/>
  <c r="AF2342" i="2"/>
  <c r="AK2342" i="2"/>
  <c r="AG2342" i="2"/>
  <c r="AH2342" i="2"/>
  <c r="AI2342" i="2"/>
  <c r="AJ2342" i="2"/>
  <c r="AF2343" i="2"/>
  <c r="AK2343" i="2" s="1"/>
  <c r="AG2343" i="2"/>
  <c r="AH2343" i="2"/>
  <c r="AI2343" i="2"/>
  <c r="AJ2343" i="2"/>
  <c r="AF2344" i="2"/>
  <c r="AK2344" i="2"/>
  <c r="AG2344" i="2"/>
  <c r="AH2344" i="2"/>
  <c r="AI2344" i="2"/>
  <c r="AJ2344" i="2"/>
  <c r="AF2345" i="2"/>
  <c r="AK2345" i="2" s="1"/>
  <c r="AG2345" i="2"/>
  <c r="AH2345" i="2"/>
  <c r="AI2345" i="2"/>
  <c r="AJ2345" i="2"/>
  <c r="AF2346" i="2"/>
  <c r="AK2346" i="2" s="1"/>
  <c r="AG2346" i="2"/>
  <c r="AH2346" i="2"/>
  <c r="AI2346" i="2"/>
  <c r="AJ2346" i="2"/>
  <c r="AF2347" i="2"/>
  <c r="AK2347" i="2" s="1"/>
  <c r="AG2347" i="2"/>
  <c r="AH2347" i="2"/>
  <c r="AI2347" i="2"/>
  <c r="AJ2347" i="2"/>
  <c r="AF2348" i="2"/>
  <c r="AK2348" i="2"/>
  <c r="AG2348" i="2"/>
  <c r="AH2348" i="2"/>
  <c r="AI2348" i="2"/>
  <c r="AJ2348" i="2"/>
  <c r="AF2349" i="2"/>
  <c r="AK2349" i="2" s="1"/>
  <c r="AG2349" i="2"/>
  <c r="AH2349" i="2"/>
  <c r="AI2349" i="2"/>
  <c r="AJ2349" i="2"/>
  <c r="AF2350" i="2"/>
  <c r="AK2350" i="2"/>
  <c r="AG2350" i="2"/>
  <c r="AH2350" i="2"/>
  <c r="AI2350" i="2"/>
  <c r="AJ2350" i="2"/>
  <c r="AF2351" i="2"/>
  <c r="AK2351" i="2" s="1"/>
  <c r="AG2351" i="2"/>
  <c r="AH2351" i="2"/>
  <c r="AI2351" i="2"/>
  <c r="AJ2351" i="2"/>
  <c r="AF2352" i="2"/>
  <c r="AK2352" i="2"/>
  <c r="AG2352" i="2"/>
  <c r="AH2352" i="2"/>
  <c r="AI2352" i="2"/>
  <c r="AJ2352" i="2"/>
  <c r="AF2353" i="2"/>
  <c r="AK2353" i="2" s="1"/>
  <c r="AG2353" i="2"/>
  <c r="AH2353" i="2"/>
  <c r="AI2353" i="2"/>
  <c r="AJ2353" i="2"/>
  <c r="AL2353" i="2" s="1"/>
  <c r="AF2354" i="2"/>
  <c r="AK2354" i="2"/>
  <c r="AG2354" i="2"/>
  <c r="AH2354" i="2"/>
  <c r="AI2354" i="2"/>
  <c r="AJ2354" i="2"/>
  <c r="AF2355" i="2"/>
  <c r="AK2355" i="2"/>
  <c r="AG2355" i="2"/>
  <c r="AH2355" i="2"/>
  <c r="AI2355" i="2"/>
  <c r="AL2355" i="2" s="1"/>
  <c r="AJ2355" i="2"/>
  <c r="AF2356" i="2"/>
  <c r="AK2356" i="2" s="1"/>
  <c r="AG2356" i="2"/>
  <c r="AH2356" i="2"/>
  <c r="AI2356" i="2"/>
  <c r="AJ2356" i="2"/>
  <c r="AF2357" i="2"/>
  <c r="AK2357" i="2"/>
  <c r="AG2357" i="2"/>
  <c r="AH2357" i="2"/>
  <c r="AI2357" i="2"/>
  <c r="AL2357" i="2" s="1"/>
  <c r="AJ2357" i="2"/>
  <c r="AF2358" i="2"/>
  <c r="AK2358" i="2"/>
  <c r="AG2358" i="2"/>
  <c r="AH2358" i="2"/>
  <c r="AI2358" i="2"/>
  <c r="AJ2358" i="2"/>
  <c r="AF2359" i="2"/>
  <c r="AK2359" i="2" s="1"/>
  <c r="AG2359" i="2"/>
  <c r="AH2359" i="2"/>
  <c r="AI2359" i="2"/>
  <c r="AJ2359" i="2"/>
  <c r="AF2360" i="2"/>
  <c r="AK2360" i="2"/>
  <c r="AG2360" i="2"/>
  <c r="AH2360" i="2"/>
  <c r="AI2360" i="2"/>
  <c r="AJ2360" i="2"/>
  <c r="AF2361" i="2"/>
  <c r="AK2361" i="2" s="1"/>
  <c r="AG2361" i="2"/>
  <c r="AH2361" i="2"/>
  <c r="AI2361" i="2"/>
  <c r="AJ2361" i="2"/>
  <c r="AF2362" i="2"/>
  <c r="AK2362" i="2"/>
  <c r="AG2362" i="2"/>
  <c r="AH2362" i="2"/>
  <c r="AI2362" i="2"/>
  <c r="AJ2362" i="2"/>
  <c r="AF2363" i="2"/>
  <c r="AK2363" i="2" s="1"/>
  <c r="AG2363" i="2"/>
  <c r="AH2363" i="2"/>
  <c r="AI2363" i="2"/>
  <c r="AJ2363" i="2"/>
  <c r="AF2364" i="2"/>
  <c r="AK2364" i="2"/>
  <c r="AG2364" i="2"/>
  <c r="AL2364" i="2" s="1"/>
  <c r="AH2364" i="2"/>
  <c r="AI2364" i="2"/>
  <c r="AJ2364" i="2"/>
  <c r="AF2365" i="2"/>
  <c r="AK2365" i="2" s="1"/>
  <c r="AG2365" i="2"/>
  <c r="AH2365" i="2"/>
  <c r="AI2365" i="2"/>
  <c r="AJ2365" i="2"/>
  <c r="AF2366" i="2"/>
  <c r="AK2366" i="2"/>
  <c r="AG2366" i="2"/>
  <c r="AL2366" i="2" s="1"/>
  <c r="AH2366" i="2"/>
  <c r="AI2366" i="2"/>
  <c r="AJ2366" i="2"/>
  <c r="AF2367" i="2"/>
  <c r="AK2367" i="2"/>
  <c r="AG2367" i="2"/>
  <c r="AH2367" i="2"/>
  <c r="AI2367" i="2"/>
  <c r="AJ2367" i="2"/>
  <c r="AF2368" i="2"/>
  <c r="AK2368" i="2"/>
  <c r="AG2368" i="2"/>
  <c r="AH2368" i="2"/>
  <c r="AI2368" i="2"/>
  <c r="AJ2368" i="2"/>
  <c r="AF2369" i="2"/>
  <c r="AK2369" i="2"/>
  <c r="AG2369" i="2"/>
  <c r="AH2369" i="2"/>
  <c r="AI2369" i="2"/>
  <c r="AJ2369" i="2"/>
  <c r="AF2370" i="2"/>
  <c r="AK2370" i="2"/>
  <c r="AG2370" i="2"/>
  <c r="AH2370" i="2"/>
  <c r="AI2370" i="2"/>
  <c r="AJ2370" i="2"/>
  <c r="AF2371" i="2"/>
  <c r="AK2371" i="2"/>
  <c r="AG2371" i="2"/>
  <c r="AH2371" i="2"/>
  <c r="AI2371" i="2"/>
  <c r="AJ2371" i="2"/>
  <c r="AF2372" i="2"/>
  <c r="AK2372" i="2"/>
  <c r="AG2372" i="2"/>
  <c r="AH2372" i="2"/>
  <c r="AI2372" i="2"/>
  <c r="AJ2372" i="2"/>
  <c r="AF2373" i="2"/>
  <c r="AK2373" i="2"/>
  <c r="AG2373" i="2"/>
  <c r="AH2373" i="2"/>
  <c r="AI2373" i="2"/>
  <c r="AJ2373" i="2"/>
  <c r="AF2374" i="2"/>
  <c r="AK2374" i="2"/>
  <c r="AG2374" i="2"/>
  <c r="AH2374" i="2"/>
  <c r="AI2374" i="2"/>
  <c r="AJ2374" i="2"/>
  <c r="AF2375" i="2"/>
  <c r="AK2375" i="2"/>
  <c r="AG2375" i="2"/>
  <c r="AH2375" i="2"/>
  <c r="AI2375" i="2"/>
  <c r="AJ2375" i="2"/>
  <c r="AF2376" i="2"/>
  <c r="AK2376" i="2"/>
  <c r="AG2376" i="2"/>
  <c r="AH2376" i="2"/>
  <c r="AI2376" i="2"/>
  <c r="AJ2376" i="2"/>
  <c r="AF2377" i="2"/>
  <c r="AK2377" i="2"/>
  <c r="AG2377" i="2"/>
  <c r="AH2377" i="2"/>
  <c r="AI2377" i="2"/>
  <c r="AJ2377" i="2"/>
  <c r="AF2378" i="2"/>
  <c r="AK2378" i="2"/>
  <c r="AG2378" i="2"/>
  <c r="AH2378" i="2"/>
  <c r="AI2378" i="2"/>
  <c r="AJ2378" i="2"/>
  <c r="AF2379" i="2"/>
  <c r="AK2379" i="2"/>
  <c r="AG2379" i="2"/>
  <c r="AH2379" i="2"/>
  <c r="AL2379" i="2" s="1"/>
  <c r="AI2379" i="2"/>
  <c r="AJ2379" i="2"/>
  <c r="AF2380" i="2"/>
  <c r="AK2380" i="2" s="1"/>
  <c r="AG2380" i="2"/>
  <c r="AH2380" i="2"/>
  <c r="AI2380" i="2"/>
  <c r="AJ2380" i="2"/>
  <c r="AF2381" i="2"/>
  <c r="AK2381" i="2" s="1"/>
  <c r="AG2381" i="2"/>
  <c r="AH2381" i="2"/>
  <c r="AI2381" i="2"/>
  <c r="AJ2381" i="2"/>
  <c r="AF2382" i="2"/>
  <c r="AK2382" i="2" s="1"/>
  <c r="AG2382" i="2"/>
  <c r="AH2382" i="2"/>
  <c r="AI2382" i="2"/>
  <c r="AJ2382" i="2"/>
  <c r="AF2383" i="2"/>
  <c r="AK2383" i="2"/>
  <c r="AG2383" i="2"/>
  <c r="AH2383" i="2"/>
  <c r="AI2383" i="2"/>
  <c r="AL2383" i="2"/>
  <c r="AJ2383" i="2"/>
  <c r="AF2384" i="2"/>
  <c r="AK2384" i="2"/>
  <c r="AG2384" i="2"/>
  <c r="AH2384" i="2"/>
  <c r="AI2384" i="2"/>
  <c r="AJ2384" i="2"/>
  <c r="AL2384" i="2" s="1"/>
  <c r="AF2385" i="2"/>
  <c r="AK2385" i="2" s="1"/>
  <c r="AG2385" i="2"/>
  <c r="AH2385" i="2"/>
  <c r="AI2385" i="2"/>
  <c r="AJ2385" i="2"/>
  <c r="AF2386" i="2"/>
  <c r="AK2386" i="2"/>
  <c r="AG2386" i="2"/>
  <c r="AH2386" i="2"/>
  <c r="AI2386" i="2"/>
  <c r="AJ2386" i="2"/>
  <c r="AF2387" i="2"/>
  <c r="AK2387" i="2" s="1"/>
  <c r="AG2387" i="2"/>
  <c r="AH2387" i="2"/>
  <c r="AI2387" i="2"/>
  <c r="AJ2387" i="2"/>
  <c r="AF2388" i="2"/>
  <c r="AK2388" i="2"/>
  <c r="AG2388" i="2"/>
  <c r="AH2388" i="2"/>
  <c r="AI2388" i="2"/>
  <c r="AJ2388" i="2"/>
  <c r="AF2389" i="2"/>
  <c r="AK2389" i="2" s="1"/>
  <c r="AG2389" i="2"/>
  <c r="AH2389" i="2"/>
  <c r="AI2389" i="2"/>
  <c r="AJ2389" i="2"/>
  <c r="AF2390" i="2"/>
  <c r="AK2390" i="2" s="1"/>
  <c r="AG2390" i="2"/>
  <c r="AH2390" i="2"/>
  <c r="AI2390" i="2"/>
  <c r="AJ2390" i="2"/>
  <c r="AF2391" i="2"/>
  <c r="AK2391" i="2"/>
  <c r="AG2391" i="2"/>
  <c r="AH2391" i="2"/>
  <c r="AI2391" i="2"/>
  <c r="AJ2391" i="2"/>
  <c r="AF2392" i="2"/>
  <c r="AK2392" i="2"/>
  <c r="AG2392" i="2"/>
  <c r="AH2392" i="2"/>
  <c r="AI2392" i="2"/>
  <c r="AJ2392" i="2"/>
  <c r="AF2393" i="2"/>
  <c r="AK2393" i="2"/>
  <c r="AG2393" i="2"/>
  <c r="AH2393" i="2"/>
  <c r="AI2393" i="2"/>
  <c r="AJ2393" i="2"/>
  <c r="AF2394" i="2"/>
  <c r="AK2394" i="2"/>
  <c r="AG2394" i="2"/>
  <c r="AH2394" i="2"/>
  <c r="AI2394" i="2"/>
  <c r="AJ2394" i="2"/>
  <c r="AF2395" i="2"/>
  <c r="AK2395" i="2"/>
  <c r="AG2395" i="2"/>
  <c r="AH2395" i="2"/>
  <c r="AI2395" i="2"/>
  <c r="AJ2395" i="2"/>
  <c r="AF2396" i="2"/>
  <c r="AK2396" i="2"/>
  <c r="AG2396" i="2"/>
  <c r="AH2396" i="2"/>
  <c r="AI2396" i="2"/>
  <c r="AJ2396" i="2"/>
  <c r="AF2397" i="2"/>
  <c r="AK2397" i="2"/>
  <c r="AG2397" i="2"/>
  <c r="AH2397" i="2"/>
  <c r="AI2397" i="2"/>
  <c r="AJ2397" i="2"/>
  <c r="AF2398" i="2"/>
  <c r="AK2398" i="2"/>
  <c r="AG2398" i="2"/>
  <c r="AH2398" i="2"/>
  <c r="AL2398" i="2" s="1"/>
  <c r="AI2398" i="2"/>
  <c r="AJ2398" i="2"/>
  <c r="AF2399" i="2"/>
  <c r="AK2399" i="2"/>
  <c r="AG2399" i="2"/>
  <c r="AH2399" i="2"/>
  <c r="AI2399" i="2"/>
  <c r="AJ2399" i="2"/>
  <c r="AF2400" i="2"/>
  <c r="AK2400" i="2" s="1"/>
  <c r="AG2400" i="2"/>
  <c r="AH2400" i="2"/>
  <c r="AI2400" i="2"/>
  <c r="AJ2400" i="2"/>
  <c r="AF2401" i="2"/>
  <c r="AK2401" i="2"/>
  <c r="AG2401" i="2"/>
  <c r="AH2401" i="2"/>
  <c r="AI2401" i="2"/>
  <c r="AJ2401" i="2"/>
  <c r="AF2402" i="2"/>
  <c r="AK2402" i="2" s="1"/>
  <c r="AG2402" i="2"/>
  <c r="AH2402" i="2"/>
  <c r="AI2402" i="2"/>
  <c r="AJ2402" i="2"/>
  <c r="AF2403" i="2"/>
  <c r="AK2403" i="2"/>
  <c r="AG2403" i="2"/>
  <c r="AH2403" i="2"/>
  <c r="AI2403" i="2"/>
  <c r="AJ2403" i="2"/>
  <c r="AF2404" i="2"/>
  <c r="AK2404" i="2"/>
  <c r="AG2404" i="2"/>
  <c r="AH2404" i="2"/>
  <c r="AI2404" i="2"/>
  <c r="AJ2404" i="2"/>
  <c r="AF2405" i="2"/>
  <c r="AK2405" i="2"/>
  <c r="AG2405" i="2"/>
  <c r="AH2405" i="2"/>
  <c r="AI2405" i="2"/>
  <c r="AJ2405" i="2"/>
  <c r="AF2406" i="2"/>
  <c r="AK2406" i="2"/>
  <c r="AG2406" i="2"/>
  <c r="AL2406" i="2" s="1"/>
  <c r="AH2406" i="2"/>
  <c r="AI2406" i="2"/>
  <c r="AJ2406" i="2"/>
  <c r="AF2407" i="2"/>
  <c r="AK2407" i="2"/>
  <c r="AG2407" i="2"/>
  <c r="AH2407" i="2"/>
  <c r="AI2407" i="2"/>
  <c r="AJ2407" i="2"/>
  <c r="AF2408" i="2"/>
  <c r="AK2408" i="2" s="1"/>
  <c r="AG2408" i="2"/>
  <c r="AH2408" i="2"/>
  <c r="AI2408" i="2"/>
  <c r="AJ2408" i="2"/>
  <c r="AF2409" i="2"/>
  <c r="AK2409" i="2"/>
  <c r="AG2409" i="2"/>
  <c r="AH2409" i="2"/>
  <c r="AI2409" i="2"/>
  <c r="AJ2409" i="2"/>
  <c r="AF2410" i="2"/>
  <c r="AK2410" i="2" s="1"/>
  <c r="AG2410" i="2"/>
  <c r="AH2410" i="2"/>
  <c r="AI2410" i="2"/>
  <c r="AJ2410" i="2"/>
  <c r="AF2411" i="2"/>
  <c r="AK2411" i="2"/>
  <c r="AG2411" i="2"/>
  <c r="AH2411" i="2"/>
  <c r="AI2411" i="2"/>
  <c r="AJ2411" i="2"/>
  <c r="AF2412" i="2"/>
  <c r="AK2412" i="2" s="1"/>
  <c r="AG2412" i="2"/>
  <c r="AH2412" i="2"/>
  <c r="AI2412" i="2"/>
  <c r="AJ2412" i="2"/>
  <c r="AF2413" i="2"/>
  <c r="AK2413" i="2"/>
  <c r="AG2413" i="2"/>
  <c r="AH2413" i="2"/>
  <c r="AI2413" i="2"/>
  <c r="AJ2413" i="2"/>
  <c r="AF2414" i="2"/>
  <c r="AK2414" i="2" s="1"/>
  <c r="AG2414" i="2"/>
  <c r="AH2414" i="2"/>
  <c r="AI2414" i="2"/>
  <c r="AJ2414" i="2"/>
  <c r="AF2415" i="2"/>
  <c r="AK2415" i="2"/>
  <c r="AG2415" i="2"/>
  <c r="AH2415" i="2"/>
  <c r="AI2415" i="2"/>
  <c r="AJ2415" i="2"/>
  <c r="AF2416" i="2"/>
  <c r="AK2416" i="2"/>
  <c r="AG2416" i="2"/>
  <c r="AL2416" i="2" s="1"/>
  <c r="AH2416" i="2"/>
  <c r="AI2416" i="2"/>
  <c r="AJ2416" i="2"/>
  <c r="AF2417" i="2"/>
  <c r="AK2417" i="2" s="1"/>
  <c r="AG2417" i="2"/>
  <c r="AH2417" i="2"/>
  <c r="AI2417" i="2"/>
  <c r="AJ2417" i="2"/>
  <c r="AF2418" i="2"/>
  <c r="AK2418" i="2"/>
  <c r="AG2418" i="2"/>
  <c r="AH2418" i="2"/>
  <c r="AI2418" i="2"/>
  <c r="AJ2418" i="2"/>
  <c r="AF2419" i="2"/>
  <c r="AK2419" i="2" s="1"/>
  <c r="AG2419" i="2"/>
  <c r="AH2419" i="2"/>
  <c r="AI2419" i="2"/>
  <c r="AJ2419" i="2"/>
  <c r="AF2420" i="2"/>
  <c r="AK2420" i="2"/>
  <c r="AG2420" i="2"/>
  <c r="AH2420" i="2"/>
  <c r="AI2420" i="2"/>
  <c r="AJ2420" i="2"/>
  <c r="AF2421" i="2"/>
  <c r="AK2421" i="2" s="1"/>
  <c r="AG2421" i="2"/>
  <c r="AH2421" i="2"/>
  <c r="AI2421" i="2"/>
  <c r="AJ2421" i="2"/>
  <c r="AF2422" i="2"/>
  <c r="AK2422" i="2"/>
  <c r="AG2422" i="2"/>
  <c r="AH2422" i="2"/>
  <c r="AI2422" i="2"/>
  <c r="AJ2422" i="2"/>
  <c r="AF2423" i="2"/>
  <c r="AK2423" i="2" s="1"/>
  <c r="AG2423" i="2"/>
  <c r="AH2423" i="2"/>
  <c r="AI2423" i="2"/>
  <c r="AJ2423" i="2"/>
  <c r="AF2424" i="2"/>
  <c r="AK2424" i="2"/>
  <c r="AG2424" i="2"/>
  <c r="AH2424" i="2"/>
  <c r="AI2424" i="2"/>
  <c r="AJ2424" i="2"/>
  <c r="AF2425" i="2"/>
  <c r="AK2425" i="2" s="1"/>
  <c r="AG2425" i="2"/>
  <c r="AH2425" i="2"/>
  <c r="AI2425" i="2"/>
  <c r="AJ2425" i="2"/>
  <c r="AF2426" i="2"/>
  <c r="AK2426" i="2"/>
  <c r="AG2426" i="2"/>
  <c r="AH2426" i="2"/>
  <c r="AI2426" i="2"/>
  <c r="AJ2426" i="2"/>
  <c r="AF2427" i="2"/>
  <c r="AK2427" i="2" s="1"/>
  <c r="AG2427" i="2"/>
  <c r="AH2427" i="2"/>
  <c r="AI2427" i="2"/>
  <c r="AJ2427" i="2"/>
  <c r="AF2428" i="2"/>
  <c r="AK2428" i="2"/>
  <c r="AG2428" i="2"/>
  <c r="AH2428" i="2"/>
  <c r="AI2428" i="2"/>
  <c r="AJ2428" i="2"/>
  <c r="AF2429" i="2"/>
  <c r="AK2429" i="2" s="1"/>
  <c r="AG2429" i="2"/>
  <c r="AH2429" i="2"/>
  <c r="AI2429" i="2"/>
  <c r="AJ2429" i="2"/>
  <c r="AF2430" i="2"/>
  <c r="AK2430" i="2"/>
  <c r="AG2430" i="2"/>
  <c r="AH2430" i="2"/>
  <c r="AI2430" i="2"/>
  <c r="AJ2430" i="2"/>
  <c r="AL2430" i="2"/>
  <c r="AF2431" i="2"/>
  <c r="AK2431" i="2"/>
  <c r="AG2431" i="2"/>
  <c r="AH2431" i="2"/>
  <c r="AI2431" i="2"/>
  <c r="AJ2431" i="2"/>
  <c r="AF2432" i="2"/>
  <c r="AK2432" i="2"/>
  <c r="AG2432" i="2"/>
  <c r="AL2432" i="2" s="1"/>
  <c r="AH2432" i="2"/>
  <c r="AI2432" i="2"/>
  <c r="AJ2432" i="2"/>
  <c r="AF2433" i="2"/>
  <c r="AK2433" i="2"/>
  <c r="AG2433" i="2"/>
  <c r="AH2433" i="2"/>
  <c r="AI2433" i="2"/>
  <c r="AJ2433" i="2"/>
  <c r="AF2434" i="2"/>
  <c r="AK2434" i="2" s="1"/>
  <c r="AG2434" i="2"/>
  <c r="AH2434" i="2"/>
  <c r="AI2434" i="2"/>
  <c r="AJ2434" i="2"/>
  <c r="AF2435" i="2"/>
  <c r="AK2435" i="2"/>
  <c r="AG2435" i="2"/>
  <c r="AH2435" i="2"/>
  <c r="AI2435" i="2"/>
  <c r="AJ2435" i="2"/>
  <c r="AF2436" i="2"/>
  <c r="AK2436" i="2" s="1"/>
  <c r="AG2436" i="2"/>
  <c r="AH2436" i="2"/>
  <c r="AI2436" i="2"/>
  <c r="AJ2436" i="2"/>
  <c r="AF2437" i="2"/>
  <c r="AK2437" i="2"/>
  <c r="AG2437" i="2"/>
  <c r="AH2437" i="2"/>
  <c r="AI2437" i="2"/>
  <c r="AJ2437" i="2"/>
  <c r="AF2438" i="2"/>
  <c r="AK2438" i="2" s="1"/>
  <c r="AG2438" i="2"/>
  <c r="AL2438" i="2" s="1"/>
  <c r="AH2438" i="2"/>
  <c r="AI2438" i="2"/>
  <c r="AJ2438" i="2"/>
  <c r="AF2439" i="2"/>
  <c r="AK2439" i="2"/>
  <c r="AG2439" i="2"/>
  <c r="AH2439" i="2"/>
  <c r="AI2439" i="2"/>
  <c r="AJ2439" i="2"/>
  <c r="AF2440" i="2"/>
  <c r="AK2440" i="2"/>
  <c r="AG2440" i="2"/>
  <c r="AH2440" i="2"/>
  <c r="AI2440" i="2"/>
  <c r="AJ2440" i="2"/>
  <c r="AF2441" i="2"/>
  <c r="AK2441" i="2"/>
  <c r="AG2441" i="2"/>
  <c r="AH2441" i="2"/>
  <c r="AI2441" i="2"/>
  <c r="AJ2441" i="2"/>
  <c r="AF2442" i="2"/>
  <c r="AK2442" i="2"/>
  <c r="AG2442" i="2"/>
  <c r="AH2442" i="2"/>
  <c r="AI2442" i="2"/>
  <c r="AJ2442" i="2"/>
  <c r="AF2443" i="2"/>
  <c r="AK2443" i="2"/>
  <c r="AG2443" i="2"/>
  <c r="AH2443" i="2"/>
  <c r="AI2443" i="2"/>
  <c r="AJ2443" i="2"/>
  <c r="AF2444" i="2"/>
  <c r="AK2444" i="2"/>
  <c r="AG2444" i="2"/>
  <c r="AH2444" i="2"/>
  <c r="AI2444" i="2"/>
  <c r="AJ2444" i="2"/>
  <c r="AF2445" i="2"/>
  <c r="AK2445" i="2"/>
  <c r="AG2445" i="2"/>
  <c r="AH2445" i="2"/>
  <c r="AI2445" i="2"/>
  <c r="AJ2445" i="2"/>
  <c r="AF2446" i="2"/>
  <c r="AK2446" i="2"/>
  <c r="AG2446" i="2"/>
  <c r="AH2446" i="2"/>
  <c r="AL2446" i="2" s="1"/>
  <c r="AI2446" i="2"/>
  <c r="AJ2446" i="2"/>
  <c r="AF2447" i="2"/>
  <c r="AK2447" i="2" s="1"/>
  <c r="AG2447" i="2"/>
  <c r="AH2447" i="2"/>
  <c r="AI2447" i="2"/>
  <c r="AJ2447" i="2"/>
  <c r="AF2448" i="2"/>
  <c r="AK2448" i="2"/>
  <c r="AG2448" i="2"/>
  <c r="AH2448" i="2"/>
  <c r="AI2448" i="2"/>
  <c r="AJ2448" i="2"/>
  <c r="AL2448" i="2" s="1"/>
  <c r="AF2449" i="2"/>
  <c r="AK2449" i="2"/>
  <c r="AG2449" i="2"/>
  <c r="AH2449" i="2"/>
  <c r="AI2449" i="2"/>
  <c r="AJ2449" i="2"/>
  <c r="AF2450" i="2"/>
  <c r="AK2450" i="2"/>
  <c r="AG2450" i="2"/>
  <c r="AH2450" i="2"/>
  <c r="AI2450" i="2"/>
  <c r="AJ2450" i="2"/>
  <c r="AF2451" i="2"/>
  <c r="AK2451" i="2"/>
  <c r="AG2451" i="2"/>
  <c r="AH2451" i="2"/>
  <c r="AI2451" i="2"/>
  <c r="AJ2451" i="2"/>
  <c r="AF2452" i="2"/>
  <c r="AK2452" i="2"/>
  <c r="AG2452" i="2"/>
  <c r="AH2452" i="2"/>
  <c r="AI2452" i="2"/>
  <c r="AJ2452" i="2"/>
  <c r="AF2453" i="2"/>
  <c r="AK2453" i="2"/>
  <c r="AG2453" i="2"/>
  <c r="AH2453" i="2"/>
  <c r="AI2453" i="2"/>
  <c r="AJ2453" i="2"/>
  <c r="AF2454" i="2"/>
  <c r="AK2454" i="2"/>
  <c r="AG2454" i="2"/>
  <c r="AL2454" i="2" s="1"/>
  <c r="AH2454" i="2"/>
  <c r="AI2454" i="2"/>
  <c r="AJ2454" i="2"/>
  <c r="AF2455" i="2"/>
  <c r="AK2455" i="2"/>
  <c r="AG2455" i="2"/>
  <c r="AH2455" i="2"/>
  <c r="AI2455" i="2"/>
  <c r="AJ2455" i="2"/>
  <c r="AF2456" i="2"/>
  <c r="AK2456" i="2" s="1"/>
  <c r="AG2456" i="2"/>
  <c r="AH2456" i="2"/>
  <c r="AI2456" i="2"/>
  <c r="AJ2456" i="2"/>
  <c r="AF2457" i="2"/>
  <c r="AK2457" i="2"/>
  <c r="AG2457" i="2"/>
  <c r="AH2457" i="2"/>
  <c r="AI2457" i="2"/>
  <c r="AJ2457" i="2"/>
  <c r="AF2458" i="2"/>
  <c r="AK2458" i="2" s="1"/>
  <c r="AG2458" i="2"/>
  <c r="AH2458" i="2"/>
  <c r="AI2458" i="2"/>
  <c r="AJ2458" i="2"/>
  <c r="AF2459" i="2"/>
  <c r="AK2459" i="2"/>
  <c r="AG2459" i="2"/>
  <c r="AH2459" i="2"/>
  <c r="AI2459" i="2"/>
  <c r="AJ2459" i="2"/>
  <c r="AF2460" i="2"/>
  <c r="AK2460" i="2" s="1"/>
  <c r="AG2460" i="2"/>
  <c r="AH2460" i="2"/>
  <c r="AI2460" i="2"/>
  <c r="AJ2460" i="2"/>
  <c r="AF2461" i="2"/>
  <c r="AK2461" i="2"/>
  <c r="AG2461" i="2"/>
  <c r="AH2461" i="2"/>
  <c r="AI2461" i="2"/>
  <c r="AJ2461" i="2"/>
  <c r="AF2462" i="2"/>
  <c r="AK2462" i="2" s="1"/>
  <c r="AG2462" i="2"/>
  <c r="AH2462" i="2"/>
  <c r="AL2462" i="2" s="1"/>
  <c r="AI2462" i="2"/>
  <c r="AJ2462" i="2"/>
  <c r="AF2463" i="2"/>
  <c r="AK2463" i="2"/>
  <c r="AG2463" i="2"/>
  <c r="AH2463" i="2"/>
  <c r="AI2463" i="2"/>
  <c r="AL2463" i="2" s="1"/>
  <c r="AJ2463" i="2"/>
  <c r="AF2464" i="2"/>
  <c r="AK2464" i="2"/>
  <c r="AG2464" i="2"/>
  <c r="AH2464" i="2"/>
  <c r="AI2464" i="2"/>
  <c r="AJ2464" i="2"/>
  <c r="AF2465" i="2"/>
  <c r="AK2465" i="2" s="1"/>
  <c r="AG2465" i="2"/>
  <c r="AH2465" i="2"/>
  <c r="AI2465" i="2"/>
  <c r="AJ2465" i="2"/>
  <c r="AF2466" i="2"/>
  <c r="AK2466" i="2"/>
  <c r="AG2466" i="2"/>
  <c r="AH2466" i="2"/>
  <c r="AI2466" i="2"/>
  <c r="AJ2466" i="2"/>
  <c r="AF2467" i="2"/>
  <c r="AK2467" i="2" s="1"/>
  <c r="AG2467" i="2"/>
  <c r="AH2467" i="2"/>
  <c r="AI2467" i="2"/>
  <c r="AJ2467" i="2"/>
  <c r="AF2468" i="2"/>
  <c r="AK2468" i="2"/>
  <c r="AG2468" i="2"/>
  <c r="AH2468" i="2"/>
  <c r="AI2468" i="2"/>
  <c r="AJ2468" i="2"/>
  <c r="AL2468" i="2"/>
  <c r="AF2469" i="2"/>
  <c r="AK2469" i="2"/>
  <c r="AG2469" i="2"/>
  <c r="AH2469" i="2"/>
  <c r="AI2469" i="2"/>
  <c r="AJ2469" i="2"/>
  <c r="AF2470" i="2"/>
  <c r="AK2470" i="2"/>
  <c r="AG2470" i="2"/>
  <c r="AH2470" i="2"/>
  <c r="AI2470" i="2"/>
  <c r="AJ2470" i="2"/>
  <c r="AF2471" i="2"/>
  <c r="AK2471" i="2"/>
  <c r="AG2471" i="2"/>
  <c r="AH2471" i="2"/>
  <c r="AI2471" i="2"/>
  <c r="AJ2471" i="2"/>
  <c r="AF2472" i="2"/>
  <c r="AK2472" i="2"/>
  <c r="AG2472" i="2"/>
  <c r="AH2472" i="2"/>
  <c r="AI2472" i="2"/>
  <c r="AJ2472" i="2"/>
  <c r="AF2473" i="2"/>
  <c r="AK2473" i="2"/>
  <c r="AG2473" i="2"/>
  <c r="AL2473" i="2"/>
  <c r="AH2473" i="2"/>
  <c r="AI2473" i="2"/>
  <c r="AJ2473" i="2"/>
  <c r="AF2474" i="2"/>
  <c r="AK2474" i="2" s="1"/>
  <c r="AG2474" i="2"/>
  <c r="AH2474" i="2"/>
  <c r="AI2474" i="2"/>
  <c r="AJ2474" i="2"/>
  <c r="AF2475" i="2"/>
  <c r="AK2475" i="2"/>
  <c r="AG2475" i="2"/>
  <c r="AH2475" i="2"/>
  <c r="AI2475" i="2"/>
  <c r="AJ2475" i="2"/>
  <c r="AF2476" i="2"/>
  <c r="AK2476" i="2" s="1"/>
  <c r="AG2476" i="2"/>
  <c r="AH2476" i="2"/>
  <c r="AI2476" i="2"/>
  <c r="AJ2476" i="2"/>
  <c r="AF2477" i="2"/>
  <c r="AK2477" i="2"/>
  <c r="AG2477" i="2"/>
  <c r="AH2477" i="2"/>
  <c r="AI2477" i="2"/>
  <c r="AJ2477" i="2"/>
  <c r="AF2478" i="2"/>
  <c r="AK2478" i="2"/>
  <c r="AG2478" i="2"/>
  <c r="AH2478" i="2"/>
  <c r="AI2478" i="2"/>
  <c r="AJ2478" i="2"/>
  <c r="AF2479" i="2"/>
  <c r="AK2479" i="2"/>
  <c r="AG2479" i="2"/>
  <c r="AL2479" i="2" s="1"/>
  <c r="AH2479" i="2"/>
  <c r="AI2479" i="2"/>
  <c r="AJ2479" i="2"/>
  <c r="AF2480" i="2"/>
  <c r="AK2480" i="2"/>
  <c r="AG2480" i="2"/>
  <c r="AH2480" i="2"/>
  <c r="AI2480" i="2"/>
  <c r="AJ2480" i="2"/>
  <c r="AF2481" i="2"/>
  <c r="AK2481" i="2" s="1"/>
  <c r="AG2481" i="2"/>
  <c r="AH2481" i="2"/>
  <c r="AI2481" i="2"/>
  <c r="AJ2481" i="2"/>
  <c r="AF2482" i="2"/>
  <c r="AK2482" i="2"/>
  <c r="AG2482" i="2"/>
  <c r="AH2482" i="2"/>
  <c r="AI2482" i="2"/>
  <c r="AJ2482" i="2"/>
  <c r="AL2482" i="2" s="1"/>
  <c r="AF2483" i="2"/>
  <c r="AK2483" i="2"/>
  <c r="AG2483" i="2"/>
  <c r="AH2483" i="2"/>
  <c r="AI2483" i="2"/>
  <c r="AJ2483" i="2"/>
  <c r="AF2484" i="2"/>
  <c r="AK2484" i="2"/>
  <c r="AG2484" i="2"/>
  <c r="AH2484" i="2"/>
  <c r="AI2484" i="2"/>
  <c r="AJ2484" i="2"/>
  <c r="AF2485" i="2"/>
  <c r="AK2485" i="2"/>
  <c r="AG2485" i="2"/>
  <c r="AH2485" i="2"/>
  <c r="AI2485" i="2"/>
  <c r="AJ2485" i="2"/>
  <c r="AF2486" i="2"/>
  <c r="AK2486" i="2"/>
  <c r="AG2486" i="2"/>
  <c r="AH2486" i="2"/>
  <c r="AI2486" i="2"/>
  <c r="AJ2486" i="2"/>
  <c r="AF2487" i="2"/>
  <c r="AK2487" i="2"/>
  <c r="AG2487" i="2"/>
  <c r="AH2487" i="2"/>
  <c r="AI2487" i="2"/>
  <c r="AJ2487" i="2"/>
  <c r="AF2488" i="2"/>
  <c r="AK2488" i="2"/>
  <c r="AG2488" i="2"/>
  <c r="AH2488" i="2"/>
  <c r="AI2488" i="2"/>
  <c r="AJ2488" i="2"/>
  <c r="AF2489" i="2"/>
  <c r="AK2489" i="2"/>
  <c r="AG2489" i="2"/>
  <c r="AH2489" i="2"/>
  <c r="AI2489" i="2"/>
  <c r="AJ2489" i="2"/>
  <c r="AF2490" i="2"/>
  <c r="AK2490" i="2"/>
  <c r="AG2490" i="2"/>
  <c r="AH2490" i="2"/>
  <c r="AI2490" i="2"/>
  <c r="AJ2490" i="2"/>
  <c r="AF2491" i="2"/>
  <c r="AK2491" i="2"/>
  <c r="AG2491" i="2"/>
  <c r="AH2491" i="2"/>
  <c r="AI2491" i="2"/>
  <c r="AJ2491" i="2"/>
  <c r="AF2492" i="2"/>
  <c r="AK2492" i="2"/>
  <c r="AG2492" i="2"/>
  <c r="AH2492" i="2"/>
  <c r="AI2492" i="2"/>
  <c r="AJ2492" i="2"/>
  <c r="AF2493" i="2"/>
  <c r="AK2493" i="2"/>
  <c r="AG2493" i="2"/>
  <c r="AH2493" i="2"/>
  <c r="AI2493" i="2"/>
  <c r="AJ2493" i="2"/>
  <c r="AF2494" i="2"/>
  <c r="AK2494" i="2"/>
  <c r="AG2494" i="2"/>
  <c r="AH2494" i="2"/>
  <c r="AI2494" i="2"/>
  <c r="AJ2494" i="2"/>
  <c r="AF2495" i="2"/>
  <c r="AK2495" i="2"/>
  <c r="AG2495" i="2"/>
  <c r="AH2495" i="2"/>
  <c r="AI2495" i="2"/>
  <c r="AJ2495" i="2"/>
  <c r="AF2496" i="2"/>
  <c r="AK2496" i="2"/>
  <c r="AG2496" i="2"/>
  <c r="AH2496" i="2"/>
  <c r="AI2496" i="2"/>
  <c r="AJ2496" i="2"/>
  <c r="AF2497" i="2"/>
  <c r="AK2497" i="2"/>
  <c r="AG2497" i="2"/>
  <c r="AH2497" i="2"/>
  <c r="AI2497" i="2"/>
  <c r="AJ2497" i="2"/>
  <c r="AF2498" i="2"/>
  <c r="AK2498" i="2"/>
  <c r="AG2498" i="2"/>
  <c r="AH2498" i="2"/>
  <c r="AI2498" i="2"/>
  <c r="AJ2498" i="2"/>
  <c r="AF2499" i="2"/>
  <c r="AK2499" i="2"/>
  <c r="AG2499" i="2"/>
  <c r="AH2499" i="2"/>
  <c r="AI2499" i="2"/>
  <c r="AJ2499" i="2"/>
  <c r="AF2500" i="2"/>
  <c r="AK2500" i="2"/>
  <c r="AG2500" i="2"/>
  <c r="AH2500" i="2"/>
  <c r="AI2500" i="2"/>
  <c r="AJ2500" i="2"/>
  <c r="AF2501" i="2"/>
  <c r="AK2501" i="2"/>
  <c r="AG2501" i="2"/>
  <c r="AH2501" i="2"/>
  <c r="AI2501" i="2"/>
  <c r="AJ2501" i="2"/>
  <c r="AF2502" i="2"/>
  <c r="AK2502" i="2"/>
  <c r="AG2502" i="2"/>
  <c r="AH2502" i="2"/>
  <c r="AI2502" i="2"/>
  <c r="AJ2502" i="2"/>
  <c r="AF2503" i="2"/>
  <c r="AK2503" i="2"/>
  <c r="AG2503" i="2"/>
  <c r="AH2503" i="2"/>
  <c r="AI2503" i="2"/>
  <c r="AJ2503" i="2"/>
  <c r="AF2504" i="2"/>
  <c r="AK2504" i="2"/>
  <c r="AG2504" i="2"/>
  <c r="AH2504" i="2"/>
  <c r="AI2504" i="2"/>
  <c r="AJ2504" i="2"/>
  <c r="AF2505" i="2"/>
  <c r="AK2505" i="2"/>
  <c r="AG2505" i="2"/>
  <c r="AH2505" i="2"/>
  <c r="AI2505" i="2"/>
  <c r="AJ2505" i="2"/>
  <c r="AF2506" i="2"/>
  <c r="AK2506" i="2"/>
  <c r="AG2506" i="2"/>
  <c r="AH2506" i="2"/>
  <c r="AI2506" i="2"/>
  <c r="AJ2506" i="2"/>
  <c r="AF2507" i="2"/>
  <c r="AK2507" i="2"/>
  <c r="AG2507" i="2"/>
  <c r="AH2507" i="2"/>
  <c r="AI2507" i="2"/>
  <c r="AJ2507" i="2"/>
  <c r="AF2508" i="2"/>
  <c r="AK2508" i="2"/>
  <c r="AG2508" i="2"/>
  <c r="AH2508" i="2"/>
  <c r="AI2508" i="2"/>
  <c r="AJ2508" i="2"/>
  <c r="AF2509" i="2"/>
  <c r="AK2509" i="2"/>
  <c r="AG2509" i="2"/>
  <c r="AH2509" i="2"/>
  <c r="AI2509" i="2"/>
  <c r="AJ2509" i="2"/>
  <c r="AF2510" i="2"/>
  <c r="AK2510" i="2"/>
  <c r="AG2510" i="2"/>
  <c r="AH2510" i="2"/>
  <c r="AI2510" i="2"/>
  <c r="AJ2510" i="2"/>
  <c r="AF2511" i="2"/>
  <c r="AK2511" i="2"/>
  <c r="AG2511" i="2"/>
  <c r="AH2511" i="2"/>
  <c r="AI2511" i="2"/>
  <c r="AJ2511" i="2"/>
  <c r="AF2512" i="2"/>
  <c r="AK2512" i="2"/>
  <c r="AG2512" i="2"/>
  <c r="AH2512" i="2"/>
  <c r="AI2512" i="2"/>
  <c r="AJ2512" i="2"/>
  <c r="AF2513" i="2"/>
  <c r="AK2513" i="2"/>
  <c r="AG2513" i="2"/>
  <c r="AH2513" i="2"/>
  <c r="AI2513" i="2"/>
  <c r="AJ2513" i="2"/>
  <c r="AF2514" i="2"/>
  <c r="AK2514" i="2"/>
  <c r="AG2514" i="2"/>
  <c r="AH2514" i="2"/>
  <c r="AI2514" i="2"/>
  <c r="AJ2514" i="2"/>
  <c r="AF2515" i="2"/>
  <c r="AK2515" i="2"/>
  <c r="AG2515" i="2"/>
  <c r="AH2515" i="2"/>
  <c r="AI2515" i="2"/>
  <c r="AJ2515" i="2"/>
  <c r="AF2516" i="2"/>
  <c r="AK2516" i="2"/>
  <c r="AG2516" i="2"/>
  <c r="AH2516" i="2"/>
  <c r="AI2516" i="2"/>
  <c r="AJ2516" i="2"/>
  <c r="AF2517" i="2"/>
  <c r="AK2517" i="2"/>
  <c r="AG2517" i="2"/>
  <c r="AH2517" i="2"/>
  <c r="AI2517" i="2"/>
  <c r="AJ2517" i="2"/>
  <c r="AF2518" i="2"/>
  <c r="AK2518" i="2"/>
  <c r="AG2518" i="2"/>
  <c r="AH2518" i="2"/>
  <c r="AI2518" i="2"/>
  <c r="AJ2518" i="2"/>
  <c r="AF2519" i="2"/>
  <c r="AK2519" i="2"/>
  <c r="AG2519" i="2"/>
  <c r="AH2519" i="2"/>
  <c r="AI2519" i="2"/>
  <c r="AJ2519" i="2"/>
  <c r="AF2520" i="2"/>
  <c r="AK2520" i="2"/>
  <c r="AG2520" i="2"/>
  <c r="AH2520" i="2"/>
  <c r="AI2520" i="2"/>
  <c r="AJ2520" i="2"/>
  <c r="AF2521" i="2"/>
  <c r="AG2521" i="2"/>
  <c r="AH2521" i="2"/>
  <c r="AI2521" i="2"/>
  <c r="AJ2521" i="2"/>
  <c r="AK2521" i="2"/>
  <c r="AF2522" i="2"/>
  <c r="AK2522" i="2"/>
  <c r="AG2522" i="2"/>
  <c r="AH2522" i="2"/>
  <c r="AL2522" i="2" s="1"/>
  <c r="AI2522" i="2"/>
  <c r="AJ2522" i="2"/>
  <c r="AF2523" i="2"/>
  <c r="AK2523" i="2"/>
  <c r="AG2523" i="2"/>
  <c r="AH2523" i="2"/>
  <c r="AI2523" i="2"/>
  <c r="AJ2523" i="2"/>
  <c r="AF2524" i="2"/>
  <c r="AK2524" i="2" s="1"/>
  <c r="AG2524" i="2"/>
  <c r="AH2524" i="2"/>
  <c r="AI2524" i="2"/>
  <c r="AJ2524" i="2"/>
  <c r="AF2525" i="2"/>
  <c r="AK2525" i="2"/>
  <c r="AG2525" i="2"/>
  <c r="AH2525" i="2"/>
  <c r="AI2525" i="2"/>
  <c r="AJ2525" i="2"/>
  <c r="AF2526" i="2"/>
  <c r="AK2526" i="2" s="1"/>
  <c r="AG2526" i="2"/>
  <c r="AH2526" i="2"/>
  <c r="AI2526" i="2"/>
  <c r="AJ2526" i="2"/>
  <c r="AF2527" i="2"/>
  <c r="AK2527" i="2"/>
  <c r="AG2527" i="2"/>
  <c r="AH2527" i="2"/>
  <c r="AI2527" i="2"/>
  <c r="AJ2527" i="2"/>
  <c r="AF2528" i="2"/>
  <c r="AK2528" i="2" s="1"/>
  <c r="AG2528" i="2"/>
  <c r="AH2528" i="2"/>
  <c r="AI2528" i="2"/>
  <c r="AJ2528" i="2"/>
  <c r="AF2529" i="2"/>
  <c r="AK2529" i="2"/>
  <c r="AG2529" i="2"/>
  <c r="AH2529" i="2"/>
  <c r="AI2529" i="2"/>
  <c r="AJ2529" i="2"/>
  <c r="AF2530" i="2"/>
  <c r="AK2530" i="2" s="1"/>
  <c r="AG2530" i="2"/>
  <c r="AL2530" i="2" s="1"/>
  <c r="AH2530" i="2"/>
  <c r="AI2530" i="2"/>
  <c r="AJ2530" i="2"/>
  <c r="AF2531" i="2"/>
  <c r="AK2531" i="2"/>
  <c r="AG2531" i="2"/>
  <c r="AH2531" i="2"/>
  <c r="AI2531" i="2"/>
  <c r="AJ2531" i="2"/>
  <c r="AF2532" i="2"/>
  <c r="AK2532" i="2"/>
  <c r="AG2532" i="2"/>
  <c r="AH2532" i="2"/>
  <c r="AI2532" i="2"/>
  <c r="AJ2532" i="2"/>
  <c r="AF2533" i="2"/>
  <c r="AK2533" i="2"/>
  <c r="AG2533" i="2"/>
  <c r="AH2533" i="2"/>
  <c r="AI2533" i="2"/>
  <c r="AJ2533" i="2"/>
  <c r="AF2534" i="2"/>
  <c r="AK2534" i="2"/>
  <c r="AG2534" i="2"/>
  <c r="AH2534" i="2"/>
  <c r="AI2534" i="2"/>
  <c r="AJ2534" i="2"/>
  <c r="AF2535" i="2"/>
  <c r="AK2535" i="2"/>
  <c r="AG2535" i="2"/>
  <c r="AH2535" i="2"/>
  <c r="AI2535" i="2"/>
  <c r="AJ2535" i="2"/>
  <c r="AF2536" i="2"/>
  <c r="AK2536" i="2"/>
  <c r="AG2536" i="2"/>
  <c r="AH2536" i="2"/>
  <c r="AI2536" i="2"/>
  <c r="AJ2536" i="2"/>
  <c r="AF2537" i="2"/>
  <c r="AK2537" i="2"/>
  <c r="AG2537" i="2"/>
  <c r="AH2537" i="2"/>
  <c r="AI2537" i="2"/>
  <c r="AJ2537" i="2"/>
  <c r="AF2538" i="2"/>
  <c r="AK2538" i="2"/>
  <c r="AG2538" i="2"/>
  <c r="AH2538" i="2"/>
  <c r="AI2538" i="2"/>
  <c r="AJ2538" i="2"/>
  <c r="AF2539" i="2"/>
  <c r="AK2539" i="2"/>
  <c r="AG2539" i="2"/>
  <c r="AH2539" i="2"/>
  <c r="AI2539" i="2"/>
  <c r="AJ2539" i="2"/>
  <c r="AF2540" i="2"/>
  <c r="AK2540" i="2"/>
  <c r="AG2540" i="2"/>
  <c r="AH2540" i="2"/>
  <c r="AI2540" i="2"/>
  <c r="AJ2540" i="2"/>
  <c r="AF2541" i="2"/>
  <c r="AK2541" i="2"/>
  <c r="AG2541" i="2"/>
  <c r="AH2541" i="2"/>
  <c r="AI2541" i="2"/>
  <c r="AJ2541" i="2"/>
  <c r="AF2542" i="2"/>
  <c r="AK2542" i="2"/>
  <c r="AG2542" i="2"/>
  <c r="AH2542" i="2"/>
  <c r="AL2542" i="2" s="1"/>
  <c r="AI2542" i="2"/>
  <c r="AJ2542" i="2"/>
  <c r="AF2543" i="2"/>
  <c r="AK2543" i="2" s="1"/>
  <c r="AG2543" i="2"/>
  <c r="AH2543" i="2"/>
  <c r="AI2543" i="2"/>
  <c r="AJ2543" i="2"/>
  <c r="AF2544" i="2"/>
  <c r="AK2544" i="2"/>
  <c r="AG2544" i="2"/>
  <c r="AH2544" i="2"/>
  <c r="AI2544" i="2"/>
  <c r="AJ2544" i="2"/>
  <c r="AL2544" i="2" s="1"/>
  <c r="AF2545" i="2"/>
  <c r="AK2545" i="2"/>
  <c r="AG2545" i="2"/>
  <c r="AL2545" i="2" s="1"/>
  <c r="AH2545" i="2"/>
  <c r="AI2545" i="2"/>
  <c r="AJ2545" i="2"/>
  <c r="AF2546" i="2"/>
  <c r="AK2546" i="2" s="1"/>
  <c r="AG2546" i="2"/>
  <c r="AH2546" i="2"/>
  <c r="AI2546" i="2"/>
  <c r="AJ2546" i="2"/>
  <c r="AF2547" i="2"/>
  <c r="AK2547" i="2"/>
  <c r="AG2547" i="2"/>
  <c r="AH2547" i="2"/>
  <c r="AI2547" i="2"/>
  <c r="AJ2547" i="2"/>
  <c r="AF2548" i="2"/>
  <c r="AK2548" i="2" s="1"/>
  <c r="AG2548" i="2"/>
  <c r="AH2548" i="2"/>
  <c r="AI2548" i="2"/>
  <c r="AJ2548" i="2"/>
  <c r="AF2549" i="2"/>
  <c r="AK2549" i="2"/>
  <c r="AG2549" i="2"/>
  <c r="AH2549" i="2"/>
  <c r="AI2549" i="2"/>
  <c r="AJ2549" i="2"/>
  <c r="AF2550" i="2"/>
  <c r="AK2550" i="2" s="1"/>
  <c r="AG2550" i="2"/>
  <c r="AH2550" i="2"/>
  <c r="AI2550" i="2"/>
  <c r="AJ2550" i="2"/>
  <c r="AF2551" i="2"/>
  <c r="AK2551" i="2"/>
  <c r="AG2551" i="2"/>
  <c r="AH2551" i="2"/>
  <c r="AI2551" i="2"/>
  <c r="AJ2551" i="2"/>
  <c r="AF2552" i="2"/>
  <c r="AK2552" i="2" s="1"/>
  <c r="AG2552" i="2"/>
  <c r="AH2552" i="2"/>
  <c r="AI2552" i="2"/>
  <c r="AJ2552" i="2"/>
  <c r="AF2553" i="2"/>
  <c r="AG2553" i="2"/>
  <c r="AH2553" i="2"/>
  <c r="AI2553" i="2"/>
  <c r="AJ2553" i="2"/>
  <c r="AK2553" i="2"/>
  <c r="AF2554" i="2"/>
  <c r="AK2554" i="2" s="1"/>
  <c r="AG2554" i="2"/>
  <c r="AH2554" i="2"/>
  <c r="AI2554" i="2"/>
  <c r="AJ2554" i="2"/>
  <c r="AF2555" i="2"/>
  <c r="AK2555" i="2"/>
  <c r="AG2555" i="2"/>
  <c r="AH2555" i="2"/>
  <c r="AI2555" i="2"/>
  <c r="AJ2555" i="2"/>
  <c r="AF2556" i="2"/>
  <c r="AK2556" i="2" s="1"/>
  <c r="AG2556" i="2"/>
  <c r="AH2556" i="2"/>
  <c r="AI2556" i="2"/>
  <c r="AJ2556" i="2"/>
  <c r="AF2557" i="2"/>
  <c r="AK2557" i="2"/>
  <c r="AG2557" i="2"/>
  <c r="AL2557" i="2" s="1"/>
  <c r="AH2557" i="2"/>
  <c r="AI2557" i="2"/>
  <c r="AJ2557" i="2"/>
  <c r="AF2558" i="2"/>
  <c r="AK2558" i="2"/>
  <c r="AG2558" i="2"/>
  <c r="AH2558" i="2"/>
  <c r="AI2558" i="2"/>
  <c r="AJ2558" i="2"/>
  <c r="AF2559" i="2"/>
  <c r="AK2559" i="2"/>
  <c r="AG2559" i="2"/>
  <c r="AH2559" i="2"/>
  <c r="AI2559" i="2"/>
  <c r="AJ2559" i="2"/>
  <c r="AF2560" i="2"/>
  <c r="AK2560" i="2"/>
  <c r="AG2560" i="2"/>
  <c r="AH2560" i="2"/>
  <c r="AI2560" i="2"/>
  <c r="AJ2560" i="2"/>
  <c r="AF2561" i="2"/>
  <c r="AK2561" i="2"/>
  <c r="AG2561" i="2"/>
  <c r="AH2561" i="2"/>
  <c r="AI2561" i="2"/>
  <c r="AJ2561" i="2"/>
  <c r="AF2562" i="2"/>
  <c r="AK2562" i="2"/>
  <c r="AG2562" i="2"/>
  <c r="AH2562" i="2"/>
  <c r="AI2562" i="2"/>
  <c r="AJ2562" i="2"/>
  <c r="AF2563" i="2"/>
  <c r="AK2563" i="2"/>
  <c r="AG2563" i="2"/>
  <c r="AH2563" i="2"/>
  <c r="AI2563" i="2"/>
  <c r="AJ2563" i="2"/>
  <c r="AF2564" i="2"/>
  <c r="AK2564" i="2"/>
  <c r="AG2564" i="2"/>
  <c r="AH2564" i="2"/>
  <c r="AI2564" i="2"/>
  <c r="AJ2564" i="2"/>
  <c r="AF2565" i="2"/>
  <c r="AK2565" i="2"/>
  <c r="AG2565" i="2"/>
  <c r="AH2565" i="2"/>
  <c r="AI2565" i="2"/>
  <c r="AJ2565" i="2"/>
  <c r="AF2566" i="2"/>
  <c r="AK2566" i="2"/>
  <c r="AG2566" i="2"/>
  <c r="AH2566" i="2"/>
  <c r="AI2566" i="2"/>
  <c r="AJ2566" i="2"/>
  <c r="AF2567" i="2"/>
  <c r="AK2567" i="2"/>
  <c r="AG2567" i="2"/>
  <c r="AH2567" i="2"/>
  <c r="AI2567" i="2"/>
  <c r="AJ2567" i="2"/>
  <c r="AF2568" i="2"/>
  <c r="AK2568" i="2"/>
  <c r="AG2568" i="2"/>
  <c r="AL2568" i="2" s="1"/>
  <c r="AH2568" i="2"/>
  <c r="AI2568" i="2"/>
  <c r="AJ2568" i="2"/>
  <c r="AF2569" i="2"/>
  <c r="AK2569" i="2" s="1"/>
  <c r="AG2569" i="2"/>
  <c r="AH2569" i="2"/>
  <c r="AI2569" i="2"/>
  <c r="AJ2569" i="2"/>
  <c r="AF2570" i="2"/>
  <c r="AK2570" i="2"/>
  <c r="AG2570" i="2"/>
  <c r="AH2570" i="2"/>
  <c r="AI2570" i="2"/>
  <c r="AJ2570" i="2"/>
  <c r="AF2571" i="2"/>
  <c r="AK2571" i="2" s="1"/>
  <c r="AG2571" i="2"/>
  <c r="AH2571" i="2"/>
  <c r="AI2571" i="2"/>
  <c r="AJ2571" i="2"/>
  <c r="AF2572" i="2"/>
  <c r="AK2572" i="2"/>
  <c r="AG2572" i="2"/>
  <c r="AH2572" i="2"/>
  <c r="AI2572" i="2"/>
  <c r="AJ2572" i="2"/>
  <c r="AF2573" i="2"/>
  <c r="AK2573" i="2"/>
  <c r="AG2573" i="2"/>
  <c r="AH2573" i="2"/>
  <c r="AI2573" i="2"/>
  <c r="AJ2573" i="2"/>
  <c r="AF2574" i="2"/>
  <c r="AK2574" i="2"/>
  <c r="AG2574" i="2"/>
  <c r="AH2574" i="2"/>
  <c r="AI2574" i="2"/>
  <c r="AJ2574" i="2"/>
  <c r="AF2575" i="2"/>
  <c r="AK2575" i="2"/>
  <c r="AG2575" i="2"/>
  <c r="AH2575" i="2"/>
  <c r="AI2575" i="2"/>
  <c r="AJ2575" i="2"/>
  <c r="AF2576" i="2"/>
  <c r="AK2576" i="2"/>
  <c r="AG2576" i="2"/>
  <c r="AH2576" i="2"/>
  <c r="AI2576" i="2"/>
  <c r="AJ2576" i="2"/>
  <c r="AF2577" i="2"/>
  <c r="AK2577" i="2"/>
  <c r="AG2577" i="2"/>
  <c r="AH2577" i="2"/>
  <c r="AI2577" i="2"/>
  <c r="AJ2577" i="2"/>
  <c r="AF2578" i="2"/>
  <c r="AK2578" i="2"/>
  <c r="AG2578" i="2"/>
  <c r="AH2578" i="2"/>
  <c r="AI2578" i="2"/>
  <c r="AJ2578" i="2"/>
  <c r="AF2579" i="2"/>
  <c r="AK2579" i="2"/>
  <c r="AG2579" i="2"/>
  <c r="AH2579" i="2"/>
  <c r="AI2579" i="2"/>
  <c r="AJ2579" i="2"/>
  <c r="AF2580" i="2"/>
  <c r="AK2580" i="2"/>
  <c r="AG2580" i="2"/>
  <c r="AH2580" i="2"/>
  <c r="AI2580" i="2"/>
  <c r="AJ2580" i="2"/>
  <c r="AF2581" i="2"/>
  <c r="AK2581" i="2"/>
  <c r="AG2581" i="2"/>
  <c r="AH2581" i="2"/>
  <c r="AI2581" i="2"/>
  <c r="AJ2581" i="2"/>
  <c r="AF2582" i="2"/>
  <c r="AK2582" i="2"/>
  <c r="AG2582" i="2"/>
  <c r="AH2582" i="2"/>
  <c r="AI2582" i="2"/>
  <c r="AJ2582" i="2"/>
  <c r="AF2583" i="2"/>
  <c r="AK2583" i="2"/>
  <c r="AG2583" i="2"/>
  <c r="AH2583" i="2"/>
  <c r="AI2583" i="2"/>
  <c r="AJ2583" i="2"/>
  <c r="AF2584" i="2"/>
  <c r="AK2584" i="2"/>
  <c r="AG2584" i="2"/>
  <c r="AH2584" i="2"/>
  <c r="AI2584" i="2"/>
  <c r="AL2584" i="2"/>
  <c r="AJ2584" i="2"/>
  <c r="AF2585" i="2"/>
  <c r="AK2585" i="2"/>
  <c r="AG2585" i="2"/>
  <c r="AH2585" i="2"/>
  <c r="AI2585" i="2"/>
  <c r="AJ2585" i="2"/>
  <c r="AF2586" i="2"/>
  <c r="AK2586" i="2" s="1"/>
  <c r="AG2586" i="2"/>
  <c r="AH2586" i="2"/>
  <c r="AI2586" i="2"/>
  <c r="AJ2586" i="2"/>
  <c r="AF2587" i="2"/>
  <c r="AK2587" i="2"/>
  <c r="AG2587" i="2"/>
  <c r="AH2587" i="2"/>
  <c r="AI2587" i="2"/>
  <c r="AJ2587" i="2"/>
  <c r="AF2588" i="2"/>
  <c r="AK2588" i="2" s="1"/>
  <c r="AG2588" i="2"/>
  <c r="AH2588" i="2"/>
  <c r="AI2588" i="2"/>
  <c r="AJ2588" i="2"/>
  <c r="AF2589" i="2"/>
  <c r="AK2589" i="2"/>
  <c r="AG2589" i="2"/>
  <c r="AH2589" i="2"/>
  <c r="AI2589" i="2"/>
  <c r="AJ2589" i="2"/>
  <c r="AF2590" i="2"/>
  <c r="AK2590" i="2" s="1"/>
  <c r="AG2590" i="2"/>
  <c r="AH2590" i="2"/>
  <c r="AI2590" i="2"/>
  <c r="AJ2590" i="2"/>
  <c r="AF2591" i="2"/>
  <c r="AK2591" i="2"/>
  <c r="AG2591" i="2"/>
  <c r="AH2591" i="2"/>
  <c r="AI2591" i="2"/>
  <c r="AJ2591" i="2"/>
  <c r="AF2592" i="2"/>
  <c r="AK2592" i="2" s="1"/>
  <c r="AG2592" i="2"/>
  <c r="AH2592" i="2"/>
  <c r="AI2592" i="2"/>
  <c r="AJ2592" i="2"/>
  <c r="AF2593" i="2"/>
  <c r="AK2593" i="2"/>
  <c r="AG2593" i="2"/>
  <c r="AH2593" i="2"/>
  <c r="AI2593" i="2"/>
  <c r="AJ2593" i="2"/>
  <c r="AF2594" i="2"/>
  <c r="AK2594" i="2" s="1"/>
  <c r="AG2594" i="2"/>
  <c r="AH2594" i="2"/>
  <c r="AI2594" i="2"/>
  <c r="AJ2594" i="2"/>
  <c r="AF2595" i="2"/>
  <c r="AK2595" i="2"/>
  <c r="AG2595" i="2"/>
  <c r="AH2595" i="2"/>
  <c r="AI2595" i="2"/>
  <c r="AJ2595" i="2"/>
  <c r="AF2596" i="2"/>
  <c r="AK2596" i="2" s="1"/>
  <c r="AG2596" i="2"/>
  <c r="AH2596" i="2"/>
  <c r="AI2596" i="2"/>
  <c r="AJ2596" i="2"/>
  <c r="AF2597" i="2"/>
  <c r="AK2597" i="2"/>
  <c r="AG2597" i="2"/>
  <c r="AH2597" i="2"/>
  <c r="AI2597" i="2"/>
  <c r="AJ2597" i="2"/>
  <c r="AF2598" i="2"/>
  <c r="AK2598" i="2" s="1"/>
  <c r="AG2598" i="2"/>
  <c r="AH2598" i="2"/>
  <c r="AI2598" i="2"/>
  <c r="AJ2598" i="2"/>
  <c r="AF2599" i="2"/>
  <c r="AK2599" i="2"/>
  <c r="AG2599" i="2"/>
  <c r="AH2599" i="2"/>
  <c r="AI2599" i="2"/>
  <c r="AJ2599" i="2"/>
  <c r="AF2600" i="2"/>
  <c r="AK2600" i="2" s="1"/>
  <c r="AG2600" i="2"/>
  <c r="AH2600" i="2"/>
  <c r="AI2600" i="2"/>
  <c r="AJ2600" i="2"/>
  <c r="AF2601" i="2"/>
  <c r="AK2601" i="2"/>
  <c r="AG2601" i="2"/>
  <c r="AH2601" i="2"/>
  <c r="AI2601" i="2"/>
  <c r="AJ2601" i="2"/>
  <c r="AF2602" i="2"/>
  <c r="AK2602" i="2" s="1"/>
  <c r="AG2602" i="2"/>
  <c r="AH2602" i="2"/>
  <c r="AI2602" i="2"/>
  <c r="AJ2602" i="2"/>
  <c r="AF2603" i="2"/>
  <c r="AK2603" i="2"/>
  <c r="AG2603" i="2"/>
  <c r="AH2603" i="2"/>
  <c r="AI2603" i="2"/>
  <c r="AJ2603" i="2"/>
  <c r="AF2604" i="2"/>
  <c r="AK2604" i="2" s="1"/>
  <c r="AG2604" i="2"/>
  <c r="AH2604" i="2"/>
  <c r="AI2604" i="2"/>
  <c r="AJ2604" i="2"/>
  <c r="AF2605" i="2"/>
  <c r="AK2605" i="2"/>
  <c r="AG2605" i="2"/>
  <c r="AL2605" i="2" s="1"/>
  <c r="AH2605" i="2"/>
  <c r="AI2605" i="2"/>
  <c r="AJ2605" i="2"/>
  <c r="AF2606" i="2"/>
  <c r="AK2606" i="2"/>
  <c r="AG2606" i="2"/>
  <c r="AH2606" i="2"/>
  <c r="AL2606" i="2" s="1"/>
  <c r="AI2606" i="2"/>
  <c r="AJ2606" i="2"/>
  <c r="AF2607" i="2"/>
  <c r="AK2607" i="2" s="1"/>
  <c r="AG2607" i="2"/>
  <c r="AH2607" i="2"/>
  <c r="AI2607" i="2"/>
  <c r="AJ2607" i="2"/>
  <c r="AF2608" i="2"/>
  <c r="AK2608" i="2"/>
  <c r="AG2608" i="2"/>
  <c r="AH2608" i="2"/>
  <c r="AI2608" i="2"/>
  <c r="AJ2608" i="2"/>
  <c r="AL2608" i="2" s="1"/>
  <c r="AF2609" i="2"/>
  <c r="AK2609" i="2"/>
  <c r="AG2609" i="2"/>
  <c r="AH2609" i="2"/>
  <c r="AI2609" i="2"/>
  <c r="AJ2609" i="2"/>
  <c r="AF2610" i="2"/>
  <c r="AK2610" i="2"/>
  <c r="AG2610" i="2"/>
  <c r="AH2610" i="2"/>
  <c r="AI2610" i="2"/>
  <c r="AJ2610" i="2"/>
  <c r="AF2611" i="2"/>
  <c r="AK2611" i="2"/>
  <c r="AG2611" i="2"/>
  <c r="AH2611" i="2"/>
  <c r="AI2611" i="2"/>
  <c r="AJ2611" i="2"/>
  <c r="AF2612" i="2"/>
  <c r="AK2612" i="2"/>
  <c r="AG2612" i="2"/>
  <c r="AH2612" i="2"/>
  <c r="AI2612" i="2"/>
  <c r="AJ2612" i="2"/>
  <c r="AF2613" i="2"/>
  <c r="AK2613" i="2"/>
  <c r="AG2613" i="2"/>
  <c r="AH2613" i="2"/>
  <c r="AI2613" i="2"/>
  <c r="AJ2613" i="2"/>
  <c r="AF2614" i="2"/>
  <c r="AK2614" i="2"/>
  <c r="AG2614" i="2"/>
  <c r="AH2614" i="2"/>
  <c r="AI2614" i="2"/>
  <c r="AJ2614" i="2"/>
  <c r="AF2615" i="2"/>
  <c r="AK2615" i="2"/>
  <c r="AG2615" i="2"/>
  <c r="AH2615" i="2"/>
  <c r="AI2615" i="2"/>
  <c r="AJ2615" i="2"/>
  <c r="AF2616" i="2"/>
  <c r="AK2616" i="2"/>
  <c r="AG2616" i="2"/>
  <c r="AH2616" i="2"/>
  <c r="AI2616" i="2"/>
  <c r="AJ2616" i="2"/>
  <c r="AF2617" i="2"/>
  <c r="AK2617" i="2"/>
  <c r="AG2617" i="2"/>
  <c r="AH2617" i="2"/>
  <c r="AI2617" i="2"/>
  <c r="AJ2617" i="2"/>
  <c r="AF2618" i="2"/>
  <c r="AK2618" i="2"/>
  <c r="AG2618" i="2"/>
  <c r="AH2618" i="2"/>
  <c r="AI2618" i="2"/>
  <c r="AJ2618" i="2"/>
  <c r="AF2619" i="2"/>
  <c r="AK2619" i="2"/>
  <c r="AG2619" i="2"/>
  <c r="AH2619" i="2"/>
  <c r="AI2619" i="2"/>
  <c r="AJ2619" i="2"/>
  <c r="AF2620" i="2"/>
  <c r="AK2620" i="2"/>
  <c r="AG2620" i="2"/>
  <c r="AH2620" i="2"/>
  <c r="AI2620" i="2"/>
  <c r="AJ2620" i="2"/>
  <c r="AF2621" i="2"/>
  <c r="AK2621" i="2"/>
  <c r="AG2621" i="2"/>
  <c r="AH2621" i="2"/>
  <c r="AI2621" i="2"/>
  <c r="AJ2621" i="2"/>
  <c r="AF2622" i="2"/>
  <c r="AK2622" i="2"/>
  <c r="AG2622" i="2"/>
  <c r="AH2622" i="2"/>
  <c r="AL2622" i="2" s="1"/>
  <c r="AI2622" i="2"/>
  <c r="AJ2622" i="2"/>
  <c r="AF2623" i="2"/>
  <c r="AK2623" i="2"/>
  <c r="AG2623" i="2"/>
  <c r="AH2623" i="2"/>
  <c r="AI2623" i="2"/>
  <c r="AJ2623" i="2"/>
  <c r="AF2624" i="2"/>
  <c r="AK2624" i="2" s="1"/>
  <c r="AG2624" i="2"/>
  <c r="AL2624" i="2" s="1"/>
  <c r="AH2624" i="2"/>
  <c r="AI2624" i="2"/>
  <c r="AJ2624" i="2"/>
  <c r="AF2625" i="2"/>
  <c r="AK2625" i="2"/>
  <c r="AG2625" i="2"/>
  <c r="AH2625" i="2"/>
  <c r="AI2625" i="2"/>
  <c r="AJ2625" i="2"/>
  <c r="AF2626" i="2"/>
  <c r="AK2626" i="2"/>
  <c r="AG2626" i="2"/>
  <c r="AH2626" i="2"/>
  <c r="AI2626" i="2"/>
  <c r="AJ2626" i="2"/>
  <c r="AF2627" i="2"/>
  <c r="AK2627" i="2"/>
  <c r="AG2627" i="2"/>
  <c r="AH2627" i="2"/>
  <c r="AI2627" i="2"/>
  <c r="AJ2627" i="2"/>
  <c r="AF2628" i="2"/>
  <c r="AK2628" i="2"/>
  <c r="AG2628" i="2"/>
  <c r="AH2628" i="2"/>
  <c r="AI2628" i="2"/>
  <c r="AJ2628" i="2"/>
  <c r="AF2629" i="2"/>
  <c r="AK2629" i="2"/>
  <c r="AG2629" i="2"/>
  <c r="AH2629" i="2"/>
  <c r="AI2629" i="2"/>
  <c r="AJ2629" i="2"/>
  <c r="AF2630" i="2"/>
  <c r="AK2630" i="2"/>
  <c r="AG2630" i="2"/>
  <c r="AL2630" i="2" s="1"/>
  <c r="AH2630" i="2"/>
  <c r="AI2630" i="2"/>
  <c r="AJ2630" i="2"/>
  <c r="AF2631" i="2"/>
  <c r="AK2631" i="2" s="1"/>
  <c r="AG2631" i="2"/>
  <c r="AH2631" i="2"/>
  <c r="AI2631" i="2"/>
  <c r="AJ2631" i="2"/>
  <c r="AF2632" i="2"/>
  <c r="AK2632" i="2"/>
  <c r="AG2632" i="2"/>
  <c r="AH2632" i="2"/>
  <c r="AI2632" i="2"/>
  <c r="AJ2632" i="2"/>
  <c r="AF2633" i="2"/>
  <c r="AK2633" i="2" s="1"/>
  <c r="AG2633" i="2"/>
  <c r="AH2633" i="2"/>
  <c r="AI2633" i="2"/>
  <c r="AJ2633" i="2"/>
  <c r="AF2634" i="2"/>
  <c r="AG2634" i="2"/>
  <c r="AH2634" i="2"/>
  <c r="AI2634" i="2"/>
  <c r="AJ2634" i="2"/>
  <c r="AK2634" i="2"/>
  <c r="AF2635" i="2"/>
  <c r="AK2635" i="2" s="1"/>
  <c r="AG2635" i="2"/>
  <c r="AH2635" i="2"/>
  <c r="AI2635" i="2"/>
  <c r="AJ2635" i="2"/>
  <c r="AF2636" i="2"/>
  <c r="AK2636" i="2"/>
  <c r="AG2636" i="2"/>
  <c r="AH2636" i="2"/>
  <c r="AI2636" i="2"/>
  <c r="AJ2636" i="2"/>
  <c r="AF2637" i="2"/>
  <c r="AK2637" i="2" s="1"/>
  <c r="AG2637" i="2"/>
  <c r="AL2637" i="2" s="1"/>
  <c r="AH2637" i="2"/>
  <c r="AI2637" i="2"/>
  <c r="AJ2637" i="2"/>
  <c r="AF2638" i="2"/>
  <c r="AK2638" i="2"/>
  <c r="AG2638" i="2"/>
  <c r="AH2638" i="2"/>
  <c r="AI2638" i="2"/>
  <c r="AJ2638" i="2"/>
  <c r="AF2639" i="2"/>
  <c r="AK2639" i="2"/>
  <c r="AG2639" i="2"/>
  <c r="AH2639" i="2"/>
  <c r="AI2639" i="2"/>
  <c r="AJ2639" i="2"/>
  <c r="AF2640" i="2"/>
  <c r="AK2640" i="2"/>
  <c r="AG2640" i="2"/>
  <c r="AH2640" i="2"/>
  <c r="AI2640" i="2"/>
  <c r="AJ2640" i="2"/>
  <c r="AF2641" i="2"/>
  <c r="AK2641" i="2"/>
  <c r="AG2641" i="2"/>
  <c r="AL2641" i="2" s="1"/>
  <c r="AH2641" i="2"/>
  <c r="AI2641" i="2"/>
  <c r="AJ2641" i="2"/>
  <c r="AF2642" i="2"/>
  <c r="AK2642" i="2" s="1"/>
  <c r="AG2642" i="2"/>
  <c r="AH2642" i="2"/>
  <c r="AI2642" i="2"/>
  <c r="AJ2642" i="2"/>
  <c r="AF2643" i="2"/>
  <c r="AK2643" i="2"/>
  <c r="AG2643" i="2"/>
  <c r="AH2643" i="2"/>
  <c r="AI2643" i="2"/>
  <c r="AJ2643" i="2"/>
  <c r="AF2644" i="2"/>
  <c r="AK2644" i="2" s="1"/>
  <c r="AG2644" i="2"/>
  <c r="AH2644" i="2"/>
  <c r="AI2644" i="2"/>
  <c r="AJ2644" i="2"/>
  <c r="AF2645" i="2"/>
  <c r="AK2645" i="2"/>
  <c r="AG2645" i="2"/>
  <c r="AH2645" i="2"/>
  <c r="AI2645" i="2"/>
  <c r="AJ2645" i="2"/>
  <c r="AF2646" i="2"/>
  <c r="AK2646" i="2" s="1"/>
  <c r="AG2646" i="2"/>
  <c r="AH2646" i="2"/>
  <c r="AI2646" i="2"/>
  <c r="AJ2646" i="2"/>
  <c r="AF2647" i="2"/>
  <c r="AK2647" i="2"/>
  <c r="AG2647" i="2"/>
  <c r="AH2647" i="2"/>
  <c r="AI2647" i="2"/>
  <c r="AJ2647" i="2"/>
  <c r="AF2648" i="2"/>
  <c r="AK2648" i="2" s="1"/>
  <c r="AG2648" i="2"/>
  <c r="AH2648" i="2"/>
  <c r="AI2648" i="2"/>
  <c r="AJ2648" i="2"/>
  <c r="AF2649" i="2"/>
  <c r="AK2649" i="2"/>
  <c r="AG2649" i="2"/>
  <c r="AH2649" i="2"/>
  <c r="AI2649" i="2"/>
  <c r="AJ2649" i="2"/>
  <c r="AF2650" i="2"/>
  <c r="AK2650" i="2" s="1"/>
  <c r="AG2650" i="2"/>
  <c r="AH2650" i="2"/>
  <c r="AI2650" i="2"/>
  <c r="AJ2650" i="2"/>
  <c r="AF2651" i="2"/>
  <c r="AK2651" i="2"/>
  <c r="AG2651" i="2"/>
  <c r="AH2651" i="2"/>
  <c r="AI2651" i="2"/>
  <c r="AJ2651" i="2"/>
  <c r="AF2652" i="2"/>
  <c r="AK2652" i="2" s="1"/>
  <c r="AG2652" i="2"/>
  <c r="AH2652" i="2"/>
  <c r="AI2652" i="2"/>
  <c r="AJ2652" i="2"/>
  <c r="AF2653" i="2"/>
  <c r="AK2653" i="2"/>
  <c r="AG2653" i="2"/>
  <c r="AH2653" i="2"/>
  <c r="AI2653" i="2"/>
  <c r="AJ2653" i="2"/>
  <c r="AL2653" i="2" s="1"/>
  <c r="AF2654" i="2"/>
  <c r="AK2654" i="2"/>
  <c r="AG2654" i="2"/>
  <c r="AH2654" i="2"/>
  <c r="AI2654" i="2"/>
  <c r="AJ2654" i="2"/>
  <c r="AF2655" i="2"/>
  <c r="AK2655" i="2"/>
  <c r="AG2655" i="2"/>
  <c r="AH2655" i="2"/>
  <c r="AI2655" i="2"/>
  <c r="AJ2655" i="2"/>
  <c r="AF2656" i="2"/>
  <c r="AK2656" i="2"/>
  <c r="AG2656" i="2"/>
  <c r="AH2656" i="2"/>
  <c r="AI2656" i="2"/>
  <c r="AJ2656" i="2"/>
  <c r="AF2657" i="2"/>
  <c r="AK2657" i="2"/>
  <c r="AG2657" i="2"/>
  <c r="AH2657" i="2"/>
  <c r="AI2657" i="2"/>
  <c r="AJ2657" i="2"/>
  <c r="AF2658" i="2"/>
  <c r="AK2658" i="2"/>
  <c r="AG2658" i="2"/>
  <c r="AH2658" i="2"/>
  <c r="AI2658" i="2"/>
  <c r="AJ2658" i="2"/>
  <c r="AF2659" i="2"/>
  <c r="AK2659" i="2"/>
  <c r="AG2659" i="2"/>
  <c r="AH2659" i="2"/>
  <c r="AI2659" i="2"/>
  <c r="AJ2659" i="2"/>
  <c r="AF2660" i="2"/>
  <c r="AK2660" i="2"/>
  <c r="AG2660" i="2"/>
  <c r="AH2660" i="2"/>
  <c r="AI2660" i="2"/>
  <c r="AJ2660" i="2"/>
  <c r="AF2661" i="2"/>
  <c r="AK2661" i="2"/>
  <c r="AG2661" i="2"/>
  <c r="AH2661" i="2"/>
  <c r="AI2661" i="2"/>
  <c r="AJ2661" i="2"/>
  <c r="AF2662" i="2"/>
  <c r="AK2662" i="2"/>
  <c r="AG2662" i="2"/>
  <c r="AH2662" i="2"/>
  <c r="AI2662" i="2"/>
  <c r="AJ2662" i="2"/>
  <c r="AF2663" i="2"/>
  <c r="AK2663" i="2"/>
  <c r="AG2663" i="2"/>
  <c r="AH2663" i="2"/>
  <c r="AI2663" i="2"/>
  <c r="AL2663" i="2" s="1"/>
  <c r="AJ2663" i="2"/>
  <c r="AF2664" i="2"/>
  <c r="AK2664" i="2"/>
  <c r="AG2664" i="2"/>
  <c r="AH2664" i="2"/>
  <c r="AI2664" i="2"/>
  <c r="AJ2664" i="2"/>
  <c r="AF2665" i="2"/>
  <c r="AK2665" i="2" s="1"/>
  <c r="AG2665" i="2"/>
  <c r="AH2665" i="2"/>
  <c r="AI2665" i="2"/>
  <c r="AJ2665" i="2"/>
  <c r="AF2666" i="2"/>
  <c r="AK2666" i="2"/>
  <c r="AG2666" i="2"/>
  <c r="AH2666" i="2"/>
  <c r="AI2666" i="2"/>
  <c r="AJ2666" i="2"/>
  <c r="AF2667" i="2"/>
  <c r="AK2667" i="2" s="1"/>
  <c r="AG2667" i="2"/>
  <c r="AH2667" i="2"/>
  <c r="AI2667" i="2"/>
  <c r="AJ2667" i="2"/>
  <c r="AF2668" i="2"/>
  <c r="AK2668" i="2"/>
  <c r="AG2668" i="2"/>
  <c r="AH2668" i="2"/>
  <c r="AI2668" i="2"/>
  <c r="AJ2668" i="2"/>
  <c r="AF2669" i="2"/>
  <c r="AK2669" i="2" s="1"/>
  <c r="AG2669" i="2"/>
  <c r="AH2669" i="2"/>
  <c r="AI2669" i="2"/>
  <c r="AJ2669" i="2"/>
  <c r="AF2670" i="2"/>
  <c r="AK2670" i="2"/>
  <c r="AG2670" i="2"/>
  <c r="AH2670" i="2"/>
  <c r="AI2670" i="2"/>
  <c r="AJ2670" i="2"/>
  <c r="AF2671" i="2"/>
  <c r="AK2671" i="2" s="1"/>
  <c r="AG2671" i="2"/>
  <c r="AH2671" i="2"/>
  <c r="AI2671" i="2"/>
  <c r="AJ2671" i="2"/>
  <c r="AF2672" i="2"/>
  <c r="AK2672" i="2"/>
  <c r="AG2672" i="2"/>
  <c r="AH2672" i="2"/>
  <c r="AI2672" i="2"/>
  <c r="AJ2672" i="2"/>
  <c r="AF2673" i="2"/>
  <c r="AK2673" i="2" s="1"/>
  <c r="AG2673" i="2"/>
  <c r="AH2673" i="2"/>
  <c r="AL2673" i="2" s="1"/>
  <c r="AI2673" i="2"/>
  <c r="AJ2673" i="2"/>
  <c r="AF2674" i="2"/>
  <c r="AK2674" i="2"/>
  <c r="AG2674" i="2"/>
  <c r="AH2674" i="2"/>
  <c r="AI2674" i="2"/>
  <c r="AL2674" i="2"/>
  <c r="AJ2674" i="2"/>
  <c r="AF2675" i="2"/>
  <c r="AK2675" i="2"/>
  <c r="AG2675" i="2"/>
  <c r="AH2675" i="2"/>
  <c r="AI2675" i="2"/>
  <c r="AJ2675" i="2"/>
  <c r="AF2676" i="2"/>
  <c r="AK2676" i="2" s="1"/>
  <c r="AG2676" i="2"/>
  <c r="AH2676" i="2"/>
  <c r="AI2676" i="2"/>
  <c r="AJ2676" i="2"/>
  <c r="AF2677" i="2"/>
  <c r="AK2677" i="2"/>
  <c r="AG2677" i="2"/>
  <c r="AH2677" i="2"/>
  <c r="AI2677" i="2"/>
  <c r="AJ2677" i="2"/>
  <c r="AF2678" i="2"/>
  <c r="AK2678" i="2" s="1"/>
  <c r="AG2678" i="2"/>
  <c r="AH2678" i="2"/>
  <c r="AI2678" i="2"/>
  <c r="AJ2678" i="2"/>
  <c r="AF2679" i="2"/>
  <c r="AK2679" i="2"/>
  <c r="AG2679" i="2"/>
  <c r="AH2679" i="2"/>
  <c r="AI2679" i="2"/>
  <c r="AJ2679" i="2"/>
  <c r="AL2679" i="2" s="1"/>
  <c r="AF2680" i="2"/>
  <c r="AK2680" i="2"/>
  <c r="AG2680" i="2"/>
  <c r="AH2680" i="2"/>
  <c r="AI2680" i="2"/>
  <c r="AJ2680" i="2"/>
  <c r="AF2681" i="2"/>
  <c r="AK2681" i="2"/>
  <c r="AG2681" i="2"/>
  <c r="AH2681" i="2"/>
  <c r="AI2681" i="2"/>
  <c r="AJ2681" i="2"/>
  <c r="AF2682" i="2"/>
  <c r="AK2682" i="2"/>
  <c r="AG2682" i="2"/>
  <c r="AH2682" i="2"/>
  <c r="AI2682" i="2"/>
  <c r="AJ2682" i="2"/>
  <c r="AF2683" i="2"/>
  <c r="AK2683" i="2"/>
  <c r="AG2683" i="2"/>
  <c r="AH2683" i="2"/>
  <c r="AI2683" i="2"/>
  <c r="AJ2683" i="2"/>
  <c r="AF2684" i="2"/>
  <c r="AK2684" i="2"/>
  <c r="AG2684" i="2"/>
  <c r="AH2684" i="2"/>
  <c r="AI2684" i="2"/>
  <c r="AJ2684" i="2"/>
  <c r="AF2685" i="2"/>
  <c r="AK2685" i="2"/>
  <c r="AG2685" i="2"/>
  <c r="AH2685" i="2"/>
  <c r="AI2685" i="2"/>
  <c r="AJ2685" i="2"/>
  <c r="AF2686" i="2"/>
  <c r="AK2686" i="2"/>
  <c r="AG2686" i="2"/>
  <c r="AH2686" i="2"/>
  <c r="AI2686" i="2"/>
  <c r="AJ2686" i="2"/>
  <c r="AF2687" i="2"/>
  <c r="AK2687" i="2"/>
  <c r="AG2687" i="2"/>
  <c r="AH2687" i="2"/>
  <c r="AI2687" i="2"/>
  <c r="AJ2687" i="2"/>
  <c r="AF2688" i="2"/>
  <c r="AK2688" i="2"/>
  <c r="AG2688" i="2"/>
  <c r="AH2688" i="2"/>
  <c r="AI2688" i="2"/>
  <c r="AJ2688" i="2"/>
  <c r="AF2689" i="2"/>
  <c r="AK2689" i="2"/>
  <c r="AG2689" i="2"/>
  <c r="AH2689" i="2"/>
  <c r="AL2689" i="2" s="1"/>
  <c r="AI2689" i="2"/>
  <c r="AJ2689" i="2"/>
  <c r="AF2690" i="2"/>
  <c r="AK2690" i="2"/>
  <c r="AG2690" i="2"/>
  <c r="AL2690" i="2" s="1"/>
  <c r="AH2690" i="2"/>
  <c r="AI2690" i="2"/>
  <c r="AJ2690" i="2"/>
  <c r="AF2691" i="2"/>
  <c r="AK2691" i="2"/>
  <c r="AG2691" i="2"/>
  <c r="AH2691" i="2"/>
  <c r="AI2691" i="2"/>
  <c r="AJ2691" i="2"/>
  <c r="AF2692" i="2"/>
  <c r="AK2692" i="2"/>
  <c r="AG2692" i="2"/>
  <c r="AH2692" i="2"/>
  <c r="AI2692" i="2"/>
  <c r="AJ2692" i="2"/>
  <c r="AF2693" i="2"/>
  <c r="AK2693" i="2"/>
  <c r="AG2693" i="2"/>
  <c r="AH2693" i="2"/>
  <c r="AI2693" i="2"/>
  <c r="AJ2693" i="2"/>
  <c r="AF2694" i="2"/>
  <c r="AK2694" i="2"/>
  <c r="AG2694" i="2"/>
  <c r="AH2694" i="2"/>
  <c r="AI2694" i="2"/>
  <c r="AJ2694" i="2"/>
  <c r="AF2695" i="2"/>
  <c r="AK2695" i="2"/>
  <c r="AG2695" i="2"/>
  <c r="AH2695" i="2"/>
  <c r="AI2695" i="2"/>
  <c r="AJ2695" i="2"/>
  <c r="AF2696" i="2"/>
  <c r="AK2696" i="2"/>
  <c r="AG2696" i="2"/>
  <c r="AH2696" i="2"/>
  <c r="AI2696" i="2"/>
  <c r="AJ2696" i="2"/>
  <c r="AF2697" i="2"/>
  <c r="AK2697" i="2"/>
  <c r="AG2697" i="2"/>
  <c r="AH2697" i="2"/>
  <c r="AI2697" i="2"/>
  <c r="AJ2697" i="2"/>
  <c r="AF2698" i="2"/>
  <c r="AK2698" i="2"/>
  <c r="AG2698" i="2"/>
  <c r="AH2698" i="2"/>
  <c r="AI2698" i="2"/>
  <c r="AJ2698" i="2"/>
  <c r="AF2699" i="2"/>
  <c r="AK2699" i="2"/>
  <c r="AG2699" i="2"/>
  <c r="AH2699" i="2"/>
  <c r="AI2699" i="2"/>
  <c r="AJ2699" i="2"/>
  <c r="AF2700" i="2"/>
  <c r="AK2700" i="2"/>
  <c r="AG2700" i="2"/>
  <c r="AH2700" i="2"/>
  <c r="AI2700" i="2"/>
  <c r="AJ2700" i="2"/>
  <c r="AF2701" i="2"/>
  <c r="AK2701" i="2"/>
  <c r="AG2701" i="2"/>
  <c r="AH2701" i="2"/>
  <c r="AI2701" i="2"/>
  <c r="AJ2701" i="2"/>
  <c r="AF2702" i="2"/>
  <c r="AK2702" i="2"/>
  <c r="AG2702" i="2"/>
  <c r="AH2702" i="2"/>
  <c r="AI2702" i="2"/>
  <c r="AJ2702" i="2"/>
  <c r="AF2703" i="2"/>
  <c r="AK2703" i="2"/>
  <c r="AG2703" i="2"/>
  <c r="AH2703" i="2"/>
  <c r="AI2703" i="2"/>
  <c r="AJ2703" i="2"/>
  <c r="AF2704" i="2"/>
  <c r="AK2704" i="2"/>
  <c r="AG2704" i="2"/>
  <c r="AH2704" i="2"/>
  <c r="AI2704" i="2"/>
  <c r="AJ2704" i="2"/>
  <c r="AF2705" i="2"/>
  <c r="AK2705" i="2"/>
  <c r="AG2705" i="2"/>
  <c r="AL2705" i="2"/>
  <c r="AH2705" i="2"/>
  <c r="AI2705" i="2"/>
  <c r="AJ2705" i="2"/>
  <c r="AF2706" i="2"/>
  <c r="AK2706" i="2" s="1"/>
  <c r="AG2706" i="2"/>
  <c r="AH2706" i="2"/>
  <c r="AI2706" i="2"/>
  <c r="AJ2706" i="2"/>
  <c r="AF2707" i="2"/>
  <c r="AK2707" i="2"/>
  <c r="AG2707" i="2"/>
  <c r="AH2707" i="2"/>
  <c r="AI2707" i="2"/>
  <c r="AJ2707" i="2"/>
  <c r="AF2708" i="2"/>
  <c r="AK2708" i="2" s="1"/>
  <c r="AG2708" i="2"/>
  <c r="AH2708" i="2"/>
  <c r="AI2708" i="2"/>
  <c r="AJ2708" i="2"/>
  <c r="AF2709" i="2"/>
  <c r="AK2709" i="2"/>
  <c r="AG2709" i="2"/>
  <c r="AH2709" i="2"/>
  <c r="AI2709" i="2"/>
  <c r="AJ2709" i="2"/>
  <c r="AF2710" i="2"/>
  <c r="AK2710" i="2" s="1"/>
  <c r="AG2710" i="2"/>
  <c r="AH2710" i="2"/>
  <c r="AI2710" i="2"/>
  <c r="AJ2710" i="2"/>
  <c r="AF2711" i="2"/>
  <c r="AK2711" i="2"/>
  <c r="AG2711" i="2"/>
  <c r="AH2711" i="2"/>
  <c r="AI2711" i="2"/>
  <c r="AJ2711" i="2"/>
  <c r="AF2712" i="2"/>
  <c r="AK2712" i="2" s="1"/>
  <c r="AG2712" i="2"/>
  <c r="AH2712" i="2"/>
  <c r="AI2712" i="2"/>
  <c r="AJ2712" i="2"/>
  <c r="AF2713" i="2"/>
  <c r="AK2713" i="2"/>
  <c r="AG2713" i="2"/>
  <c r="AH2713" i="2"/>
  <c r="AI2713" i="2"/>
  <c r="AJ2713" i="2"/>
  <c r="AF2714" i="2"/>
  <c r="AK2714" i="2" s="1"/>
  <c r="AG2714" i="2"/>
  <c r="AH2714" i="2"/>
  <c r="AI2714" i="2"/>
  <c r="AJ2714" i="2"/>
  <c r="AF2715" i="2"/>
  <c r="AK2715" i="2"/>
  <c r="AG2715" i="2"/>
  <c r="AH2715" i="2"/>
  <c r="AI2715" i="2"/>
  <c r="AJ2715" i="2"/>
  <c r="AF2716" i="2"/>
  <c r="AK2716" i="2" s="1"/>
  <c r="AG2716" i="2"/>
  <c r="AH2716" i="2"/>
  <c r="AI2716" i="2"/>
  <c r="AJ2716" i="2"/>
  <c r="AF2717" i="2"/>
  <c r="AK2717" i="2"/>
  <c r="AG2717" i="2"/>
  <c r="AH2717" i="2"/>
  <c r="AI2717" i="2"/>
  <c r="AJ2717" i="2"/>
  <c r="AF2718" i="2"/>
  <c r="AK2718" i="2" s="1"/>
  <c r="AG2718" i="2"/>
  <c r="AH2718" i="2"/>
  <c r="AI2718" i="2"/>
  <c r="AJ2718" i="2"/>
  <c r="AF2719" i="2"/>
  <c r="AK2719" i="2"/>
  <c r="AG2719" i="2"/>
  <c r="AH2719" i="2"/>
  <c r="AI2719" i="2"/>
  <c r="AJ2719" i="2"/>
  <c r="AF2720" i="2"/>
  <c r="AK2720" i="2" s="1"/>
  <c r="AG2720" i="2"/>
  <c r="AH2720" i="2"/>
  <c r="AI2720" i="2"/>
  <c r="AJ2720" i="2"/>
  <c r="AF2721" i="2"/>
  <c r="AK2721" i="2"/>
  <c r="AG2721" i="2"/>
  <c r="AH2721" i="2"/>
  <c r="AI2721" i="2"/>
  <c r="AJ2721" i="2"/>
  <c r="AF2722" i="2"/>
  <c r="AK2722" i="2" s="1"/>
  <c r="AG2722" i="2"/>
  <c r="AL2722" i="2" s="1"/>
  <c r="AH2722" i="2"/>
  <c r="AI2722" i="2"/>
  <c r="AJ2722" i="2"/>
  <c r="AF2723" i="2"/>
  <c r="AK2723" i="2"/>
  <c r="AG2723" i="2"/>
  <c r="AH2723" i="2"/>
  <c r="AI2723" i="2"/>
  <c r="AJ2723" i="2"/>
  <c r="AF2724" i="2"/>
  <c r="AK2724" i="2"/>
  <c r="AG2724" i="2"/>
  <c r="AH2724" i="2"/>
  <c r="AI2724" i="2"/>
  <c r="AJ2724" i="2"/>
  <c r="AF2725" i="2"/>
  <c r="AK2725" i="2"/>
  <c r="AG2725" i="2"/>
  <c r="AH2725" i="2"/>
  <c r="AI2725" i="2"/>
  <c r="AJ2725" i="2"/>
  <c r="AF2726" i="2"/>
  <c r="AK2726" i="2"/>
  <c r="AG2726" i="2"/>
  <c r="AH2726" i="2"/>
  <c r="AI2726" i="2"/>
  <c r="AJ2726" i="2"/>
  <c r="AF2727" i="2"/>
  <c r="AK2727" i="2"/>
  <c r="AG2727" i="2"/>
  <c r="AL2727" i="2" s="1"/>
  <c r="AH2727" i="2"/>
  <c r="AI2727" i="2"/>
  <c r="AJ2727" i="2"/>
  <c r="AF2728" i="2"/>
  <c r="AK2728" i="2"/>
  <c r="AG2728" i="2"/>
  <c r="AH2728" i="2"/>
  <c r="AI2728" i="2"/>
  <c r="AJ2728" i="2"/>
  <c r="AF2729" i="2"/>
  <c r="AK2729" i="2" s="1"/>
  <c r="AG2729" i="2"/>
  <c r="AH2729" i="2"/>
  <c r="AI2729" i="2"/>
  <c r="AJ2729" i="2"/>
  <c r="AF2730" i="2"/>
  <c r="AK2730" i="2"/>
  <c r="AG2730" i="2"/>
  <c r="AH2730" i="2"/>
  <c r="AI2730" i="2"/>
  <c r="AJ2730" i="2"/>
  <c r="AF2731" i="2"/>
  <c r="AK2731" i="2" s="1"/>
  <c r="AG2731" i="2"/>
  <c r="AH2731" i="2"/>
  <c r="AI2731" i="2"/>
  <c r="AJ2731" i="2"/>
  <c r="AF2732" i="2"/>
  <c r="AK2732" i="2"/>
  <c r="AG2732" i="2"/>
  <c r="AH2732" i="2"/>
  <c r="AI2732" i="2"/>
  <c r="AJ2732" i="2"/>
  <c r="AF2733" i="2"/>
  <c r="AK2733" i="2" s="1"/>
  <c r="AG2733" i="2"/>
  <c r="AH2733" i="2"/>
  <c r="AI2733" i="2"/>
  <c r="AJ2733" i="2"/>
  <c r="AF2734" i="2"/>
  <c r="AK2734" i="2"/>
  <c r="AG2734" i="2"/>
  <c r="AH2734" i="2"/>
  <c r="AI2734" i="2"/>
  <c r="AJ2734" i="2"/>
  <c r="AF2735" i="2"/>
  <c r="AK2735" i="2" s="1"/>
  <c r="AG2735" i="2"/>
  <c r="AH2735" i="2"/>
  <c r="AI2735" i="2"/>
  <c r="AJ2735" i="2"/>
  <c r="AF2736" i="2"/>
  <c r="AK2736" i="2"/>
  <c r="AG2736" i="2"/>
  <c r="AH2736" i="2"/>
  <c r="AI2736" i="2"/>
  <c r="AJ2736" i="2"/>
  <c r="AF2737" i="2"/>
  <c r="AK2737" i="2" s="1"/>
  <c r="AG2737" i="2"/>
  <c r="AH2737" i="2"/>
  <c r="AI2737" i="2"/>
  <c r="AJ2737" i="2"/>
  <c r="AF2738" i="2"/>
  <c r="AK2738" i="2"/>
  <c r="AG2738" i="2"/>
  <c r="AH2738" i="2"/>
  <c r="AI2738" i="2"/>
  <c r="AJ2738" i="2"/>
  <c r="AF2739" i="2"/>
  <c r="AK2739" i="2" s="1"/>
  <c r="AG2739" i="2"/>
  <c r="AH2739" i="2"/>
  <c r="AI2739" i="2"/>
  <c r="AJ2739" i="2"/>
  <c r="AF2740" i="2"/>
  <c r="AK2740" i="2"/>
  <c r="AG2740" i="2"/>
  <c r="AH2740" i="2"/>
  <c r="AI2740" i="2"/>
  <c r="AJ2740" i="2"/>
  <c r="AF2741" i="2"/>
  <c r="AK2741" i="2" s="1"/>
  <c r="AG2741" i="2"/>
  <c r="AH2741" i="2"/>
  <c r="AI2741" i="2"/>
  <c r="AJ2741" i="2"/>
  <c r="AF2742" i="2"/>
  <c r="AK2742" i="2"/>
  <c r="AG2742" i="2"/>
  <c r="AH2742" i="2"/>
  <c r="AI2742" i="2"/>
  <c r="AJ2742" i="2"/>
  <c r="AF2743" i="2"/>
  <c r="AK2743" i="2" s="1"/>
  <c r="AG2743" i="2"/>
  <c r="AH2743" i="2"/>
  <c r="AI2743" i="2"/>
  <c r="AJ2743" i="2"/>
  <c r="AF2744" i="2"/>
  <c r="AK2744" i="2"/>
  <c r="AG2744" i="2"/>
  <c r="AH2744" i="2"/>
  <c r="AI2744" i="2"/>
  <c r="AJ2744" i="2"/>
  <c r="AF2745" i="2"/>
  <c r="AK2745" i="2" s="1"/>
  <c r="AG2745" i="2"/>
  <c r="AH2745" i="2"/>
  <c r="AI2745" i="2"/>
  <c r="AJ2745" i="2"/>
  <c r="AF2746" i="2"/>
  <c r="AK2746" i="2"/>
  <c r="AG2746" i="2"/>
  <c r="AH2746" i="2"/>
  <c r="AI2746" i="2"/>
  <c r="AJ2746" i="2"/>
  <c r="AF2747" i="2"/>
  <c r="AK2747" i="2" s="1"/>
  <c r="AG2747" i="2"/>
  <c r="AH2747" i="2"/>
  <c r="AI2747" i="2"/>
  <c r="AJ2747" i="2"/>
  <c r="AF2748" i="2"/>
  <c r="AK2748" i="2"/>
  <c r="AG2748" i="2"/>
  <c r="AH2748" i="2"/>
  <c r="AI2748" i="2"/>
  <c r="AJ2748" i="2"/>
  <c r="AF2749" i="2"/>
  <c r="AK2749" i="2" s="1"/>
  <c r="AG2749" i="2"/>
  <c r="AH2749" i="2"/>
  <c r="AI2749" i="2"/>
  <c r="AJ2749" i="2"/>
  <c r="AF2750" i="2"/>
  <c r="AK2750" i="2"/>
  <c r="AG2750" i="2"/>
  <c r="AH2750" i="2"/>
  <c r="AI2750" i="2"/>
  <c r="AJ2750" i="2"/>
  <c r="AF2751" i="2"/>
  <c r="AK2751" i="2" s="1"/>
  <c r="AL2751" i="2" s="1"/>
  <c r="AG2751" i="2"/>
  <c r="AH2751" i="2"/>
  <c r="AI2751" i="2"/>
  <c r="AJ2751" i="2"/>
  <c r="AF2752" i="2"/>
  <c r="AK2752" i="2"/>
  <c r="AG2752" i="2"/>
  <c r="AH2752" i="2"/>
  <c r="AI2752" i="2"/>
  <c r="AJ2752" i="2"/>
  <c r="AF2753" i="2"/>
  <c r="AK2753" i="2"/>
  <c r="AG2753" i="2"/>
  <c r="AH2753" i="2"/>
  <c r="AI2753" i="2"/>
  <c r="AJ2753" i="2"/>
  <c r="AF2754" i="2"/>
  <c r="AK2754" i="2"/>
  <c r="AG2754" i="2"/>
  <c r="AH2754" i="2"/>
  <c r="AI2754" i="2"/>
  <c r="AJ2754" i="2"/>
  <c r="AF2755" i="2"/>
  <c r="AK2755" i="2"/>
  <c r="AG2755" i="2"/>
  <c r="AH2755" i="2"/>
  <c r="AI2755" i="2"/>
  <c r="AJ2755" i="2"/>
  <c r="AF2756" i="2"/>
  <c r="AK2756" i="2"/>
  <c r="AG2756" i="2"/>
  <c r="AH2756" i="2"/>
  <c r="AI2756" i="2"/>
  <c r="AJ2756" i="2"/>
  <c r="AF2757" i="2"/>
  <c r="AK2757" i="2"/>
  <c r="AG2757" i="2"/>
  <c r="AH2757" i="2"/>
  <c r="AI2757" i="2"/>
  <c r="AJ2757" i="2"/>
  <c r="AF2758" i="2"/>
  <c r="AK2758" i="2"/>
  <c r="AG2758" i="2"/>
  <c r="AH2758" i="2"/>
  <c r="AI2758" i="2"/>
  <c r="AJ2758" i="2"/>
  <c r="AF2759" i="2"/>
  <c r="AK2759" i="2"/>
  <c r="AG2759" i="2"/>
  <c r="AL2759" i="2"/>
  <c r="AH2759" i="2"/>
  <c r="AI2759" i="2"/>
  <c r="AJ2759" i="2"/>
  <c r="AF2760" i="2"/>
  <c r="AK2760" i="2" s="1"/>
  <c r="AG2760" i="2"/>
  <c r="AH2760" i="2"/>
  <c r="AI2760" i="2"/>
  <c r="AJ2760" i="2"/>
  <c r="AF2761" i="2"/>
  <c r="AK2761" i="2"/>
  <c r="AG2761" i="2"/>
  <c r="AH2761" i="2"/>
  <c r="AI2761" i="2"/>
  <c r="AJ2761" i="2"/>
  <c r="AF2762" i="2"/>
  <c r="AK2762" i="2" s="1"/>
  <c r="AG2762" i="2"/>
  <c r="AH2762" i="2"/>
  <c r="AI2762" i="2"/>
  <c r="AJ2762" i="2"/>
  <c r="AF2763" i="2"/>
  <c r="AK2763" i="2"/>
  <c r="AG2763" i="2"/>
  <c r="AH2763" i="2"/>
  <c r="AI2763" i="2"/>
  <c r="AJ2763" i="2"/>
  <c r="AF2764" i="2"/>
  <c r="AK2764" i="2" s="1"/>
  <c r="AG2764" i="2"/>
  <c r="AH2764" i="2"/>
  <c r="AI2764" i="2"/>
  <c r="AJ2764" i="2"/>
  <c r="AF2765" i="2"/>
  <c r="AK2765" i="2"/>
  <c r="AG2765" i="2"/>
  <c r="AH2765" i="2"/>
  <c r="AI2765" i="2"/>
  <c r="AJ2765" i="2"/>
  <c r="AF2766" i="2"/>
  <c r="AK2766" i="2" s="1"/>
  <c r="AG2766" i="2"/>
  <c r="AH2766" i="2"/>
  <c r="AI2766" i="2"/>
  <c r="AJ2766" i="2"/>
  <c r="AF2767" i="2"/>
  <c r="AK2767" i="2"/>
  <c r="AG2767" i="2"/>
  <c r="AL2767" i="2" s="1"/>
  <c r="AH2767" i="2"/>
  <c r="AI2767" i="2"/>
  <c r="AJ2767" i="2"/>
  <c r="AF2768" i="2"/>
  <c r="AK2768" i="2"/>
  <c r="AG2768" i="2"/>
  <c r="AH2768" i="2"/>
  <c r="AI2768" i="2"/>
  <c r="AJ2768" i="2"/>
  <c r="AF2769" i="2"/>
  <c r="AK2769" i="2"/>
  <c r="AG2769" i="2"/>
  <c r="AH2769" i="2"/>
  <c r="AI2769" i="2"/>
  <c r="AJ2769" i="2"/>
  <c r="AF2770" i="2"/>
  <c r="AK2770" i="2"/>
  <c r="AG2770" i="2"/>
  <c r="AH2770" i="2"/>
  <c r="AI2770" i="2"/>
  <c r="AJ2770" i="2"/>
  <c r="AF2771" i="2"/>
  <c r="AK2771" i="2"/>
  <c r="AG2771" i="2"/>
  <c r="AH2771" i="2"/>
  <c r="AI2771" i="2"/>
  <c r="AJ2771" i="2"/>
  <c r="AF2772" i="2"/>
  <c r="AK2772" i="2"/>
  <c r="AG2772" i="2"/>
  <c r="AH2772" i="2"/>
  <c r="AI2772" i="2"/>
  <c r="AJ2772" i="2"/>
  <c r="AF2773" i="2"/>
  <c r="AK2773" i="2"/>
  <c r="AG2773" i="2"/>
  <c r="AH2773" i="2"/>
  <c r="AI2773" i="2"/>
  <c r="AJ2773" i="2"/>
  <c r="AF2774" i="2"/>
  <c r="AK2774" i="2"/>
  <c r="AG2774" i="2"/>
  <c r="AH2774" i="2"/>
  <c r="AI2774" i="2"/>
  <c r="AJ2774" i="2"/>
  <c r="AF2775" i="2"/>
  <c r="AK2775" i="2"/>
  <c r="AG2775" i="2"/>
  <c r="AH2775" i="2"/>
  <c r="AI2775" i="2"/>
  <c r="AJ2775" i="2"/>
  <c r="AF2776" i="2"/>
  <c r="AK2776" i="2"/>
  <c r="AG2776" i="2"/>
  <c r="AH2776" i="2"/>
  <c r="AI2776" i="2"/>
  <c r="AJ2776" i="2"/>
  <c r="AF2777" i="2"/>
  <c r="AK2777" i="2"/>
  <c r="AG2777" i="2"/>
  <c r="AH2777" i="2"/>
  <c r="AI2777" i="2"/>
  <c r="AJ2777" i="2"/>
  <c r="AF2778" i="2"/>
  <c r="AK2778" i="2"/>
  <c r="AG2778" i="2"/>
  <c r="AH2778" i="2"/>
  <c r="AI2778" i="2"/>
  <c r="AJ2778" i="2"/>
  <c r="AF2779" i="2"/>
  <c r="AK2779" i="2"/>
  <c r="AG2779" i="2"/>
  <c r="AH2779" i="2"/>
  <c r="AI2779" i="2"/>
  <c r="AJ2779" i="2"/>
  <c r="AF2780" i="2"/>
  <c r="AK2780" i="2"/>
  <c r="AG2780" i="2"/>
  <c r="AH2780" i="2"/>
  <c r="AI2780" i="2"/>
  <c r="AJ2780" i="2"/>
  <c r="AF2781" i="2"/>
  <c r="AK2781" i="2"/>
  <c r="AG2781" i="2"/>
  <c r="AH2781" i="2"/>
  <c r="AI2781" i="2"/>
  <c r="AJ2781" i="2"/>
  <c r="AF2782" i="2"/>
  <c r="AK2782" i="2"/>
  <c r="AG2782" i="2"/>
  <c r="AH2782" i="2"/>
  <c r="AI2782" i="2"/>
  <c r="AJ2782" i="2"/>
  <c r="AF2783" i="2"/>
  <c r="AK2783" i="2"/>
  <c r="AG2783" i="2"/>
  <c r="AH2783" i="2"/>
  <c r="AI2783" i="2"/>
  <c r="AJ2783" i="2"/>
  <c r="AF2784" i="2"/>
  <c r="AK2784" i="2"/>
  <c r="AG2784" i="2"/>
  <c r="AH2784" i="2"/>
  <c r="AI2784" i="2"/>
  <c r="AJ2784" i="2"/>
  <c r="AF2785" i="2"/>
  <c r="AK2785" i="2"/>
  <c r="AG2785" i="2"/>
  <c r="AH2785" i="2"/>
  <c r="AI2785" i="2"/>
  <c r="AJ2785" i="2"/>
  <c r="AF2786" i="2"/>
  <c r="AK2786" i="2"/>
  <c r="AG2786" i="2"/>
  <c r="AH2786" i="2"/>
  <c r="AI2786" i="2"/>
  <c r="AJ2786" i="2"/>
  <c r="AF2787" i="2"/>
  <c r="AK2787" i="2"/>
  <c r="AG2787" i="2"/>
  <c r="AH2787" i="2"/>
  <c r="AI2787" i="2"/>
  <c r="AJ2787" i="2"/>
  <c r="AF2788" i="2"/>
  <c r="AK2788" i="2"/>
  <c r="AG2788" i="2"/>
  <c r="AH2788" i="2"/>
  <c r="AI2788" i="2"/>
  <c r="AJ2788" i="2"/>
  <c r="AF2789" i="2"/>
  <c r="AK2789" i="2"/>
  <c r="AG2789" i="2"/>
  <c r="AH2789" i="2"/>
  <c r="AI2789" i="2"/>
  <c r="AJ2789" i="2"/>
  <c r="AF2790" i="2"/>
  <c r="AK2790" i="2"/>
  <c r="AG2790" i="2"/>
  <c r="AH2790" i="2"/>
  <c r="AI2790" i="2"/>
  <c r="AJ2790" i="2"/>
  <c r="AF2791" i="2"/>
  <c r="AK2791" i="2"/>
  <c r="AG2791" i="2"/>
  <c r="AH2791" i="2"/>
  <c r="AI2791" i="2"/>
  <c r="AJ2791" i="2"/>
  <c r="AF2792" i="2"/>
  <c r="AK2792" i="2"/>
  <c r="AG2792" i="2"/>
  <c r="AH2792" i="2"/>
  <c r="AI2792" i="2"/>
  <c r="AJ2792" i="2"/>
  <c r="AF2793" i="2"/>
  <c r="AK2793" i="2"/>
  <c r="AG2793" i="2"/>
  <c r="AH2793" i="2"/>
  <c r="AI2793" i="2"/>
  <c r="AJ2793" i="2"/>
  <c r="AF2794" i="2"/>
  <c r="AK2794" i="2"/>
  <c r="AG2794" i="2"/>
  <c r="AH2794" i="2"/>
  <c r="AI2794" i="2"/>
  <c r="AJ2794" i="2"/>
  <c r="AF2795" i="2"/>
  <c r="AK2795" i="2"/>
  <c r="AG2795" i="2"/>
  <c r="AH2795" i="2"/>
  <c r="AI2795" i="2"/>
  <c r="AJ2795" i="2"/>
  <c r="AF2796" i="2"/>
  <c r="AK2796" i="2"/>
  <c r="AG2796" i="2"/>
  <c r="AH2796" i="2"/>
  <c r="AI2796" i="2"/>
  <c r="AJ2796" i="2"/>
  <c r="AF2797" i="2"/>
  <c r="AK2797" i="2"/>
  <c r="AG2797" i="2"/>
  <c r="AH2797" i="2"/>
  <c r="AI2797" i="2"/>
  <c r="AJ2797" i="2"/>
  <c r="AF2798" i="2"/>
  <c r="AK2798" i="2"/>
  <c r="AG2798" i="2"/>
  <c r="AH2798" i="2"/>
  <c r="AI2798" i="2"/>
  <c r="AJ2798" i="2"/>
  <c r="AF2799" i="2"/>
  <c r="AK2799" i="2"/>
  <c r="AG2799" i="2"/>
  <c r="AH2799" i="2"/>
  <c r="AL2799" i="2" s="1"/>
  <c r="AI2799" i="2"/>
  <c r="AJ2799" i="2"/>
  <c r="AF2800" i="2"/>
  <c r="AK2800" i="2"/>
  <c r="AG2800" i="2"/>
  <c r="AH2800" i="2"/>
  <c r="AI2800" i="2"/>
  <c r="AJ2800" i="2"/>
  <c r="AF2801" i="2"/>
  <c r="AK2801" i="2" s="1"/>
  <c r="AG2801" i="2"/>
  <c r="AH2801" i="2"/>
  <c r="AI2801" i="2"/>
  <c r="AJ2801" i="2"/>
  <c r="AF2802" i="2"/>
  <c r="AK2802" i="2"/>
  <c r="AG2802" i="2"/>
  <c r="AH2802" i="2"/>
  <c r="AI2802" i="2"/>
  <c r="AJ2802" i="2"/>
  <c r="AF2803" i="2"/>
  <c r="AK2803" i="2" s="1"/>
  <c r="AG2803" i="2"/>
  <c r="AH2803" i="2"/>
  <c r="AI2803" i="2"/>
  <c r="AJ2803" i="2"/>
  <c r="AF2804" i="2"/>
  <c r="AK2804" i="2"/>
  <c r="AG2804" i="2"/>
  <c r="AH2804" i="2"/>
  <c r="AI2804" i="2"/>
  <c r="AJ2804" i="2"/>
  <c r="AF2805" i="2"/>
  <c r="AK2805" i="2" s="1"/>
  <c r="AG2805" i="2"/>
  <c r="AH2805" i="2"/>
  <c r="AI2805" i="2"/>
  <c r="AJ2805" i="2"/>
  <c r="AF2806" i="2"/>
  <c r="AK2806" i="2"/>
  <c r="AG2806" i="2"/>
  <c r="AH2806" i="2"/>
  <c r="AI2806" i="2"/>
  <c r="AJ2806" i="2"/>
  <c r="AF2807" i="2"/>
  <c r="AK2807" i="2" s="1"/>
  <c r="AG2807" i="2"/>
  <c r="AH2807" i="2"/>
  <c r="AI2807" i="2"/>
  <c r="AJ2807" i="2"/>
  <c r="AF2808" i="2"/>
  <c r="AK2808" i="2"/>
  <c r="AG2808" i="2"/>
  <c r="AH2808" i="2"/>
  <c r="AI2808" i="2"/>
  <c r="AJ2808" i="2"/>
  <c r="AF2809" i="2"/>
  <c r="AK2809" i="2" s="1"/>
  <c r="AG2809" i="2"/>
  <c r="AH2809" i="2"/>
  <c r="AI2809" i="2"/>
  <c r="AJ2809" i="2"/>
  <c r="AF2810" i="2"/>
  <c r="AK2810" i="2"/>
  <c r="AG2810" i="2"/>
  <c r="AH2810" i="2"/>
  <c r="AI2810" i="2"/>
  <c r="AJ2810" i="2"/>
  <c r="AF2811" i="2"/>
  <c r="AK2811" i="2" s="1"/>
  <c r="AG2811" i="2"/>
  <c r="AH2811" i="2"/>
  <c r="AI2811" i="2"/>
  <c r="AJ2811" i="2"/>
  <c r="AF2812" i="2"/>
  <c r="AK2812" i="2"/>
  <c r="AG2812" i="2"/>
  <c r="AH2812" i="2"/>
  <c r="AI2812" i="2"/>
  <c r="AJ2812" i="2"/>
  <c r="AF2813" i="2"/>
  <c r="AK2813" i="2" s="1"/>
  <c r="AG2813" i="2"/>
  <c r="AH2813" i="2"/>
  <c r="AI2813" i="2"/>
  <c r="AJ2813" i="2"/>
  <c r="AF2814" i="2"/>
  <c r="AK2814" i="2"/>
  <c r="AG2814" i="2"/>
  <c r="AH2814" i="2"/>
  <c r="AI2814" i="2"/>
  <c r="AJ2814" i="2"/>
  <c r="AF2815" i="2"/>
  <c r="AK2815" i="2" s="1"/>
  <c r="AG2815" i="2"/>
  <c r="AH2815" i="2"/>
  <c r="AI2815" i="2"/>
  <c r="AJ2815" i="2"/>
  <c r="AF2816" i="2"/>
  <c r="AK2816" i="2"/>
  <c r="AG2816" i="2"/>
  <c r="AH2816" i="2"/>
  <c r="AI2816" i="2"/>
  <c r="AJ2816" i="2"/>
  <c r="AF2817" i="2"/>
  <c r="AK2817" i="2" s="1"/>
  <c r="AG2817" i="2"/>
  <c r="AH2817" i="2"/>
  <c r="AI2817" i="2"/>
  <c r="AJ2817" i="2"/>
  <c r="AF2818" i="2"/>
  <c r="AK2818" i="2"/>
  <c r="AG2818" i="2"/>
  <c r="AH2818" i="2"/>
  <c r="AI2818" i="2"/>
  <c r="AJ2818" i="2"/>
  <c r="AF2819" i="2"/>
  <c r="AK2819" i="2" s="1"/>
  <c r="AG2819" i="2"/>
  <c r="AH2819" i="2"/>
  <c r="AI2819" i="2"/>
  <c r="AJ2819" i="2"/>
  <c r="AF2820" i="2"/>
  <c r="AK2820" i="2"/>
  <c r="AG2820" i="2"/>
  <c r="AH2820" i="2"/>
  <c r="AI2820" i="2"/>
  <c r="AJ2820" i="2"/>
  <c r="AF2821" i="2"/>
  <c r="AK2821" i="2" s="1"/>
  <c r="AG2821" i="2"/>
  <c r="AH2821" i="2"/>
  <c r="AI2821" i="2"/>
  <c r="AJ2821" i="2"/>
  <c r="AF2822" i="2"/>
  <c r="AK2822" i="2"/>
  <c r="AG2822" i="2"/>
  <c r="AH2822" i="2"/>
  <c r="AI2822" i="2"/>
  <c r="AJ2822" i="2"/>
  <c r="AF2823" i="2"/>
  <c r="AK2823" i="2" s="1"/>
  <c r="AG2823" i="2"/>
  <c r="AH2823" i="2"/>
  <c r="AI2823" i="2"/>
  <c r="AJ2823" i="2"/>
  <c r="AF2824" i="2"/>
  <c r="AK2824" i="2"/>
  <c r="AG2824" i="2"/>
  <c r="AH2824" i="2"/>
  <c r="AI2824" i="2"/>
  <c r="AJ2824" i="2"/>
  <c r="AF2825" i="2"/>
  <c r="AK2825" i="2" s="1"/>
  <c r="AG2825" i="2"/>
  <c r="AH2825" i="2"/>
  <c r="AI2825" i="2"/>
  <c r="AJ2825" i="2"/>
  <c r="AF2826" i="2"/>
  <c r="AK2826" i="2"/>
  <c r="AG2826" i="2"/>
  <c r="AH2826" i="2"/>
  <c r="AI2826" i="2"/>
  <c r="AJ2826" i="2"/>
  <c r="AF2827" i="2"/>
  <c r="AK2827" i="2" s="1"/>
  <c r="AG2827" i="2"/>
  <c r="AH2827" i="2"/>
  <c r="AI2827" i="2"/>
  <c r="AJ2827" i="2"/>
  <c r="AF2828" i="2"/>
  <c r="AK2828" i="2"/>
  <c r="AG2828" i="2"/>
  <c r="AH2828" i="2"/>
  <c r="AI2828" i="2"/>
  <c r="AJ2828" i="2"/>
  <c r="AF2829" i="2"/>
  <c r="AK2829" i="2"/>
  <c r="AG2829" i="2"/>
  <c r="AH2829" i="2"/>
  <c r="AI2829" i="2"/>
  <c r="AJ2829" i="2"/>
  <c r="AF2830" i="2"/>
  <c r="AK2830" i="2"/>
  <c r="AG2830" i="2"/>
  <c r="AH2830" i="2"/>
  <c r="AI2830" i="2"/>
  <c r="AJ2830" i="2"/>
  <c r="AF2831" i="2"/>
  <c r="AK2831" i="2"/>
  <c r="AG2831" i="2"/>
  <c r="AH2831" i="2"/>
  <c r="AI2831" i="2"/>
  <c r="AJ2831" i="2"/>
  <c r="AF2832" i="2"/>
  <c r="AK2832" i="2"/>
  <c r="AG2832" i="2"/>
  <c r="AH2832" i="2"/>
  <c r="AI2832" i="2"/>
  <c r="AJ2832" i="2"/>
  <c r="AF2833" i="2"/>
  <c r="AK2833" i="2"/>
  <c r="AG2833" i="2"/>
  <c r="AH2833" i="2"/>
  <c r="AI2833" i="2"/>
  <c r="AJ2833" i="2"/>
  <c r="AF2834" i="2"/>
  <c r="AK2834" i="2"/>
  <c r="AG2834" i="2"/>
  <c r="AH2834" i="2"/>
  <c r="AI2834" i="2"/>
  <c r="AJ2834" i="2"/>
  <c r="AF2835" i="2"/>
  <c r="AK2835" i="2"/>
  <c r="AG2835" i="2"/>
  <c r="AL2835" i="2"/>
  <c r="AH2835" i="2"/>
  <c r="AI2835" i="2"/>
  <c r="AJ2835" i="2"/>
  <c r="AF2836" i="2"/>
  <c r="AK2836" i="2" s="1"/>
  <c r="AG2836" i="2"/>
  <c r="AH2836" i="2"/>
  <c r="AI2836" i="2"/>
  <c r="AJ2836" i="2"/>
  <c r="AF2837" i="2"/>
  <c r="AK2837" i="2"/>
  <c r="AG2837" i="2"/>
  <c r="AH2837" i="2"/>
  <c r="AI2837" i="2"/>
  <c r="AJ2837" i="2"/>
  <c r="AF2838" i="2"/>
  <c r="AK2838" i="2" s="1"/>
  <c r="AG2838" i="2"/>
  <c r="AH2838" i="2"/>
  <c r="AI2838" i="2"/>
  <c r="AJ2838" i="2"/>
  <c r="AF2839" i="2"/>
  <c r="AK2839" i="2"/>
  <c r="AG2839" i="2"/>
  <c r="AH2839" i="2"/>
  <c r="AI2839" i="2"/>
  <c r="AJ2839" i="2"/>
  <c r="AF2840" i="2"/>
  <c r="AK2840" i="2" s="1"/>
  <c r="AG2840" i="2"/>
  <c r="AH2840" i="2"/>
  <c r="AI2840" i="2"/>
  <c r="AJ2840" i="2"/>
  <c r="AF2841" i="2"/>
  <c r="AK2841" i="2"/>
  <c r="AG2841" i="2"/>
  <c r="AH2841" i="2"/>
  <c r="AI2841" i="2"/>
  <c r="AJ2841" i="2"/>
  <c r="AF2842" i="2"/>
  <c r="AK2842" i="2" s="1"/>
  <c r="AG2842" i="2"/>
  <c r="AH2842" i="2"/>
  <c r="AI2842" i="2"/>
  <c r="AJ2842" i="2"/>
  <c r="AF2843" i="2"/>
  <c r="AK2843" i="2"/>
  <c r="AG2843" i="2"/>
  <c r="AH2843" i="2"/>
  <c r="AI2843" i="2"/>
  <c r="AJ2843" i="2"/>
  <c r="AF2844" i="2"/>
  <c r="AK2844" i="2" s="1"/>
  <c r="AG2844" i="2"/>
  <c r="AH2844" i="2"/>
  <c r="AI2844" i="2"/>
  <c r="AJ2844" i="2"/>
  <c r="AF2845" i="2"/>
  <c r="AK2845" i="2"/>
  <c r="AG2845" i="2"/>
  <c r="AH2845" i="2"/>
  <c r="AI2845" i="2"/>
  <c r="AJ2845" i="2"/>
  <c r="AF2846" i="2"/>
  <c r="AK2846" i="2" s="1"/>
  <c r="AG2846" i="2"/>
  <c r="AH2846" i="2"/>
  <c r="AI2846" i="2"/>
  <c r="AJ2846" i="2"/>
  <c r="AF2847" i="2"/>
  <c r="AK2847" i="2"/>
  <c r="AG2847" i="2"/>
  <c r="AH2847" i="2"/>
  <c r="AI2847" i="2"/>
  <c r="AJ2847" i="2"/>
  <c r="AF2848" i="2"/>
  <c r="AK2848" i="2" s="1"/>
  <c r="AG2848" i="2"/>
  <c r="AH2848" i="2"/>
  <c r="AI2848" i="2"/>
  <c r="AJ2848" i="2"/>
  <c r="AF2849" i="2"/>
  <c r="AK2849" i="2"/>
  <c r="AG2849" i="2"/>
  <c r="AH2849" i="2"/>
  <c r="AI2849" i="2"/>
  <c r="AJ2849" i="2"/>
  <c r="AF2850" i="2"/>
  <c r="AK2850" i="2" s="1"/>
  <c r="AG2850" i="2"/>
  <c r="AH2850" i="2"/>
  <c r="AI2850" i="2"/>
  <c r="AJ2850" i="2"/>
  <c r="AF2851" i="2"/>
  <c r="AK2851" i="2"/>
  <c r="AG2851" i="2"/>
  <c r="AH2851" i="2"/>
  <c r="AI2851" i="2"/>
  <c r="AJ2851" i="2"/>
  <c r="AL2851" i="2"/>
  <c r="AF2852" i="2"/>
  <c r="AK2852" i="2"/>
  <c r="AG2852" i="2"/>
  <c r="AH2852" i="2"/>
  <c r="AI2852" i="2"/>
  <c r="AJ2852" i="2"/>
  <c r="AF2853" i="2"/>
  <c r="AK2853" i="2"/>
  <c r="AG2853" i="2"/>
  <c r="AH2853" i="2"/>
  <c r="AI2853" i="2"/>
  <c r="AJ2853" i="2"/>
  <c r="AF2854" i="2"/>
  <c r="AK2854" i="2"/>
  <c r="AG2854" i="2"/>
  <c r="AH2854" i="2"/>
  <c r="AI2854" i="2"/>
  <c r="AJ2854" i="2"/>
  <c r="AF2855" i="2"/>
  <c r="AK2855" i="2"/>
  <c r="AG2855" i="2"/>
  <c r="AH2855" i="2"/>
  <c r="AI2855" i="2"/>
  <c r="AJ2855" i="2"/>
  <c r="AF2856" i="2"/>
  <c r="AK2856" i="2"/>
  <c r="AG2856" i="2"/>
  <c r="AH2856" i="2"/>
  <c r="AI2856" i="2"/>
  <c r="AJ2856" i="2"/>
  <c r="AF2857" i="2"/>
  <c r="AK2857" i="2"/>
  <c r="AG2857" i="2"/>
  <c r="AH2857" i="2"/>
  <c r="AI2857" i="2"/>
  <c r="AJ2857" i="2"/>
  <c r="AF2858" i="2"/>
  <c r="AK2858" i="2"/>
  <c r="AG2858" i="2"/>
  <c r="AH2858" i="2"/>
  <c r="AI2858" i="2"/>
  <c r="AJ2858" i="2"/>
  <c r="AF2859" i="2"/>
  <c r="AK2859" i="2"/>
  <c r="AG2859" i="2"/>
  <c r="AH2859" i="2"/>
  <c r="AI2859" i="2"/>
  <c r="AJ2859" i="2"/>
  <c r="AF2860" i="2"/>
  <c r="AK2860" i="2"/>
  <c r="AG2860" i="2"/>
  <c r="AH2860" i="2"/>
  <c r="AI2860" i="2"/>
  <c r="AJ2860" i="2"/>
  <c r="AF2861" i="2"/>
  <c r="AK2861" i="2"/>
  <c r="AG2861" i="2"/>
  <c r="AH2861" i="2"/>
  <c r="AI2861" i="2"/>
  <c r="AJ2861" i="2"/>
  <c r="AF2862" i="2"/>
  <c r="AK2862" i="2"/>
  <c r="AG2862" i="2"/>
  <c r="AH2862" i="2"/>
  <c r="AI2862" i="2"/>
  <c r="AJ2862" i="2"/>
  <c r="AF2863" i="2"/>
  <c r="AK2863" i="2"/>
  <c r="AG2863" i="2"/>
  <c r="AH2863" i="2"/>
  <c r="AI2863" i="2"/>
  <c r="AJ2863" i="2"/>
  <c r="AF2864" i="2"/>
  <c r="AK2864" i="2"/>
  <c r="AG2864" i="2"/>
  <c r="AH2864" i="2"/>
  <c r="AI2864" i="2"/>
  <c r="AJ2864" i="2"/>
  <c r="AF2865" i="2"/>
  <c r="AK2865" i="2"/>
  <c r="AG2865" i="2"/>
  <c r="AH2865" i="2"/>
  <c r="AI2865" i="2"/>
  <c r="AJ2865" i="2"/>
  <c r="AF2866" i="2"/>
  <c r="AK2866" i="2"/>
  <c r="AG2866" i="2"/>
  <c r="AH2866" i="2"/>
  <c r="AI2866" i="2"/>
  <c r="AJ2866" i="2"/>
  <c r="AF2867" i="2"/>
  <c r="AK2867" i="2"/>
  <c r="AG2867" i="2"/>
  <c r="AH2867" i="2"/>
  <c r="AI2867" i="2"/>
  <c r="AJ2867" i="2"/>
  <c r="AF2868" i="2"/>
  <c r="AK2868" i="2"/>
  <c r="AG2868" i="2"/>
  <c r="AH2868" i="2"/>
  <c r="AI2868" i="2"/>
  <c r="AJ2868" i="2"/>
  <c r="AF2869" i="2"/>
  <c r="AK2869" i="2"/>
  <c r="AG2869" i="2"/>
  <c r="AH2869" i="2"/>
  <c r="AI2869" i="2"/>
  <c r="AJ2869" i="2"/>
  <c r="AF2870" i="2"/>
  <c r="AK2870" i="2"/>
  <c r="AG2870" i="2"/>
  <c r="AH2870" i="2"/>
  <c r="AI2870" i="2"/>
  <c r="AJ2870" i="2"/>
  <c r="AF2871" i="2"/>
  <c r="AK2871" i="2"/>
  <c r="AG2871" i="2"/>
  <c r="AH2871" i="2"/>
  <c r="AI2871" i="2"/>
  <c r="AJ2871" i="2"/>
  <c r="AF2872" i="2"/>
  <c r="AK2872" i="2"/>
  <c r="AG2872" i="2"/>
  <c r="AH2872" i="2"/>
  <c r="AI2872" i="2"/>
  <c r="AJ2872" i="2"/>
  <c r="AF2873" i="2"/>
  <c r="AK2873" i="2"/>
  <c r="AG2873" i="2"/>
  <c r="AH2873" i="2"/>
  <c r="AI2873" i="2"/>
  <c r="AJ2873" i="2"/>
  <c r="AF2874" i="2"/>
  <c r="AK2874" i="2"/>
  <c r="AG2874" i="2"/>
  <c r="AH2874" i="2"/>
  <c r="AI2874" i="2"/>
  <c r="AJ2874" i="2"/>
  <c r="AF2875" i="2"/>
  <c r="AK2875" i="2"/>
  <c r="AG2875" i="2"/>
  <c r="AH2875" i="2"/>
  <c r="AL2875" i="2" s="1"/>
  <c r="AI2875" i="2"/>
  <c r="AJ2875" i="2"/>
  <c r="AF2876" i="2"/>
  <c r="AK2876" i="2"/>
  <c r="AG2876" i="2"/>
  <c r="AH2876" i="2"/>
  <c r="AI2876" i="2"/>
  <c r="AJ2876" i="2"/>
  <c r="AF2877" i="2"/>
  <c r="AK2877" i="2" s="1"/>
  <c r="AG2877" i="2"/>
  <c r="AH2877" i="2"/>
  <c r="AI2877" i="2"/>
  <c r="AJ2877" i="2"/>
  <c r="AF2878" i="2"/>
  <c r="AK2878" i="2"/>
  <c r="AG2878" i="2"/>
  <c r="AH2878" i="2"/>
  <c r="AI2878" i="2"/>
  <c r="AJ2878" i="2"/>
  <c r="AF2879" i="2"/>
  <c r="AK2879" i="2" s="1"/>
  <c r="AG2879" i="2"/>
  <c r="AH2879" i="2"/>
  <c r="AI2879" i="2"/>
  <c r="AJ2879" i="2"/>
  <c r="AF2880" i="2"/>
  <c r="AK2880" i="2"/>
  <c r="AG2880" i="2"/>
  <c r="AH2880" i="2"/>
  <c r="AI2880" i="2"/>
  <c r="AJ2880" i="2"/>
  <c r="AF2881" i="2"/>
  <c r="AK2881" i="2" s="1"/>
  <c r="AG2881" i="2"/>
  <c r="AH2881" i="2"/>
  <c r="AI2881" i="2"/>
  <c r="AJ2881" i="2"/>
  <c r="AF2882" i="2"/>
  <c r="AK2882" i="2"/>
  <c r="AG2882" i="2"/>
  <c r="AH2882" i="2"/>
  <c r="AI2882" i="2"/>
  <c r="AJ2882" i="2"/>
  <c r="AF2883" i="2"/>
  <c r="AK2883" i="2" s="1"/>
  <c r="AG2883" i="2"/>
  <c r="AH2883" i="2"/>
  <c r="AI2883" i="2"/>
  <c r="AJ2883" i="2"/>
  <c r="AF2884" i="2"/>
  <c r="AK2884" i="2"/>
  <c r="AG2884" i="2"/>
  <c r="AH2884" i="2"/>
  <c r="AI2884" i="2"/>
  <c r="AJ2884" i="2"/>
  <c r="AF2885" i="2"/>
  <c r="AK2885" i="2" s="1"/>
  <c r="AG2885" i="2"/>
  <c r="AH2885" i="2"/>
  <c r="AI2885" i="2"/>
  <c r="AJ2885" i="2"/>
  <c r="AF2886" i="2"/>
  <c r="AK2886" i="2"/>
  <c r="AG2886" i="2"/>
  <c r="AH2886" i="2"/>
  <c r="AI2886" i="2"/>
  <c r="AJ2886" i="2"/>
  <c r="AF2887" i="2"/>
  <c r="AK2887" i="2" s="1"/>
  <c r="AG2887" i="2"/>
  <c r="AH2887" i="2"/>
  <c r="AI2887" i="2"/>
  <c r="AJ2887" i="2"/>
  <c r="AF2888" i="2"/>
  <c r="AK2888" i="2"/>
  <c r="AG2888" i="2"/>
  <c r="AH2888" i="2"/>
  <c r="AI2888" i="2"/>
  <c r="AJ2888" i="2"/>
  <c r="AF2889" i="2"/>
  <c r="AK2889" i="2" s="1"/>
  <c r="AG2889" i="2"/>
  <c r="AH2889" i="2"/>
  <c r="AI2889" i="2"/>
  <c r="AJ2889" i="2"/>
  <c r="AF2890" i="2"/>
  <c r="AK2890" i="2"/>
  <c r="AG2890" i="2"/>
  <c r="AH2890" i="2"/>
  <c r="AI2890" i="2"/>
  <c r="AJ2890" i="2"/>
  <c r="AF2891" i="2"/>
  <c r="AK2891" i="2" s="1"/>
  <c r="AG2891" i="2"/>
  <c r="AH2891" i="2"/>
  <c r="AI2891" i="2"/>
  <c r="AJ2891" i="2"/>
  <c r="AF2892" i="2"/>
  <c r="AK2892" i="2"/>
  <c r="AG2892" i="2"/>
  <c r="AH2892" i="2"/>
  <c r="AI2892" i="2"/>
  <c r="AJ2892" i="2"/>
  <c r="AF2893" i="2"/>
  <c r="AK2893" i="2" s="1"/>
  <c r="AG2893" i="2"/>
  <c r="AH2893" i="2"/>
  <c r="AI2893" i="2"/>
  <c r="AJ2893" i="2"/>
  <c r="AF2894" i="2"/>
  <c r="AK2894" i="2"/>
  <c r="AG2894" i="2"/>
  <c r="AH2894" i="2"/>
  <c r="AI2894" i="2"/>
  <c r="AJ2894" i="2"/>
  <c r="AF2895" i="2"/>
  <c r="AK2895" i="2" s="1"/>
  <c r="AG2895" i="2"/>
  <c r="AH2895" i="2"/>
  <c r="AI2895" i="2"/>
  <c r="AJ2895" i="2"/>
  <c r="AF2896" i="2"/>
  <c r="AK2896" i="2"/>
  <c r="AG2896" i="2"/>
  <c r="AH2896" i="2"/>
  <c r="AI2896" i="2"/>
  <c r="AJ2896" i="2"/>
  <c r="AF2897" i="2"/>
  <c r="AK2897" i="2" s="1"/>
  <c r="AG2897" i="2"/>
  <c r="AH2897" i="2"/>
  <c r="AI2897" i="2"/>
  <c r="AJ2897" i="2"/>
  <c r="AF2898" i="2"/>
  <c r="AK2898" i="2"/>
  <c r="AG2898" i="2"/>
  <c r="AH2898" i="2"/>
  <c r="AI2898" i="2"/>
  <c r="AJ2898" i="2"/>
  <c r="AF2899" i="2"/>
  <c r="AK2899" i="2" s="1"/>
  <c r="AG2899" i="2"/>
  <c r="AH2899" i="2"/>
  <c r="AI2899" i="2"/>
  <c r="AJ2899" i="2"/>
  <c r="AF2900" i="2"/>
  <c r="AK2900" i="2"/>
  <c r="AG2900" i="2"/>
  <c r="AH2900" i="2"/>
  <c r="AI2900" i="2"/>
  <c r="AJ2900" i="2"/>
  <c r="AF2901" i="2"/>
  <c r="AK2901" i="2" s="1"/>
  <c r="AG2901" i="2"/>
  <c r="AH2901" i="2"/>
  <c r="AI2901" i="2"/>
  <c r="AJ2901" i="2"/>
  <c r="AF2902" i="2"/>
  <c r="AK2902" i="2"/>
  <c r="AG2902" i="2"/>
  <c r="AH2902" i="2"/>
  <c r="AI2902" i="2"/>
  <c r="AJ2902" i="2"/>
  <c r="AF2903" i="2"/>
  <c r="AK2903" i="2" s="1"/>
  <c r="AG2903" i="2"/>
  <c r="AH2903" i="2"/>
  <c r="AI2903" i="2"/>
  <c r="AJ2903" i="2"/>
  <c r="AF2904" i="2"/>
  <c r="AK2904" i="2"/>
  <c r="AG2904" i="2"/>
  <c r="AH2904" i="2"/>
  <c r="AI2904" i="2"/>
  <c r="AJ2904" i="2"/>
  <c r="AF2905" i="2"/>
  <c r="AK2905" i="2" s="1"/>
  <c r="AG2905" i="2"/>
  <c r="AH2905" i="2"/>
  <c r="AI2905" i="2"/>
  <c r="AJ2905" i="2"/>
  <c r="AF2906" i="2"/>
  <c r="AK2906" i="2"/>
  <c r="AG2906" i="2"/>
  <c r="AH2906" i="2"/>
  <c r="AI2906" i="2"/>
  <c r="AJ2906" i="2"/>
  <c r="AF2907" i="2"/>
  <c r="AK2907" i="2" s="1"/>
  <c r="AG2907" i="2"/>
  <c r="AH2907" i="2"/>
  <c r="AI2907" i="2"/>
  <c r="AJ2907" i="2"/>
  <c r="AF2908" i="2"/>
  <c r="AK2908" i="2"/>
  <c r="AG2908" i="2"/>
  <c r="AH2908" i="2"/>
  <c r="AI2908" i="2"/>
  <c r="AJ2908" i="2"/>
  <c r="AF2909" i="2"/>
  <c r="AK2909" i="2" s="1"/>
  <c r="AG2909" i="2"/>
  <c r="AH2909" i="2"/>
  <c r="AI2909" i="2"/>
  <c r="AJ2909" i="2"/>
  <c r="AF2910" i="2"/>
  <c r="AK2910" i="2"/>
  <c r="AG2910" i="2"/>
  <c r="AH2910" i="2"/>
  <c r="AI2910" i="2"/>
  <c r="AJ2910" i="2"/>
  <c r="AF2911" i="2"/>
  <c r="AK2911" i="2" s="1"/>
  <c r="AG2911" i="2"/>
  <c r="AH2911" i="2"/>
  <c r="AI2911" i="2"/>
  <c r="AJ2911" i="2"/>
  <c r="AF2912" i="2"/>
  <c r="AK2912" i="2"/>
  <c r="AG2912" i="2"/>
  <c r="AH2912" i="2"/>
  <c r="AI2912" i="2"/>
  <c r="AJ2912" i="2"/>
  <c r="AF2913" i="2"/>
  <c r="AK2913" i="2" s="1"/>
  <c r="AG2913" i="2"/>
  <c r="AH2913" i="2"/>
  <c r="AI2913" i="2"/>
  <c r="AJ2913" i="2"/>
  <c r="AF2914" i="2"/>
  <c r="AK2914" i="2"/>
  <c r="AG2914" i="2"/>
  <c r="AH2914" i="2"/>
  <c r="AI2914" i="2"/>
  <c r="AJ2914" i="2"/>
  <c r="AF2915" i="2"/>
  <c r="AK2915" i="2" s="1"/>
  <c r="AG2915" i="2"/>
  <c r="AH2915" i="2"/>
  <c r="AI2915" i="2"/>
  <c r="AJ2915" i="2"/>
  <c r="AF2916" i="2"/>
  <c r="AK2916" i="2"/>
  <c r="AG2916" i="2"/>
  <c r="AH2916" i="2"/>
  <c r="AI2916" i="2"/>
  <c r="AJ2916" i="2"/>
  <c r="AF2917" i="2"/>
  <c r="AK2917" i="2" s="1"/>
  <c r="AG2917" i="2"/>
  <c r="AH2917" i="2"/>
  <c r="AI2917" i="2"/>
  <c r="AJ2917" i="2"/>
  <c r="AF2918" i="2"/>
  <c r="AK2918" i="2"/>
  <c r="AG2918" i="2"/>
  <c r="AH2918" i="2"/>
  <c r="AI2918" i="2"/>
  <c r="AJ2918" i="2"/>
  <c r="AF2919" i="2"/>
  <c r="AK2919" i="2" s="1"/>
  <c r="AG2919" i="2"/>
  <c r="AH2919" i="2"/>
  <c r="AI2919" i="2"/>
  <c r="AJ2919" i="2"/>
  <c r="AF2920" i="2"/>
  <c r="AK2920" i="2"/>
  <c r="AG2920" i="2"/>
  <c r="AH2920" i="2"/>
  <c r="AI2920" i="2"/>
  <c r="AJ2920" i="2"/>
  <c r="AF2921" i="2"/>
  <c r="AK2921" i="2" s="1"/>
  <c r="AG2921" i="2"/>
  <c r="AH2921" i="2"/>
  <c r="AI2921" i="2"/>
  <c r="AJ2921" i="2"/>
  <c r="AF2922" i="2"/>
  <c r="AK2922" i="2"/>
  <c r="AG2922" i="2"/>
  <c r="AH2922" i="2"/>
  <c r="AI2922" i="2"/>
  <c r="AJ2922" i="2"/>
  <c r="AF2923" i="2"/>
  <c r="AK2923" i="2" s="1"/>
  <c r="AG2923" i="2"/>
  <c r="AL2923" i="2" s="1"/>
  <c r="AH2923" i="2"/>
  <c r="AI2923" i="2"/>
  <c r="AJ2923" i="2"/>
  <c r="AF2924" i="2"/>
  <c r="AK2924" i="2"/>
  <c r="AG2924" i="2"/>
  <c r="AH2924" i="2"/>
  <c r="AI2924" i="2"/>
  <c r="AJ2924" i="2"/>
  <c r="AF2925" i="2"/>
  <c r="AK2925" i="2"/>
  <c r="AG2925" i="2"/>
  <c r="AH2925" i="2"/>
  <c r="AI2925" i="2"/>
  <c r="AJ2925" i="2"/>
  <c r="AF2926" i="2"/>
  <c r="AK2926" i="2"/>
  <c r="AG2926" i="2"/>
  <c r="AH2926" i="2"/>
  <c r="AI2926" i="2"/>
  <c r="AJ2926" i="2"/>
  <c r="AF2927" i="2"/>
  <c r="AK2927" i="2"/>
  <c r="AG2927" i="2"/>
  <c r="AH2927" i="2"/>
  <c r="AI2927" i="2"/>
  <c r="AJ2927" i="2"/>
  <c r="AF2928" i="2"/>
  <c r="AK2928" i="2"/>
  <c r="AG2928" i="2"/>
  <c r="AH2928" i="2"/>
  <c r="AI2928" i="2"/>
  <c r="AJ2928" i="2"/>
  <c r="AF2929" i="2"/>
  <c r="AK2929" i="2"/>
  <c r="AG2929" i="2"/>
  <c r="AH2929" i="2"/>
  <c r="AI2929" i="2"/>
  <c r="AJ2929" i="2"/>
  <c r="AF2930" i="2"/>
  <c r="AK2930" i="2"/>
  <c r="AG2930" i="2"/>
  <c r="AH2930" i="2"/>
  <c r="AI2930" i="2"/>
  <c r="AJ2930" i="2"/>
  <c r="AF2931" i="2"/>
  <c r="AK2931" i="2"/>
  <c r="AG2931" i="2"/>
  <c r="AH2931" i="2"/>
  <c r="AI2931" i="2"/>
  <c r="AJ2931" i="2"/>
  <c r="AF2932" i="2"/>
  <c r="AK2932" i="2"/>
  <c r="AG2932" i="2"/>
  <c r="AH2932" i="2"/>
  <c r="AI2932" i="2"/>
  <c r="AJ2932" i="2"/>
  <c r="AF2933" i="2"/>
  <c r="AK2933" i="2"/>
  <c r="AG2933" i="2"/>
  <c r="AH2933" i="2"/>
  <c r="AI2933" i="2"/>
  <c r="AJ2933" i="2"/>
  <c r="AF2934" i="2"/>
  <c r="AK2934" i="2"/>
  <c r="AG2934" i="2"/>
  <c r="AH2934" i="2"/>
  <c r="AI2934" i="2"/>
  <c r="AJ2934" i="2"/>
  <c r="AF2935" i="2"/>
  <c r="AK2935" i="2"/>
  <c r="AG2935" i="2"/>
  <c r="AH2935" i="2"/>
  <c r="AI2935" i="2"/>
  <c r="AJ2935" i="2"/>
  <c r="AF2936" i="2"/>
  <c r="AK2936" i="2"/>
  <c r="AG2936" i="2"/>
  <c r="AH2936" i="2"/>
  <c r="AI2936" i="2"/>
  <c r="AJ2936" i="2"/>
  <c r="AF2937" i="2"/>
  <c r="AK2937" i="2"/>
  <c r="AG2937" i="2"/>
  <c r="AH2937" i="2"/>
  <c r="AI2937" i="2"/>
  <c r="AJ2937" i="2"/>
  <c r="AF2938" i="2"/>
  <c r="AK2938" i="2"/>
  <c r="AG2938" i="2"/>
  <c r="AH2938" i="2"/>
  <c r="AI2938" i="2"/>
  <c r="AJ2938" i="2"/>
  <c r="AF2939" i="2"/>
  <c r="AK2939" i="2"/>
  <c r="AG2939" i="2"/>
  <c r="AL2939" i="2"/>
  <c r="AH2939" i="2"/>
  <c r="AI2939" i="2"/>
  <c r="AJ2939" i="2"/>
  <c r="AF2940" i="2"/>
  <c r="AK2940" i="2" s="1"/>
  <c r="AG2940" i="2"/>
  <c r="AH2940" i="2"/>
  <c r="AI2940" i="2"/>
  <c r="AJ2940" i="2"/>
  <c r="AF2941" i="2"/>
  <c r="AK2941" i="2"/>
  <c r="AG2941" i="2"/>
  <c r="AH2941" i="2"/>
  <c r="AI2941" i="2"/>
  <c r="AJ2941" i="2"/>
  <c r="AF2942" i="2"/>
  <c r="AK2942" i="2" s="1"/>
  <c r="AG2942" i="2"/>
  <c r="AH2942" i="2"/>
  <c r="AI2942" i="2"/>
  <c r="AJ2942" i="2"/>
  <c r="AF2943" i="2"/>
  <c r="AK2943" i="2"/>
  <c r="AG2943" i="2"/>
  <c r="AH2943" i="2"/>
  <c r="AI2943" i="2"/>
  <c r="AJ2943" i="2"/>
  <c r="AF2944" i="2"/>
  <c r="AK2944" i="2" s="1"/>
  <c r="AG2944" i="2"/>
  <c r="AH2944" i="2"/>
  <c r="AI2944" i="2"/>
  <c r="AJ2944" i="2"/>
  <c r="AF2945" i="2"/>
  <c r="AK2945" i="2"/>
  <c r="AG2945" i="2"/>
  <c r="AH2945" i="2"/>
  <c r="AI2945" i="2"/>
  <c r="AJ2945" i="2"/>
  <c r="AF2946" i="2"/>
  <c r="AK2946" i="2" s="1"/>
  <c r="AG2946" i="2"/>
  <c r="AH2946" i="2"/>
  <c r="AI2946" i="2"/>
  <c r="AJ2946" i="2"/>
  <c r="AF2947" i="2"/>
  <c r="AK2947" i="2"/>
  <c r="AG2947" i="2"/>
  <c r="AH2947" i="2"/>
  <c r="AI2947" i="2"/>
  <c r="AJ2947" i="2"/>
  <c r="AF2948" i="2"/>
  <c r="AK2948" i="2" s="1"/>
  <c r="AG2948" i="2"/>
  <c r="AH2948" i="2"/>
  <c r="AI2948" i="2"/>
  <c r="AJ2948" i="2"/>
  <c r="AF2949" i="2"/>
  <c r="AK2949" i="2"/>
  <c r="AG2949" i="2"/>
  <c r="AH2949" i="2"/>
  <c r="AI2949" i="2"/>
  <c r="AJ2949" i="2"/>
  <c r="AF2950" i="2"/>
  <c r="AK2950" i="2" s="1"/>
  <c r="AG2950" i="2"/>
  <c r="AH2950" i="2"/>
  <c r="AI2950" i="2"/>
  <c r="AJ2950" i="2"/>
  <c r="AF2951" i="2"/>
  <c r="AK2951" i="2"/>
  <c r="AG2951" i="2"/>
  <c r="AH2951" i="2"/>
  <c r="AI2951" i="2"/>
  <c r="AJ2951" i="2"/>
  <c r="AF2952" i="2"/>
  <c r="AK2952" i="2" s="1"/>
  <c r="AG2952" i="2"/>
  <c r="AH2952" i="2"/>
  <c r="AI2952" i="2"/>
  <c r="AJ2952" i="2"/>
  <c r="AF2953" i="2"/>
  <c r="AK2953" i="2"/>
  <c r="AG2953" i="2"/>
  <c r="AH2953" i="2"/>
  <c r="AI2953" i="2"/>
  <c r="AJ2953" i="2"/>
  <c r="AF2954" i="2"/>
  <c r="AK2954" i="2" s="1"/>
  <c r="AG2954" i="2"/>
  <c r="AH2954" i="2"/>
  <c r="AI2954" i="2"/>
  <c r="AJ2954" i="2"/>
  <c r="AF2955" i="2"/>
  <c r="AK2955" i="2"/>
  <c r="AG2955" i="2"/>
  <c r="AH2955" i="2"/>
  <c r="AI2955" i="2"/>
  <c r="AJ2955" i="2"/>
  <c r="AF2956" i="2"/>
  <c r="AK2956" i="2" s="1"/>
  <c r="AG2956" i="2"/>
  <c r="AH2956" i="2"/>
  <c r="AI2956" i="2"/>
  <c r="AJ2956" i="2"/>
  <c r="AF2957" i="2"/>
  <c r="AK2957" i="2"/>
  <c r="AG2957" i="2"/>
  <c r="AH2957" i="2"/>
  <c r="AI2957" i="2"/>
  <c r="AJ2957" i="2"/>
  <c r="AF2958" i="2"/>
  <c r="AK2958" i="2" s="1"/>
  <c r="AG2958" i="2"/>
  <c r="AH2958" i="2"/>
  <c r="AI2958" i="2"/>
  <c r="AJ2958" i="2"/>
  <c r="AF2959" i="2"/>
  <c r="AK2959" i="2"/>
  <c r="AG2959" i="2"/>
  <c r="AH2959" i="2"/>
  <c r="AI2959" i="2"/>
  <c r="AJ2959" i="2"/>
  <c r="AF2960" i="2"/>
  <c r="AK2960" i="2" s="1"/>
  <c r="AG2960" i="2"/>
  <c r="AH2960" i="2"/>
  <c r="AI2960" i="2"/>
  <c r="AJ2960" i="2"/>
  <c r="AF2961" i="2"/>
  <c r="AK2961" i="2"/>
  <c r="AG2961" i="2"/>
  <c r="AH2961" i="2"/>
  <c r="AI2961" i="2"/>
  <c r="AJ2961" i="2"/>
  <c r="AF2962" i="2"/>
  <c r="AK2962" i="2" s="1"/>
  <c r="AG2962" i="2"/>
  <c r="AH2962" i="2"/>
  <c r="AI2962" i="2"/>
  <c r="AJ2962" i="2"/>
  <c r="AF2963" i="2"/>
  <c r="AK2963" i="2"/>
  <c r="AG2963" i="2"/>
  <c r="AH2963" i="2"/>
  <c r="AI2963" i="2"/>
  <c r="AJ2963" i="2"/>
  <c r="AF2964" i="2"/>
  <c r="AK2964" i="2" s="1"/>
  <c r="AG2964" i="2"/>
  <c r="AH2964" i="2"/>
  <c r="AI2964" i="2"/>
  <c r="AJ2964" i="2"/>
  <c r="AF2965" i="2"/>
  <c r="AK2965" i="2"/>
  <c r="AG2965" i="2"/>
  <c r="AH2965" i="2"/>
  <c r="AI2965" i="2"/>
  <c r="AJ2965" i="2"/>
  <c r="AF2966" i="2"/>
  <c r="AK2966" i="2" s="1"/>
  <c r="AG2966" i="2"/>
  <c r="AH2966" i="2"/>
  <c r="AI2966" i="2"/>
  <c r="AJ2966" i="2"/>
  <c r="AF2967" i="2"/>
  <c r="AK2967" i="2"/>
  <c r="AG2967" i="2"/>
  <c r="AH2967" i="2"/>
  <c r="AI2967" i="2"/>
  <c r="AJ2967" i="2"/>
  <c r="AF2968" i="2"/>
  <c r="AK2968" i="2" s="1"/>
  <c r="AG2968" i="2"/>
  <c r="AH2968" i="2"/>
  <c r="AL2968" i="2" s="1"/>
  <c r="AI2968" i="2"/>
  <c r="AJ2968" i="2"/>
  <c r="AF2969" i="2"/>
  <c r="AK2969" i="2"/>
  <c r="AG2969" i="2"/>
  <c r="AH2969" i="2"/>
  <c r="AI2969" i="2"/>
  <c r="AJ2969" i="2"/>
  <c r="AF2970" i="2"/>
  <c r="AK2970" i="2"/>
  <c r="AG2970" i="2"/>
  <c r="AH2970" i="2"/>
  <c r="AI2970" i="2"/>
  <c r="AJ2970" i="2"/>
  <c r="AF2971" i="2"/>
  <c r="AK2971" i="2"/>
  <c r="AG2971" i="2"/>
  <c r="AH2971" i="2"/>
  <c r="AI2971" i="2"/>
  <c r="AJ2971" i="2"/>
  <c r="AF2972" i="2"/>
  <c r="AK2972" i="2"/>
  <c r="AG2972" i="2"/>
  <c r="AH2972" i="2"/>
  <c r="AI2972" i="2"/>
  <c r="AJ2972" i="2"/>
  <c r="AF2973" i="2"/>
  <c r="AK2973" i="2"/>
  <c r="AG2973" i="2"/>
  <c r="AH2973" i="2"/>
  <c r="AI2973" i="2"/>
  <c r="AJ2973" i="2"/>
  <c r="AF2974" i="2"/>
  <c r="AK2974" i="2"/>
  <c r="AG2974" i="2"/>
  <c r="AH2974" i="2"/>
  <c r="AI2974" i="2"/>
  <c r="AJ2974" i="2"/>
  <c r="AF2975" i="2"/>
  <c r="AK2975" i="2"/>
  <c r="AG2975" i="2"/>
  <c r="AH2975" i="2"/>
  <c r="AI2975" i="2"/>
  <c r="AJ2975" i="2"/>
  <c r="AF2976" i="2"/>
  <c r="AK2976" i="2"/>
  <c r="AG2976" i="2"/>
  <c r="AH2976" i="2"/>
  <c r="AI2976" i="2"/>
  <c r="AJ2976" i="2"/>
  <c r="AF2977" i="2"/>
  <c r="AK2977" i="2"/>
  <c r="AG2977" i="2"/>
  <c r="AH2977" i="2"/>
  <c r="AI2977" i="2"/>
  <c r="AJ2977" i="2"/>
  <c r="AF2978" i="2"/>
  <c r="AK2978" i="2"/>
  <c r="AG2978" i="2"/>
  <c r="AH2978" i="2"/>
  <c r="AI2978" i="2"/>
  <c r="AJ2978" i="2"/>
  <c r="AF2979" i="2"/>
  <c r="AK2979" i="2"/>
  <c r="AG2979" i="2"/>
  <c r="AH2979" i="2"/>
  <c r="AI2979" i="2"/>
  <c r="AJ2979" i="2"/>
  <c r="AF2980" i="2"/>
  <c r="AK2980" i="2"/>
  <c r="AG2980" i="2"/>
  <c r="AH2980" i="2"/>
  <c r="AI2980" i="2"/>
  <c r="AJ2980" i="2"/>
  <c r="AF2981" i="2"/>
  <c r="AK2981" i="2"/>
  <c r="AG2981" i="2"/>
  <c r="AH2981" i="2"/>
  <c r="AI2981" i="2"/>
  <c r="AJ2981" i="2"/>
  <c r="AF2982" i="2"/>
  <c r="AK2982" i="2"/>
  <c r="AG2982" i="2"/>
  <c r="AH2982" i="2"/>
  <c r="AI2982" i="2"/>
  <c r="AJ2982" i="2"/>
  <c r="AF2983" i="2"/>
  <c r="AK2983" i="2"/>
  <c r="AG2983" i="2"/>
  <c r="AH2983" i="2"/>
  <c r="AI2983" i="2"/>
  <c r="AJ2983" i="2"/>
  <c r="AF2984" i="2"/>
  <c r="AK2984" i="2"/>
  <c r="AG2984" i="2"/>
  <c r="AH2984" i="2"/>
  <c r="AI2984" i="2"/>
  <c r="AJ2984" i="2"/>
  <c r="AF2985" i="2"/>
  <c r="AK2985" i="2"/>
  <c r="AG2985" i="2"/>
  <c r="AH2985" i="2"/>
  <c r="AI2985" i="2"/>
  <c r="AJ2985" i="2"/>
  <c r="AF2986" i="2"/>
  <c r="AK2986" i="2"/>
  <c r="AG2986" i="2"/>
  <c r="AH2986" i="2"/>
  <c r="AI2986" i="2"/>
  <c r="AJ2986" i="2"/>
  <c r="AF2987" i="2"/>
  <c r="AK2987" i="2"/>
  <c r="AG2987" i="2"/>
  <c r="AH2987" i="2"/>
  <c r="AI2987" i="2"/>
  <c r="AJ2987" i="2"/>
  <c r="AF2988" i="2"/>
  <c r="AK2988" i="2"/>
  <c r="AG2988" i="2"/>
  <c r="AH2988" i="2"/>
  <c r="AI2988" i="2"/>
  <c r="AJ2988" i="2"/>
  <c r="AF2989" i="2"/>
  <c r="AK2989" i="2"/>
  <c r="AG2989" i="2"/>
  <c r="AH2989" i="2"/>
  <c r="AI2989" i="2"/>
  <c r="AJ2989" i="2"/>
  <c r="AF2990" i="2"/>
  <c r="AK2990" i="2"/>
  <c r="AG2990" i="2"/>
  <c r="AH2990" i="2"/>
  <c r="AI2990" i="2"/>
  <c r="AJ2990" i="2"/>
  <c r="AF2991" i="2"/>
  <c r="AK2991" i="2"/>
  <c r="AG2991" i="2"/>
  <c r="AH2991" i="2"/>
  <c r="AI2991" i="2"/>
  <c r="AJ2991" i="2"/>
  <c r="AF2992" i="2"/>
  <c r="AK2992" i="2"/>
  <c r="AG2992" i="2"/>
  <c r="AH2992" i="2"/>
  <c r="AI2992" i="2"/>
  <c r="AJ2992" i="2"/>
  <c r="AF2993" i="2"/>
  <c r="AK2993" i="2"/>
  <c r="AG2993" i="2"/>
  <c r="AH2993" i="2"/>
  <c r="AI2993" i="2"/>
  <c r="AJ2993" i="2"/>
  <c r="AF2994" i="2"/>
  <c r="AK2994" i="2"/>
  <c r="AG2994" i="2"/>
  <c r="AH2994" i="2"/>
  <c r="AI2994" i="2"/>
  <c r="AJ2994" i="2"/>
  <c r="AF2995" i="2"/>
  <c r="AK2995" i="2"/>
  <c r="AG2995" i="2"/>
  <c r="AH2995" i="2"/>
  <c r="AI2995" i="2"/>
  <c r="AJ2995" i="2"/>
  <c r="AF2996" i="2"/>
  <c r="AK2996" i="2"/>
  <c r="AG2996" i="2"/>
  <c r="AH2996" i="2"/>
  <c r="AI2996" i="2"/>
  <c r="AJ2996" i="2"/>
  <c r="AF2997" i="2"/>
  <c r="AK2997" i="2"/>
  <c r="AG2997" i="2"/>
  <c r="AH2997" i="2"/>
  <c r="AI2997" i="2"/>
  <c r="AJ2997" i="2"/>
  <c r="AF2998" i="2"/>
  <c r="AK2998" i="2"/>
  <c r="AG2998" i="2"/>
  <c r="AH2998" i="2"/>
  <c r="AI2998" i="2"/>
  <c r="AJ2998" i="2"/>
  <c r="AF2999" i="2"/>
  <c r="AK2999" i="2"/>
  <c r="AG2999" i="2"/>
  <c r="AH2999" i="2"/>
  <c r="AI2999" i="2"/>
  <c r="AJ2999" i="2"/>
  <c r="AF3000" i="2"/>
  <c r="AK3000" i="2"/>
  <c r="AG3000" i="2"/>
  <c r="AH3000" i="2"/>
  <c r="AI3000" i="2"/>
  <c r="AJ3000" i="2"/>
  <c r="AF3001" i="2"/>
  <c r="AK3001" i="2"/>
  <c r="AG3001" i="2"/>
  <c r="AH3001" i="2"/>
  <c r="AI3001" i="2"/>
  <c r="AJ3001" i="2"/>
  <c r="AF3002" i="2"/>
  <c r="AK3002" i="2"/>
  <c r="AG3002" i="2"/>
  <c r="AH3002" i="2"/>
  <c r="AI3002" i="2"/>
  <c r="AJ3002" i="2"/>
  <c r="AF3003" i="2"/>
  <c r="AK3003" i="2"/>
  <c r="AG3003" i="2"/>
  <c r="AH3003" i="2"/>
  <c r="AI3003" i="2"/>
  <c r="AJ3003" i="2"/>
  <c r="AF3004" i="2"/>
  <c r="AK3004" i="2"/>
  <c r="AG3004" i="2"/>
  <c r="AH3004" i="2"/>
  <c r="AI3004" i="2"/>
  <c r="AJ3004" i="2"/>
  <c r="AF3005" i="2"/>
  <c r="AK3005" i="2"/>
  <c r="AG3005" i="2"/>
  <c r="AH3005" i="2"/>
  <c r="AL3005" i="2" s="1"/>
  <c r="AI3005" i="2"/>
  <c r="AJ3005" i="2"/>
  <c r="AF3006" i="2"/>
  <c r="AK3006" i="2"/>
  <c r="AG3006" i="2"/>
  <c r="AH3006" i="2"/>
  <c r="AI3006" i="2"/>
  <c r="AJ3006" i="2"/>
  <c r="AF3007" i="2"/>
  <c r="AK3007" i="2" s="1"/>
  <c r="AG3007" i="2"/>
  <c r="AH3007" i="2"/>
  <c r="AI3007" i="2"/>
  <c r="AJ3007" i="2"/>
  <c r="AF3008" i="2"/>
  <c r="AK3008" i="2"/>
  <c r="AG3008" i="2"/>
  <c r="AH3008" i="2"/>
  <c r="AI3008" i="2"/>
  <c r="AJ3008" i="2"/>
  <c r="AF3009" i="2"/>
  <c r="AK3009" i="2" s="1"/>
  <c r="AG3009" i="2"/>
  <c r="AH3009" i="2"/>
  <c r="AI3009" i="2"/>
  <c r="AJ3009" i="2"/>
  <c r="AF3010" i="2"/>
  <c r="AK3010" i="2"/>
  <c r="AG3010" i="2"/>
  <c r="AH3010" i="2"/>
  <c r="AI3010" i="2"/>
  <c r="AJ3010" i="2"/>
  <c r="AF3011" i="2"/>
  <c r="AK3011" i="2" s="1"/>
  <c r="AG3011" i="2"/>
  <c r="AH3011" i="2"/>
  <c r="AI3011" i="2"/>
  <c r="AJ3011" i="2"/>
  <c r="AF3012" i="2"/>
  <c r="AK3012" i="2"/>
  <c r="AG3012" i="2"/>
  <c r="AH3012" i="2"/>
  <c r="AI3012" i="2"/>
  <c r="AJ3012" i="2"/>
  <c r="AF3013" i="2"/>
  <c r="AK3013" i="2" s="1"/>
  <c r="AG3013" i="2"/>
  <c r="AH3013" i="2"/>
  <c r="AI3013" i="2"/>
  <c r="AJ3013" i="2"/>
  <c r="AF3014" i="2"/>
  <c r="AK3014" i="2"/>
  <c r="AG3014" i="2"/>
  <c r="AH3014" i="2"/>
  <c r="AI3014" i="2"/>
  <c r="AJ3014" i="2"/>
  <c r="AF3015" i="2"/>
  <c r="AK3015" i="2" s="1"/>
  <c r="AG3015" i="2"/>
  <c r="AH3015" i="2"/>
  <c r="AI3015" i="2"/>
  <c r="AJ3015" i="2"/>
  <c r="AF3016" i="2"/>
  <c r="AK3016" i="2"/>
  <c r="AG3016" i="2"/>
  <c r="AH3016" i="2"/>
  <c r="AI3016" i="2"/>
  <c r="AJ3016" i="2"/>
  <c r="AF3017" i="2"/>
  <c r="AK3017" i="2" s="1"/>
  <c r="AG3017" i="2"/>
  <c r="AH3017" i="2"/>
  <c r="AI3017" i="2"/>
  <c r="AJ3017" i="2"/>
  <c r="AF3018" i="2"/>
  <c r="AK3018" i="2"/>
  <c r="AG3018" i="2"/>
  <c r="AL3018" i="2" s="1"/>
  <c r="AH3018" i="2"/>
  <c r="AI3018" i="2"/>
  <c r="AJ3018" i="2"/>
  <c r="AF3019" i="2"/>
  <c r="AK3019" i="2"/>
  <c r="AG3019" i="2"/>
  <c r="AH3019" i="2"/>
  <c r="AI3019" i="2"/>
  <c r="AJ3019" i="2"/>
  <c r="AF3020" i="2"/>
  <c r="AK3020" i="2"/>
  <c r="AG3020" i="2"/>
  <c r="AH3020" i="2"/>
  <c r="AI3020" i="2"/>
  <c r="AJ3020" i="2"/>
  <c r="AF3021" i="2"/>
  <c r="AK3021" i="2"/>
  <c r="AG3021" i="2"/>
  <c r="AH3021" i="2"/>
  <c r="AI3021" i="2"/>
  <c r="AJ3021" i="2"/>
  <c r="AF3022" i="2"/>
  <c r="AK3022" i="2"/>
  <c r="AG3022" i="2"/>
  <c r="AH3022" i="2"/>
  <c r="AI3022" i="2"/>
  <c r="AJ3022" i="2"/>
  <c r="AF3023" i="2"/>
  <c r="AK3023" i="2"/>
  <c r="AG3023" i="2"/>
  <c r="AH3023" i="2"/>
  <c r="AI3023" i="2"/>
  <c r="AJ3023" i="2"/>
  <c r="AF3024" i="2"/>
  <c r="AK3024" i="2"/>
  <c r="AG3024" i="2"/>
  <c r="AH3024" i="2"/>
  <c r="AI3024" i="2"/>
  <c r="AJ3024" i="2"/>
  <c r="AF3025" i="2"/>
  <c r="AK3025" i="2"/>
  <c r="AG3025" i="2"/>
  <c r="AH3025" i="2"/>
  <c r="AI3025" i="2"/>
  <c r="AJ3025" i="2"/>
  <c r="AF3026" i="2"/>
  <c r="AK3026" i="2"/>
  <c r="AG3026" i="2"/>
  <c r="AH3026" i="2"/>
  <c r="AI3026" i="2"/>
  <c r="AJ3026" i="2"/>
  <c r="AF3027" i="2"/>
  <c r="AK3027" i="2"/>
  <c r="AG3027" i="2"/>
  <c r="AH3027" i="2"/>
  <c r="AI3027" i="2"/>
  <c r="AJ3027" i="2"/>
  <c r="AF3028" i="2"/>
  <c r="AK3028" i="2"/>
  <c r="AG3028" i="2"/>
  <c r="AH3028" i="2"/>
  <c r="AI3028" i="2"/>
  <c r="AJ3028" i="2"/>
  <c r="AF3029" i="2"/>
  <c r="AK3029" i="2"/>
  <c r="AG3029" i="2"/>
  <c r="AH3029" i="2"/>
  <c r="AI3029" i="2"/>
  <c r="AJ3029" i="2"/>
  <c r="AF3030" i="2"/>
  <c r="AK3030" i="2"/>
  <c r="AG3030" i="2"/>
  <c r="AH3030" i="2"/>
  <c r="AI3030" i="2"/>
  <c r="AJ3030" i="2"/>
  <c r="AF3031" i="2"/>
  <c r="AK3031" i="2"/>
  <c r="AG3031" i="2"/>
  <c r="AH3031" i="2"/>
  <c r="AI3031" i="2"/>
  <c r="AJ3031" i="2"/>
  <c r="AF3032" i="2"/>
  <c r="AK3032" i="2"/>
  <c r="AG3032" i="2"/>
  <c r="AH3032" i="2"/>
  <c r="AI3032" i="2"/>
  <c r="AJ3032" i="2"/>
  <c r="AF3033" i="2"/>
  <c r="AK3033" i="2"/>
  <c r="AG3033" i="2"/>
  <c r="AH3033" i="2"/>
  <c r="AI3033" i="2"/>
  <c r="AJ3033" i="2"/>
  <c r="AF3034" i="2"/>
  <c r="AK3034" i="2"/>
  <c r="AG3034" i="2"/>
  <c r="AH3034" i="2"/>
  <c r="AI3034" i="2"/>
  <c r="AJ3034" i="2"/>
  <c r="AF3035" i="2"/>
  <c r="AK3035" i="2"/>
  <c r="AG3035" i="2"/>
  <c r="AH3035" i="2"/>
  <c r="AI3035" i="2"/>
  <c r="AJ3035" i="2"/>
  <c r="AF3036" i="2"/>
  <c r="AK3036" i="2"/>
  <c r="AG3036" i="2"/>
  <c r="AH3036" i="2"/>
  <c r="AI3036" i="2"/>
  <c r="AJ3036" i="2"/>
  <c r="AF3037" i="2"/>
  <c r="AK3037" i="2"/>
  <c r="AG3037" i="2"/>
  <c r="AH3037" i="2"/>
  <c r="AI3037" i="2"/>
  <c r="AJ3037" i="2"/>
  <c r="AF3038" i="2"/>
  <c r="AK3038" i="2"/>
  <c r="AG3038" i="2"/>
  <c r="AH3038" i="2"/>
  <c r="AI3038" i="2"/>
  <c r="AJ3038" i="2"/>
  <c r="AF3039" i="2"/>
  <c r="AK3039" i="2"/>
  <c r="AG3039" i="2"/>
  <c r="AH3039" i="2"/>
  <c r="AI3039" i="2"/>
  <c r="AJ3039" i="2"/>
  <c r="AF3040" i="2"/>
  <c r="AK3040" i="2"/>
  <c r="AG3040" i="2"/>
  <c r="AH3040" i="2"/>
  <c r="AI3040" i="2"/>
  <c r="AJ3040" i="2"/>
  <c r="AF3041" i="2"/>
  <c r="AK3041" i="2"/>
  <c r="AG3041" i="2"/>
  <c r="AH3041" i="2"/>
  <c r="AI3041" i="2"/>
  <c r="AJ3041" i="2"/>
  <c r="AF3042" i="2"/>
  <c r="AK3042" i="2"/>
  <c r="AG3042" i="2"/>
  <c r="AH3042" i="2"/>
  <c r="AI3042" i="2"/>
  <c r="AJ3042" i="2"/>
  <c r="AF3043" i="2"/>
  <c r="AK3043" i="2"/>
  <c r="AG3043" i="2"/>
  <c r="AH3043" i="2"/>
  <c r="AI3043" i="2"/>
  <c r="AJ3043" i="2"/>
  <c r="AF3044" i="2"/>
  <c r="AK3044" i="2"/>
  <c r="AG3044" i="2"/>
  <c r="AH3044" i="2"/>
  <c r="AI3044" i="2"/>
  <c r="AJ3044" i="2"/>
  <c r="AF3045" i="2"/>
  <c r="AK3045" i="2"/>
  <c r="AG3045" i="2"/>
  <c r="AH3045" i="2"/>
  <c r="AI3045" i="2"/>
  <c r="AJ3045" i="2"/>
  <c r="AF3046" i="2"/>
  <c r="AK3046" i="2"/>
  <c r="AG3046" i="2"/>
  <c r="AH3046" i="2"/>
  <c r="AI3046" i="2"/>
  <c r="AJ3046" i="2"/>
  <c r="AF3047" i="2"/>
  <c r="AK3047" i="2"/>
  <c r="AG3047" i="2"/>
  <c r="AH3047" i="2"/>
  <c r="AI3047" i="2"/>
  <c r="AJ3047" i="2"/>
  <c r="AF3048" i="2"/>
  <c r="AK3048" i="2"/>
  <c r="AG3048" i="2"/>
  <c r="AH3048" i="2"/>
  <c r="AI3048" i="2"/>
  <c r="AJ3048" i="2"/>
  <c r="AF3049" i="2"/>
  <c r="AK3049" i="2"/>
  <c r="AG3049" i="2"/>
  <c r="AH3049" i="2"/>
  <c r="AI3049" i="2"/>
  <c r="AJ3049" i="2"/>
  <c r="AF3050" i="2"/>
  <c r="AK3050" i="2"/>
  <c r="AG3050" i="2"/>
  <c r="AH3050" i="2"/>
  <c r="AI3050" i="2"/>
  <c r="AJ3050" i="2"/>
  <c r="AF3051" i="2"/>
  <c r="AK3051" i="2"/>
  <c r="AG3051" i="2"/>
  <c r="AH3051" i="2"/>
  <c r="AI3051" i="2"/>
  <c r="AJ3051" i="2"/>
  <c r="AF3052" i="2"/>
  <c r="AK3052" i="2"/>
  <c r="AG3052" i="2"/>
  <c r="AH3052" i="2"/>
  <c r="AI3052" i="2"/>
  <c r="AJ3052" i="2"/>
  <c r="AF3053" i="2"/>
  <c r="AK3053" i="2"/>
  <c r="AG3053" i="2"/>
  <c r="AH3053" i="2"/>
  <c r="AI3053" i="2"/>
  <c r="AJ3053" i="2"/>
  <c r="AF3054" i="2"/>
  <c r="AK3054" i="2"/>
  <c r="AG3054" i="2"/>
  <c r="AH3054" i="2"/>
  <c r="AI3054" i="2"/>
  <c r="AJ3054" i="2"/>
  <c r="AF3055" i="2"/>
  <c r="AK3055" i="2"/>
  <c r="AG3055" i="2"/>
  <c r="AH3055" i="2"/>
  <c r="AI3055" i="2"/>
  <c r="AJ3055" i="2"/>
  <c r="AF3056" i="2"/>
  <c r="AK3056" i="2"/>
  <c r="AG3056" i="2"/>
  <c r="AH3056" i="2"/>
  <c r="AI3056" i="2"/>
  <c r="AJ3056" i="2"/>
  <c r="AF3057" i="2"/>
  <c r="AK3057" i="2"/>
  <c r="AG3057" i="2"/>
  <c r="AH3057" i="2"/>
  <c r="AI3057" i="2"/>
  <c r="AJ3057" i="2"/>
  <c r="AF3058" i="2"/>
  <c r="AK3058" i="2"/>
  <c r="AG3058" i="2"/>
  <c r="AH3058" i="2"/>
  <c r="AI3058" i="2"/>
  <c r="AJ3058" i="2"/>
  <c r="AF3059" i="2"/>
  <c r="AK3059" i="2"/>
  <c r="AG3059" i="2"/>
  <c r="AH3059" i="2"/>
  <c r="AI3059" i="2"/>
  <c r="AJ3059" i="2"/>
  <c r="AF3060" i="2"/>
  <c r="AK3060" i="2"/>
  <c r="AG3060" i="2"/>
  <c r="AH3060" i="2"/>
  <c r="AI3060" i="2"/>
  <c r="AJ3060" i="2"/>
  <c r="AF3061" i="2"/>
  <c r="AK3061" i="2"/>
  <c r="AG3061" i="2"/>
  <c r="AH3061" i="2"/>
  <c r="AI3061" i="2"/>
  <c r="AJ3061" i="2"/>
  <c r="AF3062" i="2"/>
  <c r="AK3062" i="2"/>
  <c r="AG3062" i="2"/>
  <c r="AH3062" i="2"/>
  <c r="AI3062" i="2"/>
  <c r="AJ3062" i="2"/>
  <c r="AF3063" i="2"/>
  <c r="AK3063" i="2"/>
  <c r="AG3063" i="2"/>
  <c r="AH3063" i="2"/>
  <c r="AI3063" i="2"/>
  <c r="AJ3063" i="2"/>
  <c r="AF3064" i="2"/>
  <c r="AK3064" i="2"/>
  <c r="AG3064" i="2"/>
  <c r="AH3064" i="2"/>
  <c r="AI3064" i="2"/>
  <c r="AJ3064" i="2"/>
  <c r="AF3065" i="2"/>
  <c r="AK3065" i="2"/>
  <c r="AG3065" i="2"/>
  <c r="AH3065" i="2"/>
  <c r="AI3065" i="2"/>
  <c r="AJ3065" i="2"/>
  <c r="AF3066" i="2"/>
  <c r="AK3066" i="2"/>
  <c r="AG3066" i="2"/>
  <c r="AH3066" i="2"/>
  <c r="AI3066" i="2"/>
  <c r="AJ3066" i="2"/>
  <c r="AF3067" i="2"/>
  <c r="AK3067" i="2"/>
  <c r="AG3067" i="2"/>
  <c r="AH3067" i="2"/>
  <c r="AI3067" i="2"/>
  <c r="AJ3067" i="2"/>
  <c r="AF3068" i="2"/>
  <c r="AK3068" i="2"/>
  <c r="AG3068" i="2"/>
  <c r="AH3068" i="2"/>
  <c r="AI3068" i="2"/>
  <c r="AJ3068" i="2"/>
  <c r="AF3069" i="2"/>
  <c r="AK3069" i="2"/>
  <c r="AG3069" i="2"/>
  <c r="AH3069" i="2"/>
  <c r="AI3069" i="2"/>
  <c r="AJ3069" i="2"/>
  <c r="AF3070" i="2"/>
  <c r="AK3070" i="2"/>
  <c r="AG3070" i="2"/>
  <c r="AH3070" i="2"/>
  <c r="AI3070" i="2"/>
  <c r="AJ3070" i="2"/>
  <c r="AF3071" i="2"/>
  <c r="AK3071" i="2"/>
  <c r="AG3071" i="2"/>
  <c r="AH3071" i="2"/>
  <c r="AI3071" i="2"/>
  <c r="AJ3071" i="2"/>
  <c r="AF3072" i="2"/>
  <c r="AK3072" i="2"/>
  <c r="AG3072" i="2"/>
  <c r="AH3072" i="2"/>
  <c r="AI3072" i="2"/>
  <c r="AJ3072" i="2"/>
  <c r="AF3073" i="2"/>
  <c r="AK3073" i="2"/>
  <c r="AG3073" i="2"/>
  <c r="AH3073" i="2"/>
  <c r="AI3073" i="2"/>
  <c r="AJ3073" i="2"/>
  <c r="AF3074" i="2"/>
  <c r="AK3074" i="2"/>
  <c r="AG3074" i="2"/>
  <c r="AH3074" i="2"/>
  <c r="AI3074" i="2"/>
  <c r="AJ3074" i="2"/>
  <c r="AF3075" i="2"/>
  <c r="AK3075" i="2"/>
  <c r="AG3075" i="2"/>
  <c r="AH3075" i="2"/>
  <c r="AI3075" i="2"/>
  <c r="AJ3075" i="2"/>
  <c r="AF3076" i="2"/>
  <c r="AK3076" i="2"/>
  <c r="AG3076" i="2"/>
  <c r="AH3076" i="2"/>
  <c r="AI3076" i="2"/>
  <c r="AJ3076" i="2"/>
  <c r="AF3077" i="2"/>
  <c r="AK3077" i="2"/>
  <c r="AG3077" i="2"/>
  <c r="AH3077" i="2"/>
  <c r="AI3077" i="2"/>
  <c r="AJ3077" i="2"/>
  <c r="AF3078" i="2"/>
  <c r="AK3078" i="2"/>
  <c r="AG3078" i="2"/>
  <c r="AH3078" i="2"/>
  <c r="AI3078" i="2"/>
  <c r="AJ3078" i="2"/>
  <c r="AF3079" i="2"/>
  <c r="AK3079" i="2"/>
  <c r="AG3079" i="2"/>
  <c r="AH3079" i="2"/>
  <c r="AI3079" i="2"/>
  <c r="AJ3079" i="2"/>
  <c r="AF3080" i="2"/>
  <c r="AK3080" i="2"/>
  <c r="AG3080" i="2"/>
  <c r="AH3080" i="2"/>
  <c r="AI3080" i="2"/>
  <c r="AJ3080" i="2"/>
  <c r="AF3081" i="2"/>
  <c r="AK3081" i="2"/>
  <c r="AG3081" i="2"/>
  <c r="AH3081" i="2"/>
  <c r="AI3081" i="2"/>
  <c r="AJ3081" i="2"/>
  <c r="AF3082" i="2"/>
  <c r="AK3082" i="2"/>
  <c r="AG3082" i="2"/>
  <c r="AH3082" i="2"/>
  <c r="AI3082" i="2"/>
  <c r="AJ3082" i="2"/>
  <c r="AF3083" i="2"/>
  <c r="AK3083" i="2"/>
  <c r="AG3083" i="2"/>
  <c r="AH3083" i="2"/>
  <c r="AI3083" i="2"/>
  <c r="AJ3083" i="2"/>
  <c r="AF3084" i="2"/>
  <c r="AK3084" i="2"/>
  <c r="AG3084" i="2"/>
  <c r="AH3084" i="2"/>
  <c r="AI3084" i="2"/>
  <c r="AJ3084" i="2"/>
  <c r="AF3085" i="2"/>
  <c r="AK3085" i="2"/>
  <c r="AG3085" i="2"/>
  <c r="AH3085" i="2"/>
  <c r="AI3085" i="2"/>
  <c r="AJ3085" i="2"/>
  <c r="AF3086" i="2"/>
  <c r="AK3086" i="2"/>
  <c r="AG3086" i="2"/>
  <c r="AH3086" i="2"/>
  <c r="AI3086" i="2"/>
  <c r="AJ3086" i="2"/>
  <c r="AF3087" i="2"/>
  <c r="AK3087" i="2"/>
  <c r="AG3087" i="2"/>
  <c r="AH3087" i="2"/>
  <c r="AI3087" i="2"/>
  <c r="AJ3087" i="2"/>
  <c r="AF3088" i="2"/>
  <c r="AK3088" i="2"/>
  <c r="AG3088" i="2"/>
  <c r="AH3088" i="2"/>
  <c r="AI3088" i="2"/>
  <c r="AJ3088" i="2"/>
  <c r="AF3089" i="2"/>
  <c r="AK3089" i="2"/>
  <c r="AG3089" i="2"/>
  <c r="AH3089" i="2"/>
  <c r="AI3089" i="2"/>
  <c r="AJ3089" i="2"/>
  <c r="AF3090" i="2"/>
  <c r="AK3090" i="2"/>
  <c r="AG3090" i="2"/>
  <c r="AH3090" i="2"/>
  <c r="AI3090" i="2"/>
  <c r="AJ3090" i="2"/>
  <c r="AF3091" i="2"/>
  <c r="AK3091" i="2"/>
  <c r="AG3091" i="2"/>
  <c r="AH3091" i="2"/>
  <c r="AI3091" i="2"/>
  <c r="AJ3091" i="2"/>
  <c r="AF3092" i="2"/>
  <c r="AK3092" i="2"/>
  <c r="AG3092" i="2"/>
  <c r="AH3092" i="2"/>
  <c r="AI3092" i="2"/>
  <c r="AJ3092" i="2"/>
  <c r="AF3093" i="2"/>
  <c r="AK3093" i="2"/>
  <c r="AG3093" i="2"/>
  <c r="AH3093" i="2"/>
  <c r="AI3093" i="2"/>
  <c r="AJ3093" i="2"/>
  <c r="AF3094" i="2"/>
  <c r="AK3094" i="2"/>
  <c r="AG3094" i="2"/>
  <c r="AH3094" i="2"/>
  <c r="AI3094" i="2"/>
  <c r="AJ3094" i="2"/>
  <c r="AF3095" i="2"/>
  <c r="AK3095" i="2"/>
  <c r="AG3095" i="2"/>
  <c r="AH3095" i="2"/>
  <c r="AI3095" i="2"/>
  <c r="AJ3095" i="2"/>
  <c r="AF3096" i="2"/>
  <c r="AK3096" i="2"/>
  <c r="AG3096" i="2"/>
  <c r="AH3096" i="2"/>
  <c r="AI3096" i="2"/>
  <c r="AJ3096" i="2"/>
  <c r="AF3097" i="2"/>
  <c r="AK3097" i="2"/>
  <c r="AG3097" i="2"/>
  <c r="AH3097" i="2"/>
  <c r="AI3097" i="2"/>
  <c r="AJ3097" i="2"/>
  <c r="AF3098" i="2"/>
  <c r="AK3098" i="2"/>
  <c r="AG3098" i="2"/>
  <c r="AH3098" i="2"/>
  <c r="AI3098" i="2"/>
  <c r="AJ3098" i="2"/>
  <c r="AF3099" i="2"/>
  <c r="AK3099" i="2"/>
  <c r="AG3099" i="2"/>
  <c r="AL3099" i="2"/>
  <c r="AH3099" i="2"/>
  <c r="AI3099" i="2"/>
  <c r="AJ3099" i="2"/>
  <c r="AF3100" i="2"/>
  <c r="AK3100" i="2" s="1"/>
  <c r="AG3100" i="2"/>
  <c r="AH3100" i="2"/>
  <c r="AI3100" i="2"/>
  <c r="AJ3100" i="2"/>
  <c r="AF3101" i="2"/>
  <c r="AK3101" i="2" s="1"/>
  <c r="AG3101" i="2"/>
  <c r="AH3101" i="2"/>
  <c r="AI3101" i="2"/>
  <c r="AJ3101" i="2"/>
  <c r="AF3102" i="2"/>
  <c r="AK3102" i="2" s="1"/>
  <c r="AG3102" i="2"/>
  <c r="AH3102" i="2"/>
  <c r="AI3102" i="2"/>
  <c r="AJ3102" i="2"/>
  <c r="AF3103" i="2"/>
  <c r="AK3103" i="2" s="1"/>
  <c r="AG3103" i="2"/>
  <c r="AH3103" i="2"/>
  <c r="AI3103" i="2"/>
  <c r="AJ3103" i="2"/>
  <c r="AF3104" i="2"/>
  <c r="AK3104" i="2" s="1"/>
  <c r="AG3104" i="2"/>
  <c r="AH3104" i="2"/>
  <c r="AI3104" i="2"/>
  <c r="AJ3104" i="2"/>
  <c r="AF3105" i="2"/>
  <c r="AK3105" i="2" s="1"/>
  <c r="AG3105" i="2"/>
  <c r="AH3105" i="2"/>
  <c r="AI3105" i="2"/>
  <c r="AJ3105" i="2"/>
  <c r="AF3106" i="2"/>
  <c r="AK3106" i="2" s="1"/>
  <c r="AG3106" i="2"/>
  <c r="AH3106" i="2"/>
  <c r="AI3106" i="2"/>
  <c r="AJ3106" i="2"/>
  <c r="AF3107" i="2"/>
  <c r="AK3107" i="2"/>
  <c r="AG3107" i="2"/>
  <c r="AH3107" i="2"/>
  <c r="AI3107" i="2"/>
  <c r="AJ3107" i="2"/>
  <c r="AF3108" i="2"/>
  <c r="AK3108" i="2" s="1"/>
  <c r="AG3108" i="2"/>
  <c r="AH3108" i="2"/>
  <c r="AI3108" i="2"/>
  <c r="AJ3108" i="2"/>
  <c r="AF3109" i="2"/>
  <c r="AK3109" i="2"/>
  <c r="AG3109" i="2"/>
  <c r="AH3109" i="2"/>
  <c r="AI3109" i="2"/>
  <c r="AJ3109" i="2"/>
  <c r="AF3110" i="2"/>
  <c r="AK3110" i="2" s="1"/>
  <c r="AG3110" i="2"/>
  <c r="AH3110" i="2"/>
  <c r="AI3110" i="2"/>
  <c r="AJ3110" i="2"/>
  <c r="AF3111" i="2"/>
  <c r="AK3111" i="2"/>
  <c r="AG3111" i="2"/>
  <c r="AH3111" i="2"/>
  <c r="AI3111" i="2"/>
  <c r="AJ3111" i="2"/>
  <c r="AF3112" i="2"/>
  <c r="AK3112" i="2" s="1"/>
  <c r="AG3112" i="2"/>
  <c r="AH3112" i="2"/>
  <c r="AI3112" i="2"/>
  <c r="AJ3112" i="2"/>
  <c r="AF3113" i="2"/>
  <c r="AK3113" i="2"/>
  <c r="AG3113" i="2"/>
  <c r="AH3113" i="2"/>
  <c r="AI3113" i="2"/>
  <c r="AJ3113" i="2"/>
  <c r="AF3114" i="2"/>
  <c r="AK3114" i="2" s="1"/>
  <c r="AG3114" i="2"/>
  <c r="AH3114" i="2"/>
  <c r="AI3114" i="2"/>
  <c r="AJ3114" i="2"/>
  <c r="AF3115" i="2"/>
  <c r="AK3115" i="2"/>
  <c r="AG3115" i="2"/>
  <c r="AH3115" i="2"/>
  <c r="AI3115" i="2"/>
  <c r="AJ3115" i="2"/>
  <c r="AF3116" i="2"/>
  <c r="AK3116" i="2" s="1"/>
  <c r="AG3116" i="2"/>
  <c r="AH3116" i="2"/>
  <c r="AI3116" i="2"/>
  <c r="AJ3116" i="2"/>
  <c r="AF3117" i="2"/>
  <c r="AK3117" i="2"/>
  <c r="AG3117" i="2"/>
  <c r="AH3117" i="2"/>
  <c r="AI3117" i="2"/>
  <c r="AJ3117" i="2"/>
  <c r="AF3118" i="2"/>
  <c r="AK3118" i="2" s="1"/>
  <c r="AG3118" i="2"/>
  <c r="AH3118" i="2"/>
  <c r="AI3118" i="2"/>
  <c r="AJ3118" i="2"/>
  <c r="AF3119" i="2"/>
  <c r="AK3119" i="2"/>
  <c r="AG3119" i="2"/>
  <c r="AH3119" i="2"/>
  <c r="AI3119" i="2"/>
  <c r="AJ3119" i="2"/>
  <c r="AF3120" i="2"/>
  <c r="AK3120" i="2" s="1"/>
  <c r="AG3120" i="2"/>
  <c r="AH3120" i="2"/>
  <c r="AI3120" i="2"/>
  <c r="AJ3120" i="2"/>
  <c r="AF3121" i="2"/>
  <c r="AK3121" i="2"/>
  <c r="AG3121" i="2"/>
  <c r="AH3121" i="2"/>
  <c r="AI3121" i="2"/>
  <c r="AJ3121" i="2"/>
  <c r="AF3122" i="2"/>
  <c r="AK3122" i="2" s="1"/>
  <c r="AG3122" i="2"/>
  <c r="AH3122" i="2"/>
  <c r="AI3122" i="2"/>
  <c r="AJ3122" i="2"/>
  <c r="AF3123" i="2"/>
  <c r="AK3123" i="2"/>
  <c r="AG3123" i="2"/>
  <c r="AL3123" i="2" s="1"/>
  <c r="AH3123" i="2"/>
  <c r="AI3123" i="2"/>
  <c r="AJ3123" i="2"/>
  <c r="AF3124" i="2"/>
  <c r="AK3124" i="2"/>
  <c r="AG3124" i="2"/>
  <c r="AH3124" i="2"/>
  <c r="AI3124" i="2"/>
  <c r="AJ3124" i="2"/>
  <c r="AF3125" i="2"/>
  <c r="AG3125" i="2"/>
  <c r="AH3125" i="2"/>
  <c r="AI3125" i="2"/>
  <c r="AJ3125" i="2"/>
  <c r="AK3125" i="2"/>
  <c r="AF3126" i="2"/>
  <c r="AK3126" i="2"/>
  <c r="AG3126" i="2"/>
  <c r="AH3126" i="2"/>
  <c r="AI3126" i="2"/>
  <c r="AJ3126" i="2"/>
  <c r="AF3127" i="2"/>
  <c r="AK3127" i="2"/>
  <c r="AG3127" i="2"/>
  <c r="AH3127" i="2"/>
  <c r="AI3127" i="2"/>
  <c r="AJ3127" i="2"/>
  <c r="AF3128" i="2"/>
  <c r="AK3128" i="2"/>
  <c r="AG3128" i="2"/>
  <c r="AH3128" i="2"/>
  <c r="AI3128" i="2"/>
  <c r="AJ3128" i="2"/>
  <c r="AF3129" i="2"/>
  <c r="AG3129" i="2"/>
  <c r="AH3129" i="2"/>
  <c r="AI3129" i="2"/>
  <c r="AJ3129" i="2"/>
  <c r="AK3129" i="2"/>
  <c r="AF3130" i="2"/>
  <c r="AK3130" i="2"/>
  <c r="AG3130" i="2"/>
  <c r="AH3130" i="2"/>
  <c r="AI3130" i="2"/>
  <c r="AJ3130" i="2"/>
  <c r="AF3131" i="2"/>
  <c r="AK3131" i="2"/>
  <c r="AG3131" i="2"/>
  <c r="AH3131" i="2"/>
  <c r="AI3131" i="2"/>
  <c r="AJ3131" i="2"/>
  <c r="AF3132" i="2"/>
  <c r="AK3132" i="2"/>
  <c r="AG3132" i="2"/>
  <c r="AH3132" i="2"/>
  <c r="AI3132" i="2"/>
  <c r="AJ3132" i="2"/>
  <c r="AF3133" i="2"/>
  <c r="AK3133" i="2"/>
  <c r="AG3133" i="2"/>
  <c r="AH3133" i="2"/>
  <c r="AI3133" i="2"/>
  <c r="AJ3133" i="2"/>
  <c r="AF3134" i="2"/>
  <c r="AK3134" i="2"/>
  <c r="AG3134" i="2"/>
  <c r="AH3134" i="2"/>
  <c r="AI3134" i="2"/>
  <c r="AJ3134" i="2"/>
  <c r="AF3135" i="2"/>
  <c r="AK3135" i="2"/>
  <c r="AG3135" i="2"/>
  <c r="AH3135" i="2"/>
  <c r="AI3135" i="2"/>
  <c r="AJ3135" i="2"/>
  <c r="AF3136" i="2"/>
  <c r="AK3136" i="2"/>
  <c r="AG3136" i="2"/>
  <c r="AH3136" i="2"/>
  <c r="AI3136" i="2"/>
  <c r="AJ3136" i="2"/>
  <c r="AF3137" i="2"/>
  <c r="AK3137" i="2"/>
  <c r="AG3137" i="2"/>
  <c r="AH3137" i="2"/>
  <c r="AI3137" i="2"/>
  <c r="AJ3137" i="2"/>
  <c r="AF3138" i="2"/>
  <c r="AK3138" i="2"/>
  <c r="AG3138" i="2"/>
  <c r="AL3138" i="2" s="1"/>
  <c r="AH3138" i="2"/>
  <c r="AI3138" i="2"/>
  <c r="AJ3138" i="2"/>
  <c r="AF3139" i="2"/>
  <c r="AK3139" i="2" s="1"/>
  <c r="AG3139" i="2"/>
  <c r="AH3139" i="2"/>
  <c r="AI3139" i="2"/>
  <c r="AJ3139" i="2"/>
  <c r="AF3140" i="2"/>
  <c r="AK3140" i="2"/>
  <c r="AG3140" i="2"/>
  <c r="AH3140" i="2"/>
  <c r="AI3140" i="2"/>
  <c r="AJ3140" i="2"/>
  <c r="AF3141" i="2"/>
  <c r="AK3141" i="2" s="1"/>
  <c r="AG3141" i="2"/>
  <c r="AH3141" i="2"/>
  <c r="AI3141" i="2"/>
  <c r="AJ3141" i="2"/>
  <c r="AF3142" i="2"/>
  <c r="AK3142" i="2"/>
  <c r="AG3142" i="2"/>
  <c r="AH3142" i="2"/>
  <c r="AI3142" i="2"/>
  <c r="AJ3142" i="2"/>
  <c r="AF3143" i="2"/>
  <c r="AK3143" i="2" s="1"/>
  <c r="AG3143" i="2"/>
  <c r="AH3143" i="2"/>
  <c r="AI3143" i="2"/>
  <c r="AJ3143" i="2"/>
  <c r="AF3144" i="2"/>
  <c r="AK3144" i="2"/>
  <c r="AG3144" i="2"/>
  <c r="AH3144" i="2"/>
  <c r="AI3144" i="2"/>
  <c r="AJ3144" i="2"/>
  <c r="AF3145" i="2"/>
  <c r="AK3145" i="2" s="1"/>
  <c r="AG3145" i="2"/>
  <c r="AH3145" i="2"/>
  <c r="AI3145" i="2"/>
  <c r="AJ3145" i="2"/>
  <c r="AF3146" i="2"/>
  <c r="AK3146" i="2"/>
  <c r="AG3146" i="2"/>
  <c r="AH3146" i="2"/>
  <c r="AI3146" i="2"/>
  <c r="AJ3146" i="2"/>
  <c r="AF3147" i="2"/>
  <c r="AK3147" i="2" s="1"/>
  <c r="AG3147" i="2"/>
  <c r="AH3147" i="2"/>
  <c r="AI3147" i="2"/>
  <c r="AJ3147" i="2"/>
  <c r="AF3148" i="2"/>
  <c r="AK3148" i="2"/>
  <c r="AG3148" i="2"/>
  <c r="AH3148" i="2"/>
  <c r="AI3148" i="2"/>
  <c r="AJ3148" i="2"/>
  <c r="AF3149" i="2"/>
  <c r="AK3149" i="2" s="1"/>
  <c r="AG3149" i="2"/>
  <c r="AH3149" i="2"/>
  <c r="AI3149" i="2"/>
  <c r="AJ3149" i="2"/>
  <c r="AF3150" i="2"/>
  <c r="AK3150" i="2"/>
  <c r="AG3150" i="2"/>
  <c r="AH3150" i="2"/>
  <c r="AI3150" i="2"/>
  <c r="AJ3150" i="2"/>
  <c r="AF3151" i="2"/>
  <c r="AK3151" i="2" s="1"/>
  <c r="AG3151" i="2"/>
  <c r="AH3151" i="2"/>
  <c r="AI3151" i="2"/>
  <c r="AJ3151" i="2"/>
  <c r="AF3152" i="2"/>
  <c r="AK3152" i="2"/>
  <c r="AG3152" i="2"/>
  <c r="AH3152" i="2"/>
  <c r="AI3152" i="2"/>
  <c r="AJ3152" i="2"/>
  <c r="AF3153" i="2"/>
  <c r="AK3153" i="2" s="1"/>
  <c r="AG3153" i="2"/>
  <c r="AH3153" i="2"/>
  <c r="AI3153" i="2"/>
  <c r="AJ3153" i="2"/>
  <c r="AF3154" i="2"/>
  <c r="AK3154" i="2"/>
  <c r="AG3154" i="2"/>
  <c r="AH3154" i="2"/>
  <c r="AI3154" i="2"/>
  <c r="AJ3154" i="2"/>
  <c r="AF3155" i="2"/>
  <c r="AK3155" i="2" s="1"/>
  <c r="AG3155" i="2"/>
  <c r="AH3155" i="2"/>
  <c r="AI3155" i="2"/>
  <c r="AJ3155" i="2"/>
  <c r="AF3156" i="2"/>
  <c r="AK3156" i="2"/>
  <c r="AG3156" i="2"/>
  <c r="AH3156" i="2"/>
  <c r="AI3156" i="2"/>
  <c r="AJ3156" i="2"/>
  <c r="AF3157" i="2"/>
  <c r="AK3157" i="2" s="1"/>
  <c r="AG3157" i="2"/>
  <c r="AH3157" i="2"/>
  <c r="AI3157" i="2"/>
  <c r="AJ3157" i="2"/>
  <c r="AF3158" i="2"/>
  <c r="AK3158" i="2"/>
  <c r="AG3158" i="2"/>
  <c r="AL3158" i="2" s="1"/>
  <c r="AH3158" i="2"/>
  <c r="AI3158" i="2"/>
  <c r="AJ3158" i="2"/>
  <c r="AF3159" i="2"/>
  <c r="AK3159" i="2"/>
  <c r="AG3159" i="2"/>
  <c r="AH3159" i="2"/>
  <c r="AI3159" i="2"/>
  <c r="AJ3159" i="2"/>
  <c r="AF3160" i="2"/>
  <c r="AK3160" i="2"/>
  <c r="AG3160" i="2"/>
  <c r="AH3160" i="2"/>
  <c r="AI3160" i="2"/>
  <c r="AJ3160" i="2"/>
  <c r="AF3161" i="2"/>
  <c r="AK3161" i="2"/>
  <c r="AG3161" i="2"/>
  <c r="AH3161" i="2"/>
  <c r="AI3161" i="2"/>
  <c r="AJ3161" i="2"/>
  <c r="AF3162" i="2"/>
  <c r="AK3162" i="2"/>
  <c r="AG3162" i="2"/>
  <c r="AH3162" i="2"/>
  <c r="AI3162" i="2"/>
  <c r="AJ3162" i="2"/>
  <c r="AF3163" i="2"/>
  <c r="AK3163" i="2"/>
  <c r="AG3163" i="2"/>
  <c r="AH3163" i="2"/>
  <c r="AI3163" i="2"/>
  <c r="AJ3163" i="2"/>
  <c r="AF3164" i="2"/>
  <c r="AK3164" i="2"/>
  <c r="AG3164" i="2"/>
  <c r="AH3164" i="2"/>
  <c r="AI3164" i="2"/>
  <c r="AJ3164" i="2"/>
  <c r="AF3165" i="2"/>
  <c r="AK3165" i="2"/>
  <c r="AG3165" i="2"/>
  <c r="AH3165" i="2"/>
  <c r="AI3165" i="2"/>
  <c r="AJ3165" i="2"/>
  <c r="AF3166" i="2"/>
  <c r="AK3166" i="2"/>
  <c r="AG3166" i="2"/>
  <c r="AH3166" i="2"/>
  <c r="AI3166" i="2"/>
  <c r="AJ3166" i="2"/>
  <c r="AF3167" i="2"/>
  <c r="AG3167" i="2"/>
  <c r="AH3167" i="2"/>
  <c r="AI3167" i="2"/>
  <c r="AJ3167" i="2"/>
  <c r="AK3167" i="2"/>
  <c r="AF3168" i="2"/>
  <c r="AK3168" i="2"/>
  <c r="AG3168" i="2"/>
  <c r="AH3168" i="2"/>
  <c r="AI3168" i="2"/>
  <c r="AJ3168" i="2"/>
  <c r="AF3169" i="2"/>
  <c r="AK3169" i="2"/>
  <c r="AG3169" i="2"/>
  <c r="AH3169" i="2"/>
  <c r="AI3169" i="2"/>
  <c r="AJ3169" i="2"/>
  <c r="AF3170" i="2"/>
  <c r="AK3170" i="2"/>
  <c r="AG3170" i="2"/>
  <c r="AH3170" i="2"/>
  <c r="AI3170" i="2"/>
  <c r="AJ3170" i="2"/>
  <c r="AF3171" i="2"/>
  <c r="AG3171" i="2"/>
  <c r="AH3171" i="2"/>
  <c r="AI3171" i="2"/>
  <c r="AJ3171" i="2"/>
  <c r="AK3171" i="2"/>
  <c r="AF3172" i="2"/>
  <c r="AK3172" i="2"/>
  <c r="AG3172" i="2"/>
  <c r="AH3172" i="2"/>
  <c r="AI3172" i="2"/>
  <c r="AJ3172" i="2"/>
  <c r="AF3173" i="2"/>
  <c r="AK3173" i="2"/>
  <c r="AG3173" i="2"/>
  <c r="AH3173" i="2"/>
  <c r="AI3173" i="2"/>
  <c r="AJ3173" i="2"/>
  <c r="AF3174" i="2"/>
  <c r="AK3174" i="2"/>
  <c r="AG3174" i="2"/>
  <c r="AH3174" i="2"/>
  <c r="AI3174" i="2"/>
  <c r="AJ3174" i="2"/>
  <c r="AF3175" i="2"/>
  <c r="AK3175" i="2"/>
  <c r="AG3175" i="2"/>
  <c r="AH3175" i="2"/>
  <c r="AI3175" i="2"/>
  <c r="AJ3175" i="2"/>
  <c r="AF3176" i="2"/>
  <c r="AK3176" i="2"/>
  <c r="AG3176" i="2"/>
  <c r="AH3176" i="2"/>
  <c r="AI3176" i="2"/>
  <c r="AJ3176" i="2"/>
  <c r="AF3177" i="2"/>
  <c r="AK3177" i="2"/>
  <c r="AG3177" i="2"/>
  <c r="AH3177" i="2"/>
  <c r="AI3177" i="2"/>
  <c r="AJ3177" i="2"/>
  <c r="AF3178" i="2"/>
  <c r="AK3178" i="2"/>
  <c r="AG3178" i="2"/>
  <c r="AH3178" i="2"/>
  <c r="AI3178" i="2"/>
  <c r="AJ3178" i="2"/>
  <c r="AF3179" i="2"/>
  <c r="AK3179" i="2"/>
  <c r="AG3179" i="2"/>
  <c r="AH3179" i="2"/>
  <c r="AI3179" i="2"/>
  <c r="AJ3179" i="2"/>
  <c r="AF3180" i="2"/>
  <c r="AK3180" i="2"/>
  <c r="AG3180" i="2"/>
  <c r="AH3180" i="2"/>
  <c r="AI3180" i="2"/>
  <c r="AJ3180" i="2"/>
  <c r="AF3181" i="2"/>
  <c r="AK3181" i="2"/>
  <c r="AG3181" i="2"/>
  <c r="AH3181" i="2"/>
  <c r="AI3181" i="2"/>
  <c r="AJ3181" i="2"/>
  <c r="AF3182" i="2"/>
  <c r="AK3182" i="2"/>
  <c r="AG3182" i="2"/>
  <c r="AH3182" i="2"/>
  <c r="AI3182" i="2"/>
  <c r="AJ3182" i="2"/>
  <c r="AF3183" i="2"/>
  <c r="AK3183" i="2"/>
  <c r="AG3183" i="2"/>
  <c r="AH3183" i="2"/>
  <c r="AI3183" i="2"/>
  <c r="AJ3183" i="2"/>
  <c r="AF3184" i="2"/>
  <c r="AK3184" i="2"/>
  <c r="AG3184" i="2"/>
  <c r="AH3184" i="2"/>
  <c r="AI3184" i="2"/>
  <c r="AJ3184" i="2"/>
  <c r="AF3185" i="2"/>
  <c r="AK3185" i="2"/>
  <c r="AG3185" i="2"/>
  <c r="AH3185" i="2"/>
  <c r="AI3185" i="2"/>
  <c r="AJ3185" i="2"/>
  <c r="AF3186" i="2"/>
  <c r="AK3186" i="2"/>
  <c r="AG3186" i="2"/>
  <c r="AH3186" i="2"/>
  <c r="AI3186" i="2"/>
  <c r="AJ3186" i="2"/>
  <c r="AF3187" i="2"/>
  <c r="AG3187" i="2"/>
  <c r="AH3187" i="2"/>
  <c r="AI3187" i="2"/>
  <c r="AJ3187" i="2"/>
  <c r="AK3187" i="2"/>
  <c r="AF3188" i="2"/>
  <c r="AK3188" i="2"/>
  <c r="AG3188" i="2"/>
  <c r="AH3188" i="2"/>
  <c r="AI3188" i="2"/>
  <c r="AJ3188" i="2"/>
  <c r="AF3189" i="2"/>
  <c r="AK3189" i="2"/>
  <c r="AG3189" i="2"/>
  <c r="AH3189" i="2"/>
  <c r="AI3189" i="2"/>
  <c r="AJ3189" i="2"/>
  <c r="AF3190" i="2"/>
  <c r="AK3190" i="2"/>
  <c r="AG3190" i="2"/>
  <c r="AH3190" i="2"/>
  <c r="AI3190" i="2"/>
  <c r="AJ3190" i="2"/>
  <c r="AF3191" i="2"/>
  <c r="AK3191" i="2"/>
  <c r="AG3191" i="2"/>
  <c r="AH3191" i="2"/>
  <c r="AI3191" i="2"/>
  <c r="AJ3191" i="2"/>
  <c r="AF3192" i="2"/>
  <c r="AK3192" i="2"/>
  <c r="AG3192" i="2"/>
  <c r="AH3192" i="2"/>
  <c r="AI3192" i="2"/>
  <c r="AJ3192" i="2"/>
  <c r="AF3193" i="2"/>
  <c r="AK3193" i="2"/>
  <c r="AG3193" i="2"/>
  <c r="AH3193" i="2"/>
  <c r="AI3193" i="2"/>
  <c r="AJ3193" i="2"/>
  <c r="AF3194" i="2"/>
  <c r="AK3194" i="2"/>
  <c r="AG3194" i="2"/>
  <c r="AH3194" i="2"/>
  <c r="AI3194" i="2"/>
  <c r="AJ3194" i="2"/>
  <c r="AF3195" i="2"/>
  <c r="AK3195" i="2"/>
  <c r="AG3195" i="2"/>
  <c r="AH3195" i="2"/>
  <c r="AI3195" i="2"/>
  <c r="AJ3195" i="2"/>
  <c r="AF3196" i="2"/>
  <c r="AK3196" i="2"/>
  <c r="AG3196" i="2"/>
  <c r="AH3196" i="2"/>
  <c r="AI3196" i="2"/>
  <c r="AJ3196" i="2"/>
  <c r="AF3197" i="2"/>
  <c r="AK3197" i="2"/>
  <c r="AG3197" i="2"/>
  <c r="AH3197" i="2"/>
  <c r="AI3197" i="2"/>
  <c r="AJ3197" i="2"/>
  <c r="AF3198" i="2"/>
  <c r="AK3198" i="2"/>
  <c r="AG3198" i="2"/>
  <c r="AH3198" i="2"/>
  <c r="AI3198" i="2"/>
  <c r="AJ3198" i="2"/>
  <c r="AF3199" i="2"/>
  <c r="AK3199" i="2"/>
  <c r="AG3199" i="2"/>
  <c r="AH3199" i="2"/>
  <c r="AI3199" i="2"/>
  <c r="AJ3199" i="2"/>
  <c r="AF3200" i="2"/>
  <c r="AK3200" i="2"/>
  <c r="AG3200" i="2"/>
  <c r="AH3200" i="2"/>
  <c r="AI3200" i="2"/>
  <c r="AJ3200" i="2"/>
  <c r="AF3201" i="2"/>
  <c r="AK3201" i="2"/>
  <c r="AG3201" i="2"/>
  <c r="AH3201" i="2"/>
  <c r="AI3201" i="2"/>
  <c r="AJ3201" i="2"/>
  <c r="AF3202" i="2"/>
  <c r="AK3202" i="2"/>
  <c r="AG3202" i="2"/>
  <c r="AH3202" i="2"/>
  <c r="AI3202" i="2"/>
  <c r="AJ3202" i="2"/>
  <c r="AF3203" i="2"/>
  <c r="AK3203" i="2"/>
  <c r="AG3203" i="2"/>
  <c r="AH3203" i="2"/>
  <c r="AI3203" i="2"/>
  <c r="AJ3203" i="2"/>
  <c r="AF3204" i="2"/>
  <c r="AK3204" i="2"/>
  <c r="AG3204" i="2"/>
  <c r="AH3204" i="2"/>
  <c r="AI3204" i="2"/>
  <c r="AJ3204" i="2"/>
  <c r="AF3205" i="2"/>
  <c r="AK3205" i="2"/>
  <c r="AG3205" i="2"/>
  <c r="AH3205" i="2"/>
  <c r="AI3205" i="2"/>
  <c r="AJ3205" i="2"/>
  <c r="AF3206" i="2"/>
  <c r="AK3206" i="2"/>
  <c r="AG3206" i="2"/>
  <c r="AH3206" i="2"/>
  <c r="AI3206" i="2"/>
  <c r="AJ3206" i="2"/>
  <c r="AF3207" i="2"/>
  <c r="AK3207" i="2"/>
  <c r="AG3207" i="2"/>
  <c r="AH3207" i="2"/>
  <c r="AI3207" i="2"/>
  <c r="AJ3207" i="2"/>
  <c r="AF3208" i="2"/>
  <c r="AK3208" i="2"/>
  <c r="AG3208" i="2"/>
  <c r="AH3208" i="2"/>
  <c r="AI3208" i="2"/>
  <c r="AJ3208" i="2"/>
  <c r="AF3209" i="2"/>
  <c r="AK3209" i="2"/>
  <c r="AG3209" i="2"/>
  <c r="AH3209" i="2"/>
  <c r="AI3209" i="2"/>
  <c r="AJ3209" i="2"/>
  <c r="AF3210" i="2"/>
  <c r="AK3210" i="2"/>
  <c r="AG3210" i="2"/>
  <c r="AH3210" i="2"/>
  <c r="AI3210" i="2"/>
  <c r="AJ3210" i="2"/>
  <c r="AF3211" i="2"/>
  <c r="AK3211" i="2"/>
  <c r="AG3211" i="2"/>
  <c r="AH3211" i="2"/>
  <c r="AI3211" i="2"/>
  <c r="AJ3211" i="2"/>
  <c r="AF3212" i="2"/>
  <c r="AK3212" i="2"/>
  <c r="AG3212" i="2"/>
  <c r="AH3212" i="2"/>
  <c r="AI3212" i="2"/>
  <c r="AL3212" i="2" s="1"/>
  <c r="AJ3212" i="2"/>
  <c r="AF3213" i="2"/>
  <c r="AK3213" i="2"/>
  <c r="AG3213" i="2"/>
  <c r="AH3213" i="2"/>
  <c r="AI3213" i="2"/>
  <c r="AJ3213" i="2"/>
  <c r="AF3214" i="2"/>
  <c r="AK3214" i="2" s="1"/>
  <c r="AG3214" i="2"/>
  <c r="AH3214" i="2"/>
  <c r="AI3214" i="2"/>
  <c r="AJ3214" i="2"/>
  <c r="AF3215" i="2"/>
  <c r="AK3215" i="2"/>
  <c r="AG3215" i="2"/>
  <c r="AH3215" i="2"/>
  <c r="AI3215" i="2"/>
  <c r="AJ3215" i="2"/>
  <c r="AF3216" i="2"/>
  <c r="AK3216" i="2" s="1"/>
  <c r="AG3216" i="2"/>
  <c r="AH3216" i="2"/>
  <c r="AI3216" i="2"/>
  <c r="AJ3216" i="2"/>
  <c r="AF3217" i="2"/>
  <c r="AK3217" i="2"/>
  <c r="AG3217" i="2"/>
  <c r="AH3217" i="2"/>
  <c r="AI3217" i="2"/>
  <c r="AJ3217" i="2"/>
  <c r="AF3218" i="2"/>
  <c r="AK3218" i="2" s="1"/>
  <c r="AG3218" i="2"/>
  <c r="AH3218" i="2"/>
  <c r="AI3218" i="2"/>
  <c r="AJ3218" i="2"/>
  <c r="AF3219" i="2"/>
  <c r="AK3219" i="2"/>
  <c r="AG3219" i="2"/>
  <c r="AH3219" i="2"/>
  <c r="AI3219" i="2"/>
  <c r="AJ3219" i="2"/>
  <c r="AF3220" i="2"/>
  <c r="AK3220" i="2" s="1"/>
  <c r="AG3220" i="2"/>
  <c r="AH3220" i="2"/>
  <c r="AI3220" i="2"/>
  <c r="AJ3220" i="2"/>
  <c r="AF3221" i="2"/>
  <c r="AK3221" i="2"/>
  <c r="AG3221" i="2"/>
  <c r="AL3221" i="2" s="1"/>
  <c r="AH3221" i="2"/>
  <c r="AI3221" i="2"/>
  <c r="AJ3221" i="2"/>
  <c r="AF3222" i="2"/>
  <c r="AK3222" i="2"/>
  <c r="AG3222" i="2"/>
  <c r="AH3222" i="2"/>
  <c r="AI3222" i="2"/>
  <c r="AJ3222" i="2"/>
  <c r="AF3223" i="2"/>
  <c r="AK3223" i="2"/>
  <c r="AG3223" i="2"/>
  <c r="AH3223" i="2"/>
  <c r="AI3223" i="2"/>
  <c r="AJ3223" i="2"/>
  <c r="AF3224" i="2"/>
  <c r="AK3224" i="2"/>
  <c r="AG3224" i="2"/>
  <c r="AH3224" i="2"/>
  <c r="AI3224" i="2"/>
  <c r="AJ3224" i="2"/>
  <c r="AF3225" i="2"/>
  <c r="AK3225" i="2"/>
  <c r="AG3225" i="2"/>
  <c r="AH3225" i="2"/>
  <c r="AI3225" i="2"/>
  <c r="AJ3225" i="2"/>
  <c r="AF3226" i="2"/>
  <c r="AK3226" i="2"/>
  <c r="AG3226" i="2"/>
  <c r="AH3226" i="2"/>
  <c r="AI3226" i="2"/>
  <c r="AJ3226" i="2"/>
  <c r="AF3227" i="2"/>
  <c r="AK3227" i="2"/>
  <c r="AG3227" i="2"/>
  <c r="AH3227" i="2"/>
  <c r="AI3227" i="2"/>
  <c r="AJ3227" i="2"/>
  <c r="AF3228" i="2"/>
  <c r="AK3228" i="2"/>
  <c r="AG3228" i="2"/>
  <c r="AH3228" i="2"/>
  <c r="AI3228" i="2"/>
  <c r="AJ3228" i="2"/>
  <c r="AF3229" i="2"/>
  <c r="AK3229" i="2"/>
  <c r="AG3229" i="2"/>
  <c r="AH3229" i="2"/>
  <c r="AI3229" i="2"/>
  <c r="AJ3229" i="2"/>
  <c r="AF3230" i="2"/>
  <c r="AK3230" i="2"/>
  <c r="AG3230" i="2"/>
  <c r="AH3230" i="2"/>
  <c r="AI3230" i="2"/>
  <c r="AJ3230" i="2"/>
  <c r="AF3231" i="2"/>
  <c r="AK3231" i="2"/>
  <c r="AG3231" i="2"/>
  <c r="AH3231" i="2"/>
  <c r="AI3231" i="2"/>
  <c r="AJ3231" i="2"/>
  <c r="AF3232" i="2"/>
  <c r="AK3232" i="2"/>
  <c r="AG3232" i="2"/>
  <c r="AH3232" i="2"/>
  <c r="AI3232" i="2"/>
  <c r="AJ3232" i="2"/>
  <c r="AF3233" i="2"/>
  <c r="AK3233" i="2"/>
  <c r="AG3233" i="2"/>
  <c r="AH3233" i="2"/>
  <c r="AI3233" i="2"/>
  <c r="AJ3233" i="2"/>
  <c r="AF3234" i="2"/>
  <c r="AK3234" i="2"/>
  <c r="AG3234" i="2"/>
  <c r="AL3234" i="2" s="1"/>
  <c r="AH3234" i="2"/>
  <c r="AI3234" i="2"/>
  <c r="AJ3234" i="2"/>
  <c r="AF3235" i="2"/>
  <c r="AK3235" i="2" s="1"/>
  <c r="AG3235" i="2"/>
  <c r="AH3235" i="2"/>
  <c r="AI3235" i="2"/>
  <c r="AJ3235" i="2"/>
  <c r="AF3236" i="2"/>
  <c r="AK3236" i="2"/>
  <c r="AG3236" i="2"/>
  <c r="AH3236" i="2"/>
  <c r="AI3236" i="2"/>
  <c r="AJ3236" i="2"/>
  <c r="AF3237" i="2"/>
  <c r="AK3237" i="2" s="1"/>
  <c r="AG3237" i="2"/>
  <c r="AH3237" i="2"/>
  <c r="AI3237" i="2"/>
  <c r="AJ3237" i="2"/>
  <c r="AF3238" i="2"/>
  <c r="AK3238" i="2"/>
  <c r="AG3238" i="2"/>
  <c r="AH3238" i="2"/>
  <c r="AI3238" i="2"/>
  <c r="AJ3238" i="2"/>
  <c r="AF3239" i="2"/>
  <c r="AK3239" i="2" s="1"/>
  <c r="AG3239" i="2"/>
  <c r="AH3239" i="2"/>
  <c r="AI3239" i="2"/>
  <c r="AJ3239" i="2"/>
  <c r="AF3240" i="2"/>
  <c r="AK3240" i="2"/>
  <c r="AG3240" i="2"/>
  <c r="AH3240" i="2"/>
  <c r="AI3240" i="2"/>
  <c r="AJ3240" i="2"/>
  <c r="AF3241" i="2"/>
  <c r="AK3241" i="2" s="1"/>
  <c r="AG3241" i="2"/>
  <c r="AH3241" i="2"/>
  <c r="AI3241" i="2"/>
  <c r="AJ3241" i="2"/>
  <c r="AF3242" i="2"/>
  <c r="AK3242" i="2"/>
  <c r="AG3242" i="2"/>
  <c r="AH3242" i="2"/>
  <c r="AI3242" i="2"/>
  <c r="AJ3242" i="2"/>
  <c r="AF3243" i="2"/>
  <c r="AK3243" i="2" s="1"/>
  <c r="AG3243" i="2"/>
  <c r="AH3243" i="2"/>
  <c r="AI3243" i="2"/>
  <c r="AJ3243" i="2"/>
  <c r="AF3244" i="2"/>
  <c r="AK3244" i="2"/>
  <c r="AG3244" i="2"/>
  <c r="AH3244" i="2"/>
  <c r="AI3244" i="2"/>
  <c r="AJ3244" i="2"/>
  <c r="AF3245" i="2"/>
  <c r="AK3245" i="2" s="1"/>
  <c r="AG3245" i="2"/>
  <c r="AH3245" i="2"/>
  <c r="AI3245" i="2"/>
  <c r="AJ3245" i="2"/>
  <c r="AF3246" i="2"/>
  <c r="AK3246" i="2"/>
  <c r="AG3246" i="2"/>
  <c r="AH3246" i="2"/>
  <c r="AI3246" i="2"/>
  <c r="AJ3246" i="2"/>
  <c r="AF3247" i="2"/>
  <c r="AK3247" i="2" s="1"/>
  <c r="AG3247" i="2"/>
  <c r="AH3247" i="2"/>
  <c r="AI3247" i="2"/>
  <c r="AJ3247" i="2"/>
  <c r="AF3248" i="2"/>
  <c r="AK3248" i="2"/>
  <c r="AG3248" i="2"/>
  <c r="AH3248" i="2"/>
  <c r="AI3248" i="2"/>
  <c r="AJ3248" i="2"/>
  <c r="AF3249" i="2"/>
  <c r="AK3249" i="2" s="1"/>
  <c r="AG3249" i="2"/>
  <c r="AH3249" i="2"/>
  <c r="AI3249" i="2"/>
  <c r="AJ3249" i="2"/>
  <c r="AF3250" i="2"/>
  <c r="AK3250" i="2"/>
  <c r="AG3250" i="2"/>
  <c r="AH3250" i="2"/>
  <c r="AI3250" i="2"/>
  <c r="AJ3250" i="2"/>
  <c r="AF3251" i="2"/>
  <c r="AK3251" i="2" s="1"/>
  <c r="AG3251" i="2"/>
  <c r="AH3251" i="2"/>
  <c r="AI3251" i="2"/>
  <c r="AJ3251" i="2"/>
  <c r="AF3252" i="2"/>
  <c r="AK3252" i="2"/>
  <c r="AG3252" i="2"/>
  <c r="AH3252" i="2"/>
  <c r="AI3252" i="2"/>
  <c r="AJ3252" i="2"/>
  <c r="AF3253" i="2"/>
  <c r="AK3253" i="2" s="1"/>
  <c r="AG3253" i="2"/>
  <c r="AH3253" i="2"/>
  <c r="AI3253" i="2"/>
  <c r="AJ3253" i="2"/>
  <c r="AF3254" i="2"/>
  <c r="AK3254" i="2"/>
  <c r="AG3254" i="2"/>
  <c r="AH3254" i="2"/>
  <c r="AI3254" i="2"/>
  <c r="AL3254" i="2"/>
  <c r="AJ3254" i="2"/>
  <c r="AF3255" i="2"/>
  <c r="AK3255" i="2"/>
  <c r="AG3255" i="2"/>
  <c r="AL3255" i="2" s="1"/>
  <c r="AH3255" i="2"/>
  <c r="AI3255" i="2"/>
  <c r="AJ3255" i="2"/>
  <c r="AF3256" i="2"/>
  <c r="AK3256" i="2"/>
  <c r="AG3256" i="2"/>
  <c r="AH3256" i="2"/>
  <c r="AI3256" i="2"/>
  <c r="AJ3256" i="2"/>
  <c r="AF3257" i="2"/>
  <c r="AK3257" i="2"/>
  <c r="AG3257" i="2"/>
  <c r="AH3257" i="2"/>
  <c r="AI3257" i="2"/>
  <c r="AJ3257" i="2"/>
  <c r="AF3258" i="2"/>
  <c r="AK3258" i="2"/>
  <c r="AG3258" i="2"/>
  <c r="AH3258" i="2"/>
  <c r="AI3258" i="2"/>
  <c r="AJ3258" i="2"/>
  <c r="AF3259" i="2"/>
  <c r="AK3259" i="2"/>
  <c r="AG3259" i="2"/>
  <c r="AH3259" i="2"/>
  <c r="AI3259" i="2"/>
  <c r="AJ3259" i="2"/>
  <c r="AF3260" i="2"/>
  <c r="AK3260" i="2"/>
  <c r="AG3260" i="2"/>
  <c r="AH3260" i="2"/>
  <c r="AI3260" i="2"/>
  <c r="AJ3260" i="2"/>
  <c r="AF3261" i="2"/>
  <c r="AK3261" i="2"/>
  <c r="AG3261" i="2"/>
  <c r="AH3261" i="2"/>
  <c r="AI3261" i="2"/>
  <c r="AJ3261" i="2"/>
  <c r="AF3262" i="2"/>
  <c r="AK3262" i="2"/>
  <c r="AG3262" i="2"/>
  <c r="AH3262" i="2"/>
  <c r="AI3262" i="2"/>
  <c r="AJ3262" i="2"/>
  <c r="AF3263" i="2"/>
  <c r="AK3263" i="2"/>
  <c r="AG3263" i="2"/>
  <c r="AH3263" i="2"/>
  <c r="AI3263" i="2"/>
  <c r="AJ3263" i="2"/>
  <c r="AF3264" i="2"/>
  <c r="AK3264" i="2"/>
  <c r="AG3264" i="2"/>
  <c r="AH3264" i="2"/>
  <c r="AI3264" i="2"/>
  <c r="AJ3264" i="2"/>
  <c r="AF3265" i="2"/>
  <c r="AK3265" i="2"/>
  <c r="AG3265" i="2"/>
  <c r="AH3265" i="2"/>
  <c r="AI3265" i="2"/>
  <c r="AJ3265" i="2"/>
  <c r="AF3266" i="2"/>
  <c r="AK3266" i="2"/>
  <c r="AG3266" i="2"/>
  <c r="AH3266" i="2"/>
  <c r="AI3266" i="2"/>
  <c r="AJ3266" i="2"/>
  <c r="AF3267" i="2"/>
  <c r="AK3267" i="2"/>
  <c r="AG3267" i="2"/>
  <c r="AH3267" i="2"/>
  <c r="AI3267" i="2"/>
  <c r="AJ3267" i="2"/>
  <c r="AF3268" i="2"/>
  <c r="AK3268" i="2"/>
  <c r="AG3268" i="2"/>
  <c r="AH3268" i="2"/>
  <c r="AI3268" i="2"/>
  <c r="AJ3268" i="2"/>
  <c r="AF3269" i="2"/>
  <c r="AK3269" i="2"/>
  <c r="AG3269" i="2"/>
  <c r="AH3269" i="2"/>
  <c r="AI3269" i="2"/>
  <c r="AJ3269" i="2"/>
  <c r="AF3270" i="2"/>
  <c r="AK3270" i="2"/>
  <c r="AG3270" i="2"/>
  <c r="AH3270" i="2"/>
  <c r="AI3270" i="2"/>
  <c r="AJ3270" i="2"/>
  <c r="AF3271" i="2"/>
  <c r="AK3271" i="2"/>
  <c r="AG3271" i="2"/>
  <c r="AH3271" i="2"/>
  <c r="AI3271" i="2"/>
  <c r="AJ3271" i="2"/>
  <c r="AF3272" i="2"/>
  <c r="AK3272" i="2"/>
  <c r="AG3272" i="2"/>
  <c r="AL3272" i="2"/>
  <c r="AH3272" i="2"/>
  <c r="AI3272" i="2"/>
  <c r="AJ3272" i="2"/>
  <c r="AF3273" i="2"/>
  <c r="AK3273" i="2" s="1"/>
  <c r="AG3273" i="2"/>
  <c r="AH3273" i="2"/>
  <c r="AI3273" i="2"/>
  <c r="AJ3273" i="2"/>
  <c r="AF3274" i="2"/>
  <c r="AK3274" i="2"/>
  <c r="AG3274" i="2"/>
  <c r="AH3274" i="2"/>
  <c r="AI3274" i="2"/>
  <c r="AJ3274" i="2"/>
  <c r="AF3275" i="2"/>
  <c r="AK3275" i="2" s="1"/>
  <c r="AG3275" i="2"/>
  <c r="AH3275" i="2"/>
  <c r="AI3275" i="2"/>
  <c r="AJ3275" i="2"/>
  <c r="AF3276" i="2"/>
  <c r="AK3276" i="2"/>
  <c r="AG3276" i="2"/>
  <c r="AH3276" i="2"/>
  <c r="AI3276" i="2"/>
  <c r="AJ3276" i="2"/>
  <c r="AF3277" i="2"/>
  <c r="AK3277" i="2" s="1"/>
  <c r="AG3277" i="2"/>
  <c r="AH3277" i="2"/>
  <c r="AI3277" i="2"/>
  <c r="AJ3277" i="2"/>
  <c r="AF3278" i="2"/>
  <c r="AK3278" i="2"/>
  <c r="AG3278" i="2"/>
  <c r="AH3278" i="2"/>
  <c r="AI3278" i="2"/>
  <c r="AJ3278" i="2"/>
  <c r="AF3279" i="2"/>
  <c r="AK3279" i="2" s="1"/>
  <c r="AG3279" i="2"/>
  <c r="AH3279" i="2"/>
  <c r="AI3279" i="2"/>
  <c r="AJ3279" i="2"/>
  <c r="AF3280" i="2"/>
  <c r="AK3280" i="2"/>
  <c r="AG3280" i="2"/>
  <c r="AH3280" i="2"/>
  <c r="AI3280" i="2"/>
  <c r="AJ3280" i="2"/>
  <c r="AF3281" i="2"/>
  <c r="AK3281" i="2" s="1"/>
  <c r="AG3281" i="2"/>
  <c r="AH3281" i="2"/>
  <c r="AI3281" i="2"/>
  <c r="AJ3281" i="2"/>
  <c r="AF3282" i="2"/>
  <c r="AK3282" i="2"/>
  <c r="AG3282" i="2"/>
  <c r="AH3282" i="2"/>
  <c r="AI3282" i="2"/>
  <c r="AJ3282" i="2"/>
  <c r="AF3283" i="2"/>
  <c r="AK3283" i="2" s="1"/>
  <c r="AG3283" i="2"/>
  <c r="AH3283" i="2"/>
  <c r="AI3283" i="2"/>
  <c r="AJ3283" i="2"/>
  <c r="AF3284" i="2"/>
  <c r="AK3284" i="2"/>
  <c r="AG3284" i="2"/>
  <c r="AH3284" i="2"/>
  <c r="AI3284" i="2"/>
  <c r="AJ3284" i="2"/>
  <c r="AL3284" i="2" s="1"/>
  <c r="AF3285" i="2"/>
  <c r="AK3285" i="2"/>
  <c r="AG3285" i="2"/>
  <c r="AL3285" i="2" s="1"/>
  <c r="AH3285" i="2"/>
  <c r="AI3285" i="2"/>
  <c r="AJ3285" i="2"/>
  <c r="AF3286" i="2"/>
  <c r="AK3286" i="2" s="1"/>
  <c r="AG3286" i="2"/>
  <c r="AH3286" i="2"/>
  <c r="AI3286" i="2"/>
  <c r="AJ3286" i="2"/>
  <c r="AF3287" i="2"/>
  <c r="AK3287" i="2"/>
  <c r="AG3287" i="2"/>
  <c r="AH3287" i="2"/>
  <c r="AI3287" i="2"/>
  <c r="AJ3287" i="2"/>
  <c r="AF3288" i="2"/>
  <c r="AK3288" i="2" s="1"/>
  <c r="AG3288" i="2"/>
  <c r="AH3288" i="2"/>
  <c r="AI3288" i="2"/>
  <c r="AJ3288" i="2"/>
  <c r="AF3289" i="2"/>
  <c r="AK3289" i="2"/>
  <c r="AG3289" i="2"/>
  <c r="AL3289" i="2" s="1"/>
  <c r="AH3289" i="2"/>
  <c r="AI3289" i="2"/>
  <c r="AJ3289" i="2"/>
  <c r="AF3290" i="2"/>
  <c r="AK3290" i="2"/>
  <c r="AG3290" i="2"/>
  <c r="AH3290" i="2"/>
  <c r="AI3290" i="2"/>
  <c r="AJ3290" i="2"/>
  <c r="AF3291" i="2"/>
  <c r="AK3291" i="2"/>
  <c r="AG3291" i="2"/>
  <c r="AH3291" i="2"/>
  <c r="AI3291" i="2"/>
  <c r="AJ3291" i="2"/>
  <c r="AF3292" i="2"/>
  <c r="AK3292" i="2"/>
  <c r="AG3292" i="2"/>
  <c r="AH3292" i="2"/>
  <c r="AI3292" i="2"/>
  <c r="AJ3292" i="2"/>
  <c r="AF3293" i="2"/>
  <c r="AK3293" i="2"/>
  <c r="AG3293" i="2"/>
  <c r="AH3293" i="2"/>
  <c r="AI3293" i="2"/>
  <c r="AJ3293" i="2"/>
  <c r="AF3294" i="2"/>
  <c r="AK3294" i="2"/>
  <c r="AG3294" i="2"/>
  <c r="AH3294" i="2"/>
  <c r="AI3294" i="2"/>
  <c r="AJ3294" i="2"/>
  <c r="AF3295" i="2"/>
  <c r="AK3295" i="2"/>
  <c r="AG3295" i="2"/>
  <c r="AH3295" i="2"/>
  <c r="AI3295" i="2"/>
  <c r="AJ3295" i="2"/>
  <c r="AF3296" i="2"/>
  <c r="AK3296" i="2"/>
  <c r="AG3296" i="2"/>
  <c r="AH3296" i="2"/>
  <c r="AI3296" i="2"/>
  <c r="AJ3296" i="2"/>
  <c r="AF3297" i="2"/>
  <c r="AK3297" i="2"/>
  <c r="AG3297" i="2"/>
  <c r="AH3297" i="2"/>
  <c r="AI3297" i="2"/>
  <c r="AJ3297" i="2"/>
  <c r="AF3298" i="2"/>
  <c r="AK3298" i="2"/>
  <c r="AG3298" i="2"/>
  <c r="AH3298" i="2"/>
  <c r="AI3298" i="2"/>
  <c r="AJ3298" i="2"/>
  <c r="AF3299" i="2"/>
  <c r="AK3299" i="2"/>
  <c r="AG3299" i="2"/>
  <c r="AH3299" i="2"/>
  <c r="AI3299" i="2"/>
  <c r="AJ3299" i="2"/>
  <c r="AF3300" i="2"/>
  <c r="AK3300" i="2"/>
  <c r="AG3300" i="2"/>
  <c r="AL3300" i="2" s="1"/>
  <c r="AH3300" i="2"/>
  <c r="AI3300" i="2"/>
  <c r="AJ3300" i="2"/>
  <c r="AF3301" i="2"/>
  <c r="AK3301" i="2" s="1"/>
  <c r="AG3301" i="2"/>
  <c r="AH3301" i="2"/>
  <c r="AI3301" i="2"/>
  <c r="AJ3301" i="2"/>
  <c r="AF3302" i="2"/>
  <c r="AK3302" i="2"/>
  <c r="AG3302" i="2"/>
  <c r="AL3302" i="2" s="1"/>
  <c r="AH3302" i="2"/>
  <c r="AI3302" i="2"/>
  <c r="AJ3302" i="2"/>
  <c r="AF3303" i="2"/>
  <c r="AK3303" i="2"/>
  <c r="AG3303" i="2"/>
  <c r="AH3303" i="2"/>
  <c r="AI3303" i="2"/>
  <c r="AJ3303" i="2"/>
  <c r="AF3304" i="2"/>
  <c r="AK3304" i="2"/>
  <c r="AG3304" i="2"/>
  <c r="AH3304" i="2"/>
  <c r="AI3304" i="2"/>
  <c r="AJ3304" i="2"/>
  <c r="AF3305" i="2"/>
  <c r="AK3305" i="2"/>
  <c r="AG3305" i="2"/>
  <c r="AH3305" i="2"/>
  <c r="AI3305" i="2"/>
  <c r="AJ3305" i="2"/>
  <c r="AF3306" i="2"/>
  <c r="AK3306" i="2"/>
  <c r="AG3306" i="2"/>
  <c r="AH3306" i="2"/>
  <c r="AL3306" i="2" s="1"/>
  <c r="AI3306" i="2"/>
  <c r="AJ3306" i="2"/>
  <c r="AF3307" i="2"/>
  <c r="AK3307" i="2"/>
  <c r="AG3307" i="2"/>
  <c r="AL3307" i="2" s="1"/>
  <c r="AH3307" i="2"/>
  <c r="AI3307" i="2"/>
  <c r="AJ3307" i="2"/>
  <c r="AF3308" i="2"/>
  <c r="AK3308" i="2"/>
  <c r="AG3308" i="2"/>
  <c r="AH3308" i="2"/>
  <c r="AI3308" i="2"/>
  <c r="AJ3308" i="2"/>
  <c r="AF3309" i="2"/>
  <c r="AK3309" i="2"/>
  <c r="AG3309" i="2"/>
  <c r="AL3309" i="2" s="1"/>
  <c r="AH3309" i="2"/>
  <c r="AI3309" i="2"/>
  <c r="AJ3309" i="2"/>
  <c r="AF3310" i="2"/>
  <c r="AK3310" i="2"/>
  <c r="AG3310" i="2"/>
  <c r="AL3310" i="2" s="1"/>
  <c r="AH3310" i="2"/>
  <c r="AI3310" i="2"/>
  <c r="AJ3310" i="2"/>
  <c r="AF3311" i="2"/>
  <c r="AK3311" i="2"/>
  <c r="AG3311" i="2"/>
  <c r="AH3311" i="2"/>
  <c r="AI3311" i="2"/>
  <c r="AJ3311" i="2"/>
  <c r="AF3312" i="2"/>
  <c r="AK3312" i="2"/>
  <c r="AG3312" i="2"/>
  <c r="AH3312" i="2"/>
  <c r="AI3312" i="2"/>
  <c r="AJ3312" i="2"/>
  <c r="AF3313" i="2"/>
  <c r="AK3313" i="2"/>
  <c r="AG3313" i="2"/>
  <c r="AH3313" i="2"/>
  <c r="AI3313" i="2"/>
  <c r="AJ3313" i="2"/>
  <c r="AF3314" i="2"/>
  <c r="AK3314" i="2"/>
  <c r="AG3314" i="2"/>
  <c r="AH3314" i="2"/>
  <c r="AI3314" i="2"/>
  <c r="AJ3314" i="2"/>
  <c r="AF3315" i="2"/>
  <c r="AK3315" i="2"/>
  <c r="AG3315" i="2"/>
  <c r="AH3315" i="2"/>
  <c r="AI3315" i="2"/>
  <c r="AJ3315" i="2"/>
  <c r="AF3316" i="2"/>
  <c r="AK3316" i="2"/>
  <c r="AG3316" i="2"/>
  <c r="AL3316" i="2" s="1"/>
  <c r="AH3316" i="2"/>
  <c r="AI3316" i="2"/>
  <c r="AJ3316" i="2"/>
  <c r="AF3317" i="2"/>
  <c r="AK3317" i="2"/>
  <c r="AG3317" i="2"/>
  <c r="AH3317" i="2"/>
  <c r="AI3317" i="2"/>
  <c r="AJ3317" i="2"/>
  <c r="AF3318" i="2"/>
  <c r="AK3318" i="2" s="1"/>
  <c r="AG3318" i="2"/>
  <c r="AH3318" i="2"/>
  <c r="AI3318" i="2"/>
  <c r="AJ3318" i="2"/>
  <c r="AF3319" i="2"/>
  <c r="AK3319" i="2"/>
  <c r="AG3319" i="2"/>
  <c r="AH3319" i="2"/>
  <c r="AI3319" i="2"/>
  <c r="AJ3319" i="2"/>
  <c r="AF3320" i="2"/>
  <c r="AK3320" i="2" s="1"/>
  <c r="AL3320" i="2" s="1"/>
  <c r="AG3320" i="2"/>
  <c r="AH3320" i="2"/>
  <c r="AI3320" i="2"/>
  <c r="AJ3320" i="2"/>
  <c r="AF3321" i="2"/>
  <c r="AK3321" i="2"/>
  <c r="AG3321" i="2"/>
  <c r="AH3321" i="2"/>
  <c r="AI3321" i="2"/>
  <c r="AJ3321" i="2"/>
  <c r="AF3322" i="2"/>
  <c r="AK3322" i="2"/>
  <c r="AG3322" i="2"/>
  <c r="AH3322" i="2"/>
  <c r="AI3322" i="2"/>
  <c r="AJ3322" i="2"/>
  <c r="AF3323" i="2"/>
  <c r="AK3323" i="2"/>
  <c r="AG3323" i="2"/>
  <c r="AH3323" i="2"/>
  <c r="AI3323" i="2"/>
  <c r="AJ3323" i="2"/>
  <c r="AF3324" i="2"/>
  <c r="AK3324" i="2"/>
  <c r="AG3324" i="2"/>
  <c r="AH3324" i="2"/>
  <c r="AI3324" i="2"/>
  <c r="AJ3324" i="2"/>
  <c r="AF3325" i="2"/>
  <c r="AK3325" i="2"/>
  <c r="AG3325" i="2"/>
  <c r="AH3325" i="2"/>
  <c r="AI3325" i="2"/>
  <c r="AJ3325" i="2"/>
  <c r="AF3326" i="2"/>
  <c r="AK3326" i="2"/>
  <c r="AG3326" i="2"/>
  <c r="AH3326" i="2"/>
  <c r="AI3326" i="2"/>
  <c r="AJ3326" i="2"/>
  <c r="AF3327" i="2"/>
  <c r="AK3327" i="2"/>
  <c r="AG3327" i="2"/>
  <c r="AH3327" i="2"/>
  <c r="AL3327" i="2" s="1"/>
  <c r="AI3327" i="2"/>
  <c r="AJ3327" i="2"/>
  <c r="AF3328" i="2"/>
  <c r="AK3328" i="2"/>
  <c r="AG3328" i="2"/>
  <c r="AL3328" i="2" s="1"/>
  <c r="AH3328" i="2"/>
  <c r="AI3328" i="2"/>
  <c r="AJ3328" i="2"/>
  <c r="AF3329" i="2"/>
  <c r="AK3329" i="2"/>
  <c r="AG3329" i="2"/>
  <c r="AH3329" i="2"/>
  <c r="AI3329" i="2"/>
  <c r="AJ3329" i="2"/>
  <c r="AF3330" i="2"/>
  <c r="AK3330" i="2"/>
  <c r="AG3330" i="2"/>
  <c r="AL3330" i="2" s="1"/>
  <c r="AH3330" i="2"/>
  <c r="AI3330" i="2"/>
  <c r="AJ3330" i="2"/>
  <c r="AF3331" i="2"/>
  <c r="AK3331" i="2"/>
  <c r="AG3331" i="2"/>
  <c r="AH3331" i="2"/>
  <c r="AI3331" i="2"/>
  <c r="AJ3331" i="2"/>
  <c r="AF3332" i="2"/>
  <c r="AK3332" i="2" s="1"/>
  <c r="AG3332" i="2"/>
  <c r="AH3332" i="2"/>
  <c r="AI3332" i="2"/>
  <c r="AJ3332" i="2"/>
  <c r="AF3333" i="2"/>
  <c r="AK3333" i="2"/>
  <c r="AG3333" i="2"/>
  <c r="AH3333" i="2"/>
  <c r="AI3333" i="2"/>
  <c r="AJ3333" i="2"/>
  <c r="AF3334" i="2"/>
  <c r="AK3334" i="2" s="1"/>
  <c r="AG3334" i="2"/>
  <c r="AH3334" i="2"/>
  <c r="AI3334" i="2"/>
  <c r="AJ3334" i="2"/>
  <c r="AF3335" i="2"/>
  <c r="AK3335" i="2"/>
  <c r="AG3335" i="2"/>
  <c r="AH3335" i="2"/>
  <c r="AI3335" i="2"/>
  <c r="AJ3335" i="2"/>
  <c r="AF3336" i="2"/>
  <c r="AK3336" i="2" s="1"/>
  <c r="AG3336" i="2"/>
  <c r="AH3336" i="2"/>
  <c r="AI3336" i="2"/>
  <c r="AJ3336" i="2"/>
  <c r="AF3337" i="2"/>
  <c r="AK3337" i="2"/>
  <c r="AG3337" i="2"/>
  <c r="AH3337" i="2"/>
  <c r="AI3337" i="2"/>
  <c r="AJ3337" i="2"/>
  <c r="AF3338" i="2"/>
  <c r="AK3338" i="2" s="1"/>
  <c r="AG3338" i="2"/>
  <c r="AH3338" i="2"/>
  <c r="AI3338" i="2"/>
  <c r="AJ3338" i="2"/>
  <c r="AF3339" i="2"/>
  <c r="AK3339" i="2"/>
  <c r="AG3339" i="2"/>
  <c r="AH3339" i="2"/>
  <c r="AI3339" i="2"/>
  <c r="AJ3339" i="2"/>
  <c r="AF3340" i="2"/>
  <c r="AK3340" i="2" s="1"/>
  <c r="AG3340" i="2"/>
  <c r="AH3340" i="2"/>
  <c r="AI3340" i="2"/>
  <c r="AJ3340" i="2"/>
  <c r="AF3341" i="2"/>
  <c r="AK3341" i="2"/>
  <c r="AG3341" i="2"/>
  <c r="AH3341" i="2"/>
  <c r="AI3341" i="2"/>
  <c r="AJ3341" i="2"/>
  <c r="AF3342" i="2"/>
  <c r="AK3342" i="2" s="1"/>
  <c r="AG3342" i="2"/>
  <c r="AH3342" i="2"/>
  <c r="AI3342" i="2"/>
  <c r="AJ3342" i="2"/>
  <c r="AF3343" i="2"/>
  <c r="AK3343" i="2"/>
  <c r="AG3343" i="2"/>
  <c r="AH3343" i="2"/>
  <c r="AI3343" i="2"/>
  <c r="AJ3343" i="2"/>
  <c r="AF3344" i="2"/>
  <c r="AK3344" i="2" s="1"/>
  <c r="AG3344" i="2"/>
  <c r="AH3344" i="2"/>
  <c r="AL3344" i="2" s="1"/>
  <c r="AI3344" i="2"/>
  <c r="AJ3344" i="2"/>
  <c r="AF3345" i="2"/>
  <c r="AK3345" i="2"/>
  <c r="AG3345" i="2"/>
  <c r="AH3345" i="2"/>
  <c r="AI3345" i="2"/>
  <c r="AJ3345" i="2"/>
  <c r="AF3346" i="2"/>
  <c r="AK3346" i="2"/>
  <c r="AG3346" i="2"/>
  <c r="AH3346" i="2"/>
  <c r="AI3346" i="2"/>
  <c r="AJ3346" i="2"/>
  <c r="AF3347" i="2"/>
  <c r="AK3347" i="2"/>
  <c r="AG3347" i="2"/>
  <c r="AH3347" i="2"/>
  <c r="AI3347" i="2"/>
  <c r="AJ3347" i="2"/>
  <c r="AF3348" i="2"/>
  <c r="AK3348" i="2"/>
  <c r="AG3348" i="2"/>
  <c r="AH3348" i="2"/>
  <c r="AI3348" i="2"/>
  <c r="AJ3348" i="2"/>
  <c r="AF3349" i="2"/>
  <c r="AK3349" i="2"/>
  <c r="AG3349" i="2"/>
  <c r="AH3349" i="2"/>
  <c r="AI3349" i="2"/>
  <c r="AJ3349" i="2"/>
  <c r="AF3350" i="2"/>
  <c r="AK3350" i="2"/>
  <c r="AG3350" i="2"/>
  <c r="AH3350" i="2"/>
  <c r="AI3350" i="2"/>
  <c r="AJ3350" i="2"/>
  <c r="AF3351" i="2"/>
  <c r="AK3351" i="2"/>
  <c r="AG3351" i="2"/>
  <c r="AH3351" i="2"/>
  <c r="AI3351" i="2"/>
  <c r="AJ3351" i="2"/>
  <c r="AF3352" i="2"/>
  <c r="AK3352" i="2"/>
  <c r="AG3352" i="2"/>
  <c r="AH3352" i="2"/>
  <c r="AI3352" i="2"/>
  <c r="AJ3352" i="2"/>
  <c r="AF3353" i="2"/>
  <c r="AK3353" i="2"/>
  <c r="AG3353" i="2"/>
  <c r="AH3353" i="2"/>
  <c r="AI3353" i="2"/>
  <c r="AL3353" i="2" s="1"/>
  <c r="AJ3353" i="2"/>
  <c r="AF3354" i="2"/>
  <c r="AK3354" i="2"/>
  <c r="AG3354" i="2"/>
  <c r="AH3354" i="2"/>
  <c r="AI3354" i="2"/>
  <c r="AJ3354" i="2"/>
  <c r="AF3355" i="2"/>
  <c r="AK3355" i="2" s="1"/>
  <c r="AG3355" i="2"/>
  <c r="AH3355" i="2"/>
  <c r="AI3355" i="2"/>
  <c r="AJ3355" i="2"/>
  <c r="AF3356" i="2"/>
  <c r="AK3356" i="2"/>
  <c r="AG3356" i="2"/>
  <c r="AH3356" i="2"/>
  <c r="AI3356" i="2"/>
  <c r="AJ3356" i="2"/>
  <c r="AF3357" i="2"/>
  <c r="AK3357" i="2" s="1"/>
  <c r="AG3357" i="2"/>
  <c r="AH3357" i="2"/>
  <c r="AI3357" i="2"/>
  <c r="AJ3357" i="2"/>
  <c r="AF3358" i="2"/>
  <c r="AK3358" i="2"/>
  <c r="AG3358" i="2"/>
  <c r="AH3358" i="2"/>
  <c r="AI3358" i="2"/>
  <c r="AJ3358" i="2"/>
  <c r="AF3359" i="2"/>
  <c r="AK3359" i="2" s="1"/>
  <c r="AG3359" i="2"/>
  <c r="AH3359" i="2"/>
  <c r="AI3359" i="2"/>
  <c r="AJ3359" i="2"/>
  <c r="AF3360" i="2"/>
  <c r="AK3360" i="2"/>
  <c r="AG3360" i="2"/>
  <c r="AL3360" i="2" s="1"/>
  <c r="AH3360" i="2"/>
  <c r="AI3360" i="2"/>
  <c r="AJ3360" i="2"/>
  <c r="AF3361" i="2"/>
  <c r="AK3361" i="2"/>
  <c r="AG3361" i="2"/>
  <c r="AH3361" i="2"/>
  <c r="AI3361" i="2"/>
  <c r="AJ3361" i="2"/>
  <c r="AF3362" i="2"/>
  <c r="AK3362" i="2"/>
  <c r="AG3362" i="2"/>
  <c r="AH3362" i="2"/>
  <c r="AI3362" i="2"/>
  <c r="AJ3362" i="2"/>
  <c r="AF3363" i="2"/>
  <c r="AK3363" i="2"/>
  <c r="AG3363" i="2"/>
  <c r="AH3363" i="2"/>
  <c r="AL3363" i="2" s="1"/>
  <c r="AI3363" i="2"/>
  <c r="AJ3363" i="2"/>
  <c r="AF3364" i="2"/>
  <c r="AK3364" i="2" s="1"/>
  <c r="AG3364" i="2"/>
  <c r="AH3364" i="2"/>
  <c r="AI3364" i="2"/>
  <c r="AJ3364" i="2"/>
  <c r="AF3365" i="2"/>
  <c r="AK3365" i="2"/>
  <c r="AG3365" i="2"/>
  <c r="AH3365" i="2"/>
  <c r="AI3365" i="2"/>
  <c r="AJ3365" i="2"/>
  <c r="AF3366" i="2"/>
  <c r="AK3366" i="2" s="1"/>
  <c r="AG3366" i="2"/>
  <c r="AH3366" i="2"/>
  <c r="AI3366" i="2"/>
  <c r="AJ3366" i="2"/>
  <c r="AF3367" i="2"/>
  <c r="AK3367" i="2"/>
  <c r="AG3367" i="2"/>
  <c r="AH3367" i="2"/>
  <c r="AI3367" i="2"/>
  <c r="AJ3367" i="2"/>
  <c r="AF3368" i="2"/>
  <c r="AK3368" i="2" s="1"/>
  <c r="AG3368" i="2"/>
  <c r="AH3368" i="2"/>
  <c r="AI3368" i="2"/>
  <c r="AJ3368" i="2"/>
  <c r="AF3369" i="2"/>
  <c r="AK3369" i="2"/>
  <c r="AG3369" i="2"/>
  <c r="AH3369" i="2"/>
  <c r="AI3369" i="2"/>
  <c r="AJ3369" i="2"/>
  <c r="AF3370" i="2"/>
  <c r="AK3370" i="2" s="1"/>
  <c r="AG3370" i="2"/>
  <c r="AH3370" i="2"/>
  <c r="AI3370" i="2"/>
  <c r="AJ3370" i="2"/>
  <c r="AF3371" i="2"/>
  <c r="AK3371" i="2"/>
  <c r="AG3371" i="2"/>
  <c r="AH3371" i="2"/>
  <c r="AI3371" i="2"/>
  <c r="AJ3371" i="2"/>
  <c r="AF3372" i="2"/>
  <c r="AK3372" i="2" s="1"/>
  <c r="AG3372" i="2"/>
  <c r="AH3372" i="2"/>
  <c r="AI3372" i="2"/>
  <c r="AJ3372" i="2"/>
  <c r="AF3373" i="2"/>
  <c r="AK3373" i="2"/>
  <c r="AG3373" i="2"/>
  <c r="AH3373" i="2"/>
  <c r="AI3373" i="2"/>
  <c r="AJ3373" i="2"/>
  <c r="AF3374" i="2"/>
  <c r="AK3374" i="2" s="1"/>
  <c r="AG3374" i="2"/>
  <c r="AH3374" i="2"/>
  <c r="AI3374" i="2"/>
  <c r="AJ3374" i="2"/>
  <c r="AF3375" i="2"/>
  <c r="AK3375" i="2"/>
  <c r="AG3375" i="2"/>
  <c r="AH3375" i="2"/>
  <c r="AI3375" i="2"/>
  <c r="AJ3375" i="2"/>
  <c r="AF3376" i="2"/>
  <c r="AK3376" i="2" s="1"/>
  <c r="AG3376" i="2"/>
  <c r="AH3376" i="2"/>
  <c r="AI3376" i="2"/>
  <c r="AJ3376" i="2"/>
  <c r="AF3377" i="2"/>
  <c r="AK3377" i="2"/>
  <c r="AG3377" i="2"/>
  <c r="AH3377" i="2"/>
  <c r="AI3377" i="2"/>
  <c r="AJ3377" i="2"/>
  <c r="AF3378" i="2"/>
  <c r="AK3378" i="2" s="1"/>
  <c r="AG3378" i="2"/>
  <c r="AH3378" i="2"/>
  <c r="AI3378" i="2"/>
  <c r="AJ3378" i="2"/>
  <c r="AF3379" i="2"/>
  <c r="AK3379" i="2"/>
  <c r="AG3379" i="2"/>
  <c r="AH3379" i="2"/>
  <c r="AI3379" i="2"/>
  <c r="AJ3379" i="2"/>
  <c r="AF3380" i="2"/>
  <c r="AK3380" i="2"/>
  <c r="AG3380" i="2"/>
  <c r="AH3380" i="2"/>
  <c r="AI3380" i="2"/>
  <c r="AJ3380" i="2"/>
  <c r="AF3381" i="2"/>
  <c r="AK3381" i="2"/>
  <c r="AG3381" i="2"/>
  <c r="AH3381" i="2"/>
  <c r="AI3381" i="2"/>
  <c r="AJ3381" i="2"/>
  <c r="AF3382" i="2"/>
  <c r="AK3382" i="2"/>
  <c r="AG3382" i="2"/>
  <c r="AL3382" i="2"/>
  <c r="AH3382" i="2"/>
  <c r="AI3382" i="2"/>
  <c r="AJ3382" i="2"/>
  <c r="AF3383" i="2"/>
  <c r="AK3383" i="2" s="1"/>
  <c r="AG3383" i="2"/>
  <c r="AH3383" i="2"/>
  <c r="AI3383" i="2"/>
  <c r="AJ3383" i="2"/>
  <c r="AF3384" i="2"/>
  <c r="AK3384" i="2"/>
  <c r="AG3384" i="2"/>
  <c r="AH3384" i="2"/>
  <c r="AI3384" i="2"/>
  <c r="AJ3384" i="2"/>
  <c r="AF3385" i="2"/>
  <c r="AK3385" i="2" s="1"/>
  <c r="AG3385" i="2"/>
  <c r="AH3385" i="2"/>
  <c r="AI3385" i="2"/>
  <c r="AJ3385" i="2"/>
  <c r="AF3386" i="2"/>
  <c r="AK3386" i="2"/>
  <c r="AG3386" i="2"/>
  <c r="AH3386" i="2"/>
  <c r="AI3386" i="2"/>
  <c r="AJ3386" i="2"/>
  <c r="AF3387" i="2"/>
  <c r="AK3387" i="2"/>
  <c r="AG3387" i="2"/>
  <c r="AH3387" i="2"/>
  <c r="AI3387" i="2"/>
  <c r="AJ3387" i="2"/>
  <c r="AF3388" i="2"/>
  <c r="AK3388" i="2"/>
  <c r="AG3388" i="2"/>
  <c r="AH3388" i="2"/>
  <c r="AI3388" i="2"/>
  <c r="AJ3388" i="2"/>
  <c r="AF3389" i="2"/>
  <c r="AK3389" i="2"/>
  <c r="AG3389" i="2"/>
  <c r="AH3389" i="2"/>
  <c r="AI3389" i="2"/>
  <c r="AJ3389" i="2"/>
  <c r="AF3390" i="2"/>
  <c r="AK3390" i="2"/>
  <c r="AG3390" i="2"/>
  <c r="AH3390" i="2"/>
  <c r="AI3390" i="2"/>
  <c r="AJ3390" i="2"/>
  <c r="AF3391" i="2"/>
  <c r="AK3391" i="2"/>
  <c r="AG3391" i="2"/>
  <c r="AH3391" i="2"/>
  <c r="AI3391" i="2"/>
  <c r="AJ3391" i="2"/>
  <c r="AF3392" i="2"/>
  <c r="AK3392" i="2"/>
  <c r="AG3392" i="2"/>
  <c r="AH3392" i="2"/>
  <c r="AI3392" i="2"/>
  <c r="AJ3392" i="2"/>
  <c r="AF3393" i="2"/>
  <c r="AK3393" i="2"/>
  <c r="AG3393" i="2"/>
  <c r="AH3393" i="2"/>
  <c r="AI3393" i="2"/>
  <c r="AJ3393" i="2"/>
  <c r="AF3394" i="2"/>
  <c r="AK3394" i="2"/>
  <c r="AG3394" i="2"/>
  <c r="AH3394" i="2"/>
  <c r="AI3394" i="2"/>
  <c r="AJ3394" i="2"/>
  <c r="AF3395" i="2"/>
  <c r="AK3395" i="2"/>
  <c r="AG3395" i="2"/>
  <c r="AH3395" i="2"/>
  <c r="AI3395" i="2"/>
  <c r="AJ3395" i="2"/>
  <c r="AF3396" i="2"/>
  <c r="AK3396" i="2"/>
  <c r="AG3396" i="2"/>
  <c r="AH3396" i="2"/>
  <c r="AI3396" i="2"/>
  <c r="AJ3396" i="2"/>
  <c r="AF3397" i="2"/>
  <c r="AK3397" i="2"/>
  <c r="AG3397" i="2"/>
  <c r="AH3397" i="2"/>
  <c r="AI3397" i="2"/>
  <c r="AJ3397" i="2"/>
  <c r="AF3398" i="2"/>
  <c r="AK3398" i="2"/>
  <c r="AG3398" i="2"/>
  <c r="AH3398" i="2"/>
  <c r="AI3398" i="2"/>
  <c r="AJ3398" i="2"/>
  <c r="AF3399" i="2"/>
  <c r="AK3399" i="2"/>
  <c r="AG3399" i="2"/>
  <c r="AH3399" i="2"/>
  <c r="AI3399" i="2"/>
  <c r="AJ3399" i="2"/>
  <c r="AF3400" i="2"/>
  <c r="AK3400" i="2"/>
  <c r="AG3400" i="2"/>
  <c r="AH3400" i="2"/>
  <c r="AI3400" i="2"/>
  <c r="AJ3400" i="2"/>
  <c r="AF3401" i="2"/>
  <c r="AK3401" i="2"/>
  <c r="AG3401" i="2"/>
  <c r="AH3401" i="2"/>
  <c r="AI3401" i="2"/>
  <c r="AJ3401" i="2"/>
  <c r="AF3402" i="2"/>
  <c r="AK3402" i="2"/>
  <c r="AG3402" i="2"/>
  <c r="AH3402" i="2"/>
  <c r="AI3402" i="2"/>
  <c r="AJ3402" i="2"/>
  <c r="AF3403" i="2"/>
  <c r="AK3403" i="2"/>
  <c r="AG3403" i="2"/>
  <c r="AH3403" i="2"/>
  <c r="AI3403" i="2"/>
  <c r="AJ3403" i="2"/>
  <c r="AF3404" i="2"/>
  <c r="AK3404" i="2"/>
  <c r="AG3404" i="2"/>
  <c r="AH3404" i="2"/>
  <c r="AI3404" i="2"/>
  <c r="AJ3404" i="2"/>
  <c r="AF3405" i="2"/>
  <c r="AK3405" i="2"/>
  <c r="AG3405" i="2"/>
  <c r="AH3405" i="2"/>
  <c r="AI3405" i="2"/>
  <c r="AJ3405" i="2"/>
  <c r="AF3406" i="2"/>
  <c r="AK3406" i="2"/>
  <c r="AG3406" i="2"/>
  <c r="AH3406" i="2"/>
  <c r="AI3406" i="2"/>
  <c r="AJ3406" i="2"/>
  <c r="AF3407" i="2"/>
  <c r="AK3407" i="2"/>
  <c r="AG3407" i="2"/>
  <c r="AH3407" i="2"/>
  <c r="AI3407" i="2"/>
  <c r="AJ3407" i="2"/>
  <c r="AF3408" i="2"/>
  <c r="AK3408" i="2"/>
  <c r="AG3408" i="2"/>
  <c r="AH3408" i="2"/>
  <c r="AI3408" i="2"/>
  <c r="AJ3408" i="2"/>
  <c r="AF3409" i="2"/>
  <c r="AK3409" i="2"/>
  <c r="AG3409" i="2"/>
  <c r="AH3409" i="2"/>
  <c r="AI3409" i="2"/>
  <c r="AJ3409" i="2"/>
  <c r="AF3410" i="2"/>
  <c r="AK3410" i="2"/>
  <c r="AG3410" i="2"/>
  <c r="AH3410" i="2"/>
  <c r="AI3410" i="2"/>
  <c r="AJ3410" i="2"/>
  <c r="AF3411" i="2"/>
  <c r="AK3411" i="2"/>
  <c r="AG3411" i="2"/>
  <c r="AH3411" i="2"/>
  <c r="AI3411" i="2"/>
  <c r="AJ3411" i="2"/>
  <c r="AF3412" i="2"/>
  <c r="AK3412" i="2"/>
  <c r="AG3412" i="2"/>
  <c r="AH3412" i="2"/>
  <c r="AI3412" i="2"/>
  <c r="AJ3412" i="2"/>
  <c r="AF3413" i="2"/>
  <c r="AK3413" i="2"/>
  <c r="AG3413" i="2"/>
  <c r="AH3413" i="2"/>
  <c r="AI3413" i="2"/>
  <c r="AJ3413" i="2"/>
  <c r="AF3414" i="2"/>
  <c r="AK3414" i="2"/>
  <c r="AG3414" i="2"/>
  <c r="AH3414" i="2"/>
  <c r="AL3414" i="2" s="1"/>
  <c r="AI3414" i="2"/>
  <c r="AJ3414" i="2"/>
  <c r="AF3415" i="2"/>
  <c r="AK3415" i="2"/>
  <c r="AG3415" i="2"/>
  <c r="AL3415" i="2" s="1"/>
  <c r="AH3415" i="2"/>
  <c r="AI3415" i="2"/>
  <c r="AJ3415" i="2"/>
  <c r="AF3416" i="2"/>
  <c r="AK3416" i="2"/>
  <c r="AG3416" i="2"/>
  <c r="AH3416" i="2"/>
  <c r="AI3416" i="2"/>
  <c r="AJ3416" i="2"/>
  <c r="AF3417" i="2"/>
  <c r="AK3417" i="2"/>
  <c r="AG3417" i="2"/>
  <c r="AH3417" i="2"/>
  <c r="AI3417" i="2"/>
  <c r="AJ3417" i="2"/>
  <c r="AF3418" i="2"/>
  <c r="AK3418" i="2"/>
  <c r="AG3418" i="2"/>
  <c r="AH3418" i="2"/>
  <c r="AI3418" i="2"/>
  <c r="AJ3418" i="2"/>
  <c r="AF3419" i="2"/>
  <c r="AK3419" i="2"/>
  <c r="AG3419" i="2"/>
  <c r="AH3419" i="2"/>
  <c r="AI3419" i="2"/>
  <c r="AJ3419" i="2"/>
  <c r="AF3420" i="2"/>
  <c r="AK3420" i="2"/>
  <c r="AG3420" i="2"/>
  <c r="AH3420" i="2"/>
  <c r="AI3420" i="2"/>
  <c r="AJ3420" i="2"/>
  <c r="AF3421" i="2"/>
  <c r="AK3421" i="2"/>
  <c r="AG3421" i="2"/>
  <c r="AH3421" i="2"/>
  <c r="AI3421" i="2"/>
  <c r="AJ3421" i="2"/>
  <c r="AF3422" i="2"/>
  <c r="AK3422" i="2"/>
  <c r="AG3422" i="2"/>
  <c r="AH3422" i="2"/>
  <c r="AI3422" i="2"/>
  <c r="AJ3422" i="2"/>
  <c r="AF3423" i="2"/>
  <c r="AK3423" i="2"/>
  <c r="AG3423" i="2"/>
  <c r="AH3423" i="2"/>
  <c r="AI3423" i="2"/>
  <c r="AJ3423" i="2"/>
  <c r="AF3424" i="2"/>
  <c r="AK3424" i="2"/>
  <c r="AG3424" i="2"/>
  <c r="AH3424" i="2"/>
  <c r="AI3424" i="2"/>
  <c r="AJ3424" i="2"/>
  <c r="AF3425" i="2"/>
  <c r="AK3425" i="2"/>
  <c r="AG3425" i="2"/>
  <c r="AH3425" i="2"/>
  <c r="AI3425" i="2"/>
  <c r="AJ3425" i="2"/>
  <c r="AF3426" i="2"/>
  <c r="AK3426" i="2"/>
  <c r="AG3426" i="2"/>
  <c r="AH3426" i="2"/>
  <c r="AI3426" i="2"/>
  <c r="AJ3426" i="2"/>
  <c r="AF3427" i="2"/>
  <c r="AK3427" i="2"/>
  <c r="AG3427" i="2"/>
  <c r="AH3427" i="2"/>
  <c r="AI3427" i="2"/>
  <c r="AJ3427" i="2"/>
  <c r="AF3428" i="2"/>
  <c r="AK3428" i="2"/>
  <c r="AG3428" i="2"/>
  <c r="AH3428" i="2"/>
  <c r="AI3428" i="2"/>
  <c r="AJ3428" i="2"/>
  <c r="AF3429" i="2"/>
  <c r="AK3429" i="2"/>
  <c r="AG3429" i="2"/>
  <c r="AH3429" i="2"/>
  <c r="AI3429" i="2"/>
  <c r="AJ3429" i="2"/>
  <c r="AF3430" i="2"/>
  <c r="AK3430" i="2"/>
  <c r="AG3430" i="2"/>
  <c r="AH3430" i="2"/>
  <c r="AI3430" i="2"/>
  <c r="AJ3430" i="2"/>
  <c r="AF3431" i="2"/>
  <c r="AK3431" i="2"/>
  <c r="AG3431" i="2"/>
  <c r="AH3431" i="2"/>
  <c r="AI3431" i="2"/>
  <c r="AJ3431" i="2"/>
  <c r="AF3432" i="2"/>
  <c r="AK3432" i="2"/>
  <c r="AG3432" i="2"/>
  <c r="AH3432" i="2"/>
  <c r="AI3432" i="2"/>
  <c r="AJ3432" i="2"/>
  <c r="AF3433" i="2"/>
  <c r="AK3433" i="2"/>
  <c r="AG3433" i="2"/>
  <c r="AH3433" i="2"/>
  <c r="AI3433" i="2"/>
  <c r="AJ3433" i="2"/>
  <c r="AF3434" i="2"/>
  <c r="AK3434" i="2"/>
  <c r="AG3434" i="2"/>
  <c r="AH3434" i="2"/>
  <c r="AI3434" i="2"/>
  <c r="AJ3434" i="2"/>
  <c r="AF3435" i="2"/>
  <c r="AK3435" i="2"/>
  <c r="AG3435" i="2"/>
  <c r="AH3435" i="2"/>
  <c r="AI3435" i="2"/>
  <c r="AJ3435" i="2"/>
  <c r="AF3436" i="2"/>
  <c r="AK3436" i="2"/>
  <c r="AG3436" i="2"/>
  <c r="AH3436" i="2"/>
  <c r="AI3436" i="2"/>
  <c r="AJ3436" i="2"/>
  <c r="AF3437" i="2"/>
  <c r="AK3437" i="2"/>
  <c r="AG3437" i="2"/>
  <c r="AH3437" i="2"/>
  <c r="AI3437" i="2"/>
  <c r="AJ3437" i="2"/>
  <c r="AF3438" i="2"/>
  <c r="AK3438" i="2"/>
  <c r="AG3438" i="2"/>
  <c r="AH3438" i="2"/>
  <c r="AI3438" i="2"/>
  <c r="AJ3438" i="2"/>
  <c r="AF3439" i="2"/>
  <c r="AK3439" i="2"/>
  <c r="AG3439" i="2"/>
  <c r="AH3439" i="2"/>
  <c r="AI3439" i="2"/>
  <c r="AL3439" i="2" s="1"/>
  <c r="AJ3439" i="2"/>
  <c r="AF3440" i="2"/>
  <c r="AK3440" i="2"/>
  <c r="AG3440" i="2"/>
  <c r="AH3440" i="2"/>
  <c r="AI3440" i="2"/>
  <c r="AJ3440" i="2"/>
  <c r="AL3440" i="2"/>
  <c r="AF3441" i="2"/>
  <c r="AK3441" i="2"/>
  <c r="AG3441" i="2"/>
  <c r="AH3441" i="2"/>
  <c r="AI3441" i="2"/>
  <c r="AJ3441" i="2"/>
  <c r="AF3442" i="2"/>
  <c r="AK3442" i="2"/>
  <c r="AG3442" i="2"/>
  <c r="AL3442" i="2" s="1"/>
  <c r="AH3442" i="2"/>
  <c r="AI3442" i="2"/>
  <c r="AJ3442" i="2"/>
  <c r="AF3443" i="2"/>
  <c r="AK3443" i="2"/>
  <c r="AG3443" i="2"/>
  <c r="AL3443" i="2" s="1"/>
  <c r="AH3443" i="2"/>
  <c r="AI3443" i="2"/>
  <c r="AJ3443" i="2"/>
  <c r="AF3444" i="2"/>
  <c r="AK3444" i="2"/>
  <c r="AG3444" i="2"/>
  <c r="AH3444" i="2"/>
  <c r="AI3444" i="2"/>
  <c r="AJ3444" i="2"/>
  <c r="AF3445" i="2"/>
  <c r="AK3445" i="2"/>
  <c r="AG3445" i="2"/>
  <c r="AH3445" i="2"/>
  <c r="AI3445" i="2"/>
  <c r="AJ3445" i="2"/>
  <c r="AF3446" i="2"/>
  <c r="AK3446" i="2"/>
  <c r="AG3446" i="2"/>
  <c r="AH3446" i="2"/>
  <c r="AI3446" i="2"/>
  <c r="AJ3446" i="2"/>
  <c r="AF3447" i="2"/>
  <c r="AK3447" i="2"/>
  <c r="AG3447" i="2"/>
  <c r="AH3447" i="2"/>
  <c r="AL3447" i="2" s="1"/>
  <c r="AI3447" i="2"/>
  <c r="AJ3447" i="2"/>
  <c r="AF3448" i="2"/>
  <c r="AK3448" i="2"/>
  <c r="AG3448" i="2"/>
  <c r="AH3448" i="2"/>
  <c r="AI3448" i="2"/>
  <c r="AJ3448" i="2"/>
  <c r="AF3449" i="2"/>
  <c r="AK3449" i="2" s="1"/>
  <c r="AG3449" i="2"/>
  <c r="AH3449" i="2"/>
  <c r="AI3449" i="2"/>
  <c r="AJ3449" i="2"/>
  <c r="AF3450" i="2"/>
  <c r="AK3450" i="2"/>
  <c r="AG3450" i="2"/>
  <c r="AH3450" i="2"/>
  <c r="AI3450" i="2"/>
  <c r="AJ3450" i="2"/>
  <c r="AF3451" i="2"/>
  <c r="AK3451" i="2" s="1"/>
  <c r="AG3451" i="2"/>
  <c r="AH3451" i="2"/>
  <c r="AI3451" i="2"/>
  <c r="AJ3451" i="2"/>
  <c r="AF3452" i="2"/>
  <c r="AK3452" i="2"/>
  <c r="AG3452" i="2"/>
  <c r="AH3452" i="2"/>
  <c r="AI3452" i="2"/>
  <c r="AJ3452" i="2"/>
  <c r="AF3453" i="2"/>
  <c r="AK3453" i="2" s="1"/>
  <c r="AG3453" i="2"/>
  <c r="AH3453" i="2"/>
  <c r="AI3453" i="2"/>
  <c r="AJ3453" i="2"/>
  <c r="AF3454" i="2"/>
  <c r="AK3454" i="2"/>
  <c r="AG3454" i="2"/>
  <c r="AH3454" i="2"/>
  <c r="AI3454" i="2"/>
  <c r="AJ3454" i="2"/>
  <c r="AF3455" i="2"/>
  <c r="AK3455" i="2" s="1"/>
  <c r="AG3455" i="2"/>
  <c r="AH3455" i="2"/>
  <c r="AI3455" i="2"/>
  <c r="AJ3455" i="2"/>
  <c r="AF3456" i="2"/>
  <c r="AK3456" i="2"/>
  <c r="AG3456" i="2"/>
  <c r="AH3456" i="2"/>
  <c r="AI3456" i="2"/>
  <c r="AJ3456" i="2"/>
  <c r="AF3457" i="2"/>
  <c r="AK3457" i="2" s="1"/>
  <c r="AG3457" i="2"/>
  <c r="AH3457" i="2"/>
  <c r="AI3457" i="2"/>
  <c r="AJ3457" i="2"/>
  <c r="AF3458" i="2"/>
  <c r="AK3458" i="2"/>
  <c r="AG3458" i="2"/>
  <c r="AH3458" i="2"/>
  <c r="AI3458" i="2"/>
  <c r="AJ3458" i="2"/>
  <c r="AF3459" i="2"/>
  <c r="AK3459" i="2" s="1"/>
  <c r="AG3459" i="2"/>
  <c r="AH3459" i="2"/>
  <c r="AI3459" i="2"/>
  <c r="AJ3459" i="2"/>
  <c r="AF3460" i="2"/>
  <c r="AK3460" i="2"/>
  <c r="AG3460" i="2"/>
  <c r="AH3460" i="2"/>
  <c r="AI3460" i="2"/>
  <c r="AJ3460" i="2"/>
  <c r="AF3461" i="2"/>
  <c r="AK3461" i="2" s="1"/>
  <c r="AG3461" i="2"/>
  <c r="AH3461" i="2"/>
  <c r="AI3461" i="2"/>
  <c r="AJ3461" i="2"/>
  <c r="AF3462" i="2"/>
  <c r="AK3462" i="2"/>
  <c r="AG3462" i="2"/>
  <c r="AH3462" i="2"/>
  <c r="AI3462" i="2"/>
  <c r="AJ3462" i="2"/>
  <c r="AF3463" i="2"/>
  <c r="AK3463" i="2" s="1"/>
  <c r="AG3463" i="2"/>
  <c r="AH3463" i="2"/>
  <c r="AI3463" i="2"/>
  <c r="AJ3463" i="2"/>
  <c r="AF3464" i="2"/>
  <c r="AK3464" i="2"/>
  <c r="AG3464" i="2"/>
  <c r="AL3464" i="2" s="1"/>
  <c r="AH3464" i="2"/>
  <c r="AI3464" i="2"/>
  <c r="AJ3464" i="2"/>
  <c r="AF3465" i="2"/>
  <c r="AK3465" i="2"/>
  <c r="AG3465" i="2"/>
  <c r="AH3465" i="2"/>
  <c r="AL3465" i="2" s="1"/>
  <c r="AI3465" i="2"/>
  <c r="AJ3465" i="2"/>
  <c r="AF3466" i="2"/>
  <c r="AK3466" i="2" s="1"/>
  <c r="AG3466" i="2"/>
  <c r="AH3466" i="2"/>
  <c r="AI3466" i="2"/>
  <c r="AJ3466" i="2"/>
  <c r="AF3467" i="2"/>
  <c r="AK3467" i="2"/>
  <c r="AG3467" i="2"/>
  <c r="AH3467" i="2"/>
  <c r="AI3467" i="2"/>
  <c r="AJ3467" i="2"/>
  <c r="AL3467" i="2" s="1"/>
  <c r="AF3468" i="2"/>
  <c r="AK3468" i="2"/>
  <c r="AG3468" i="2"/>
  <c r="AL3468" i="2" s="1"/>
  <c r="AH3468" i="2"/>
  <c r="AI3468" i="2"/>
  <c r="AJ3468" i="2"/>
  <c r="AF3469" i="2"/>
  <c r="AK3469" i="2" s="1"/>
  <c r="AG3469" i="2"/>
  <c r="AH3469" i="2"/>
  <c r="AI3469" i="2"/>
  <c r="AJ3469" i="2"/>
  <c r="AF3470" i="2"/>
  <c r="AK3470" i="2"/>
  <c r="AG3470" i="2"/>
  <c r="AH3470" i="2"/>
  <c r="AI3470" i="2"/>
  <c r="AJ3470" i="2"/>
  <c r="AF3471" i="2"/>
  <c r="AK3471" i="2" s="1"/>
  <c r="AG3471" i="2"/>
  <c r="AH3471" i="2"/>
  <c r="AI3471" i="2"/>
  <c r="AJ3471" i="2"/>
  <c r="AF3472" i="2"/>
  <c r="AK3472" i="2"/>
  <c r="AG3472" i="2"/>
  <c r="AH3472" i="2"/>
  <c r="AI3472" i="2"/>
  <c r="AJ3472" i="2"/>
  <c r="AF3473" i="2"/>
  <c r="AK3473" i="2" s="1"/>
  <c r="AG3473" i="2"/>
  <c r="AH3473" i="2"/>
  <c r="AI3473" i="2"/>
  <c r="AJ3473" i="2"/>
  <c r="AF3474" i="2"/>
  <c r="AK3474" i="2"/>
  <c r="AG3474" i="2"/>
  <c r="AH3474" i="2"/>
  <c r="AI3474" i="2"/>
  <c r="AJ3474" i="2"/>
  <c r="AF3475" i="2"/>
  <c r="AK3475" i="2" s="1"/>
  <c r="AG3475" i="2"/>
  <c r="AH3475" i="2"/>
  <c r="AI3475" i="2"/>
  <c r="AJ3475" i="2"/>
  <c r="AF3476" i="2"/>
  <c r="AK3476" i="2"/>
  <c r="AG3476" i="2"/>
  <c r="AH3476" i="2"/>
  <c r="AI3476" i="2"/>
  <c r="AJ3476" i="2"/>
  <c r="AF3477" i="2"/>
  <c r="AK3477" i="2" s="1"/>
  <c r="AG3477" i="2"/>
  <c r="AH3477" i="2"/>
  <c r="AI3477" i="2"/>
  <c r="AJ3477" i="2"/>
  <c r="AF3478" i="2"/>
  <c r="AK3478" i="2"/>
  <c r="AG3478" i="2"/>
  <c r="AH3478" i="2"/>
  <c r="AI3478" i="2"/>
  <c r="AJ3478" i="2"/>
  <c r="AF3479" i="2"/>
  <c r="AK3479" i="2" s="1"/>
  <c r="AG3479" i="2"/>
  <c r="AH3479" i="2"/>
  <c r="AI3479" i="2"/>
  <c r="AJ3479" i="2"/>
  <c r="AF3480" i="2"/>
  <c r="AK3480" i="2"/>
  <c r="AG3480" i="2"/>
  <c r="AL3480" i="2" s="1"/>
  <c r="AH3480" i="2"/>
  <c r="AI3480" i="2"/>
  <c r="AJ3480" i="2"/>
  <c r="AF3481" i="2"/>
  <c r="AK3481" i="2"/>
  <c r="AG3481" i="2"/>
  <c r="AL3481" i="2" s="1"/>
  <c r="AH3481" i="2"/>
  <c r="AI3481" i="2"/>
  <c r="AJ3481" i="2"/>
  <c r="AF3482" i="2"/>
  <c r="AK3482" i="2" s="1"/>
  <c r="AG3482" i="2"/>
  <c r="AH3482" i="2"/>
  <c r="AI3482" i="2"/>
  <c r="AJ3482" i="2"/>
  <c r="AF3483" i="2"/>
  <c r="AK3483" i="2"/>
  <c r="AG3483" i="2"/>
  <c r="AH3483" i="2"/>
  <c r="AI3483" i="2"/>
  <c r="AJ3483" i="2"/>
  <c r="AF3484" i="2"/>
  <c r="AK3484" i="2" s="1"/>
  <c r="AG3484" i="2"/>
  <c r="AH3484" i="2"/>
  <c r="AI3484" i="2"/>
  <c r="AJ3484" i="2"/>
  <c r="AF3485" i="2"/>
  <c r="AK3485" i="2"/>
  <c r="AG3485" i="2"/>
  <c r="AH3485" i="2"/>
  <c r="AI3485" i="2"/>
  <c r="AJ3485" i="2"/>
  <c r="AF3486" i="2"/>
  <c r="AK3486" i="2" s="1"/>
  <c r="AG3486" i="2"/>
  <c r="AH3486" i="2"/>
  <c r="AI3486" i="2"/>
  <c r="AJ3486" i="2"/>
  <c r="AF3487" i="2"/>
  <c r="AK3487" i="2"/>
  <c r="AG3487" i="2"/>
  <c r="AH3487" i="2"/>
  <c r="AI3487" i="2"/>
  <c r="AJ3487" i="2"/>
  <c r="AF3488" i="2"/>
  <c r="AK3488" i="2" s="1"/>
  <c r="AG3488" i="2"/>
  <c r="AH3488" i="2"/>
  <c r="AI3488" i="2"/>
  <c r="AJ3488" i="2"/>
  <c r="AF3489" i="2"/>
  <c r="AK3489" i="2"/>
  <c r="AG3489" i="2"/>
  <c r="AH3489" i="2"/>
  <c r="AI3489" i="2"/>
  <c r="AJ3489" i="2"/>
  <c r="AF3490" i="2"/>
  <c r="AK3490" i="2" s="1"/>
  <c r="AG3490" i="2"/>
  <c r="AH3490" i="2"/>
  <c r="AI3490" i="2"/>
  <c r="AJ3490" i="2"/>
  <c r="AF3491" i="2"/>
  <c r="AK3491" i="2"/>
  <c r="AG3491" i="2"/>
  <c r="AH3491" i="2"/>
  <c r="AI3491" i="2"/>
  <c r="AJ3491" i="2"/>
  <c r="AF3492" i="2"/>
  <c r="AK3492" i="2" s="1"/>
  <c r="AG3492" i="2"/>
  <c r="AL3492" i="2" s="1"/>
  <c r="AH3492" i="2"/>
  <c r="AI3492" i="2"/>
  <c r="AJ3492" i="2"/>
  <c r="AF3493" i="2"/>
  <c r="AK3493" i="2"/>
  <c r="AG3493" i="2"/>
  <c r="AH3493" i="2"/>
  <c r="AI3493" i="2"/>
  <c r="AL3493" i="2" s="1"/>
  <c r="AJ3493" i="2"/>
  <c r="AF3494" i="2"/>
  <c r="AG3494" i="2"/>
  <c r="AH3494" i="2"/>
  <c r="AI3494" i="2"/>
  <c r="AJ3494" i="2"/>
  <c r="AK3494" i="2"/>
  <c r="AL3494" i="2"/>
  <c r="AF3495" i="2"/>
  <c r="AK3495" i="2"/>
  <c r="AG3495" i="2"/>
  <c r="AH3495" i="2"/>
  <c r="AI3495" i="2"/>
  <c r="AJ3495" i="2"/>
  <c r="AF3496" i="2"/>
  <c r="AK3496" i="2"/>
  <c r="AG3496" i="2"/>
  <c r="AH3496" i="2"/>
  <c r="AI3496" i="2"/>
  <c r="AJ3496" i="2"/>
  <c r="AF3497" i="2"/>
  <c r="AK3497" i="2"/>
  <c r="AG3497" i="2"/>
  <c r="AL3497" i="2" s="1"/>
  <c r="AH3497" i="2"/>
  <c r="AI3497" i="2"/>
  <c r="AJ3497" i="2"/>
  <c r="AF3498" i="2"/>
  <c r="AK3498" i="2" s="1"/>
  <c r="AG3498" i="2"/>
  <c r="AH3498" i="2"/>
  <c r="AI3498" i="2"/>
  <c r="AJ3498" i="2"/>
  <c r="AF3499" i="2"/>
  <c r="AG3499" i="2"/>
  <c r="AL3499" i="2" s="1"/>
  <c r="AH3499" i="2"/>
  <c r="AI3499" i="2"/>
  <c r="AJ3499" i="2"/>
  <c r="AK3499" i="2"/>
  <c r="AF3500" i="2"/>
  <c r="AK3500" i="2"/>
  <c r="AG3500" i="2"/>
  <c r="AH3500" i="2"/>
  <c r="AI3500" i="2"/>
  <c r="AJ3500" i="2"/>
  <c r="AF3501" i="2"/>
  <c r="AK3501" i="2"/>
  <c r="AG3501" i="2"/>
  <c r="AH3501" i="2"/>
  <c r="AI3501" i="2"/>
  <c r="AJ3501" i="2"/>
  <c r="AF3502" i="2"/>
  <c r="AK3502" i="2"/>
  <c r="AG3502" i="2"/>
  <c r="AH3502" i="2"/>
  <c r="AI3502" i="2"/>
  <c r="AJ3502" i="2"/>
  <c r="AF3503" i="2"/>
  <c r="AK3503" i="2"/>
  <c r="AG3503" i="2"/>
  <c r="AH3503" i="2"/>
  <c r="AI3503" i="2"/>
  <c r="AJ3503" i="2"/>
  <c r="AF3504" i="2"/>
  <c r="AK3504" i="2"/>
  <c r="AG3504" i="2"/>
  <c r="AH3504" i="2"/>
  <c r="AI3504" i="2"/>
  <c r="AJ3504" i="2"/>
  <c r="AF3505" i="2"/>
  <c r="AK3505" i="2"/>
  <c r="AG3505" i="2"/>
  <c r="AH3505" i="2"/>
  <c r="AI3505" i="2"/>
  <c r="AJ3505" i="2"/>
  <c r="AF3506" i="2"/>
  <c r="AK3506" i="2"/>
  <c r="AG3506" i="2"/>
  <c r="AL3506" i="2" s="1"/>
  <c r="AH3506" i="2"/>
  <c r="AI3506" i="2"/>
  <c r="AJ3506" i="2"/>
  <c r="AF3507" i="2"/>
  <c r="AK3507" i="2" s="1"/>
  <c r="AG3507" i="2"/>
  <c r="AH3507" i="2"/>
  <c r="AI3507" i="2"/>
  <c r="AJ3507" i="2"/>
  <c r="AF3508" i="2"/>
  <c r="AK3508" i="2"/>
  <c r="AG3508" i="2"/>
  <c r="AH3508" i="2"/>
  <c r="AI3508" i="2"/>
  <c r="AJ3508" i="2"/>
  <c r="AF3509" i="2"/>
  <c r="AK3509" i="2" s="1"/>
  <c r="AG3509" i="2"/>
  <c r="AH3509" i="2"/>
  <c r="AI3509" i="2"/>
  <c r="AJ3509" i="2"/>
  <c r="AF3510" i="2"/>
  <c r="AK3510" i="2"/>
  <c r="AG3510" i="2"/>
  <c r="AH3510" i="2"/>
  <c r="AI3510" i="2"/>
  <c r="AJ3510" i="2"/>
  <c r="AF3511" i="2"/>
  <c r="AK3511" i="2" s="1"/>
  <c r="AG3511" i="2"/>
  <c r="AH3511" i="2"/>
  <c r="AI3511" i="2"/>
  <c r="AJ3511" i="2"/>
  <c r="AF3512" i="2"/>
  <c r="AK3512" i="2"/>
  <c r="AG3512" i="2"/>
  <c r="AH3512" i="2"/>
  <c r="AI3512" i="2"/>
  <c r="AJ3512" i="2"/>
  <c r="AF3513" i="2"/>
  <c r="AK3513" i="2" s="1"/>
  <c r="AG3513" i="2"/>
  <c r="AH3513" i="2"/>
  <c r="AI3513" i="2"/>
  <c r="AJ3513" i="2"/>
  <c r="AF3514" i="2"/>
  <c r="AK3514" i="2"/>
  <c r="AG3514" i="2"/>
  <c r="AH3514" i="2"/>
  <c r="AI3514" i="2"/>
  <c r="AJ3514" i="2"/>
  <c r="AF3515" i="2"/>
  <c r="AK3515" i="2" s="1"/>
  <c r="AG3515" i="2"/>
  <c r="AH3515" i="2"/>
  <c r="AI3515" i="2"/>
  <c r="AJ3515" i="2"/>
  <c r="AF3516" i="2"/>
  <c r="AK3516" i="2"/>
  <c r="AG3516" i="2"/>
  <c r="AH3516" i="2"/>
  <c r="AI3516" i="2"/>
  <c r="AJ3516" i="2"/>
  <c r="AF3517" i="2"/>
  <c r="AK3517" i="2"/>
  <c r="AG3517" i="2"/>
  <c r="AL3517" i="2" s="1"/>
  <c r="AH3517" i="2"/>
  <c r="AI3517" i="2"/>
  <c r="AJ3517" i="2"/>
  <c r="AF3518" i="2"/>
  <c r="AK3518" i="2" s="1"/>
  <c r="AG3518" i="2"/>
  <c r="AH3518" i="2"/>
  <c r="AI3518" i="2"/>
  <c r="AJ3518" i="2"/>
  <c r="AF3519" i="2"/>
  <c r="AK3519" i="2"/>
  <c r="AG3519" i="2"/>
  <c r="AH3519" i="2"/>
  <c r="AI3519" i="2"/>
  <c r="AJ3519" i="2"/>
  <c r="AF3520" i="2"/>
  <c r="AK3520" i="2" s="1"/>
  <c r="AG3520" i="2"/>
  <c r="AH3520" i="2"/>
  <c r="AI3520" i="2"/>
  <c r="AJ3520" i="2"/>
  <c r="AF3521" i="2"/>
  <c r="AK3521" i="2"/>
  <c r="AG3521" i="2"/>
  <c r="AH3521" i="2"/>
  <c r="AI3521" i="2"/>
  <c r="AJ3521" i="2"/>
  <c r="AL3521" i="2" s="1"/>
  <c r="AF3522" i="2"/>
  <c r="AK3522" i="2"/>
  <c r="AG3522" i="2"/>
  <c r="AH3522" i="2"/>
  <c r="AI3522" i="2"/>
  <c r="AJ3522" i="2"/>
  <c r="AF3523" i="2"/>
  <c r="AK3523" i="2"/>
  <c r="AG3523" i="2"/>
  <c r="AH3523" i="2"/>
  <c r="AI3523" i="2"/>
  <c r="AJ3523" i="2"/>
  <c r="AF3524" i="2"/>
  <c r="AK3524" i="2"/>
  <c r="AG3524" i="2"/>
  <c r="AH3524" i="2"/>
  <c r="AI3524" i="2"/>
  <c r="AJ3524" i="2"/>
  <c r="AF3525" i="2"/>
  <c r="AK3525" i="2"/>
  <c r="AG3525" i="2"/>
  <c r="AH3525" i="2"/>
  <c r="AI3525" i="2"/>
  <c r="AJ3525" i="2"/>
  <c r="AF3526" i="2"/>
  <c r="AK3526" i="2"/>
  <c r="AG3526" i="2"/>
  <c r="AL3526" i="2" s="1"/>
  <c r="AH3526" i="2"/>
  <c r="AI3526" i="2"/>
  <c r="AJ3526" i="2"/>
  <c r="AF3527" i="2"/>
  <c r="AK3527" i="2" s="1"/>
  <c r="AG3527" i="2"/>
  <c r="AH3527" i="2"/>
  <c r="AI3527" i="2"/>
  <c r="AJ3527" i="2"/>
  <c r="AF3528" i="2"/>
  <c r="AK3528" i="2"/>
  <c r="AG3528" i="2"/>
  <c r="AH3528" i="2"/>
  <c r="AI3528" i="2"/>
  <c r="AJ3528" i="2"/>
  <c r="AF3529" i="2"/>
  <c r="AK3529" i="2" s="1"/>
  <c r="AG3529" i="2"/>
  <c r="AH3529" i="2"/>
  <c r="AI3529" i="2"/>
  <c r="AJ3529" i="2"/>
  <c r="AF3530" i="2"/>
  <c r="AK3530" i="2"/>
  <c r="AG3530" i="2"/>
  <c r="AH3530" i="2"/>
  <c r="AI3530" i="2"/>
  <c r="AJ3530" i="2"/>
  <c r="AL3530" i="2" s="1"/>
  <c r="AF3531" i="2"/>
  <c r="AK3531" i="2"/>
  <c r="AG3531" i="2"/>
  <c r="AL3531" i="2" s="1"/>
  <c r="AH3531" i="2"/>
  <c r="AI3531" i="2"/>
  <c r="AJ3531" i="2"/>
  <c r="AF3532" i="2"/>
  <c r="AK3532" i="2" s="1"/>
  <c r="AG3532" i="2"/>
  <c r="AH3532" i="2"/>
  <c r="AI3532" i="2"/>
  <c r="AJ3532" i="2"/>
  <c r="AF3533" i="2"/>
  <c r="AK3533" i="2"/>
  <c r="AG3533" i="2"/>
  <c r="AH3533" i="2"/>
  <c r="AI3533" i="2"/>
  <c r="AJ3533" i="2"/>
  <c r="AF3534" i="2"/>
  <c r="AK3534" i="2"/>
  <c r="AG3534" i="2"/>
  <c r="AH3534" i="2"/>
  <c r="AI3534" i="2"/>
  <c r="AJ3534" i="2"/>
  <c r="AF3535" i="2"/>
  <c r="AK3535" i="2"/>
  <c r="AG3535" i="2"/>
  <c r="AH3535" i="2"/>
  <c r="AI3535" i="2"/>
  <c r="AL3535" i="2" s="1"/>
  <c r="AJ3535" i="2"/>
  <c r="AF3536" i="2"/>
  <c r="AK3536" i="2"/>
  <c r="AG3536" i="2"/>
  <c r="AH3536" i="2"/>
  <c r="AI3536" i="2"/>
  <c r="AJ3536" i="2"/>
  <c r="AF3537" i="2"/>
  <c r="AK3537" i="2" s="1"/>
  <c r="AG3537" i="2"/>
  <c r="AH3537" i="2"/>
  <c r="AI3537" i="2"/>
  <c r="AJ3537" i="2"/>
  <c r="AF3538" i="2"/>
  <c r="AK3538" i="2"/>
  <c r="AG3538" i="2"/>
  <c r="AH3538" i="2"/>
  <c r="AI3538" i="2"/>
  <c r="AJ3538" i="2"/>
  <c r="AF3539" i="2"/>
  <c r="AK3539" i="2" s="1"/>
  <c r="AG3539" i="2"/>
  <c r="AH3539" i="2"/>
  <c r="AI3539" i="2"/>
  <c r="AJ3539" i="2"/>
  <c r="AF3540" i="2"/>
  <c r="AK3540" i="2"/>
  <c r="AG3540" i="2"/>
  <c r="AH3540" i="2"/>
  <c r="AI3540" i="2"/>
  <c r="AJ3540" i="2"/>
  <c r="AF3541" i="2"/>
  <c r="AK3541" i="2" s="1"/>
  <c r="AG3541" i="2"/>
  <c r="AH3541" i="2"/>
  <c r="AI3541" i="2"/>
  <c r="AJ3541" i="2"/>
  <c r="AF3542" i="2"/>
  <c r="AK3542" i="2"/>
  <c r="AG3542" i="2"/>
  <c r="AH3542" i="2"/>
  <c r="AI3542" i="2"/>
  <c r="AJ3542" i="2"/>
  <c r="AF3543" i="2"/>
  <c r="AK3543" i="2" s="1"/>
  <c r="AG3543" i="2"/>
  <c r="AH3543" i="2"/>
  <c r="AI3543" i="2"/>
  <c r="AJ3543" i="2"/>
  <c r="AF3544" i="2"/>
  <c r="AK3544" i="2"/>
  <c r="AG3544" i="2"/>
  <c r="AH3544" i="2"/>
  <c r="AI3544" i="2"/>
  <c r="AJ3544" i="2"/>
  <c r="AF3545" i="2"/>
  <c r="AK3545" i="2" s="1"/>
  <c r="AG3545" i="2"/>
  <c r="AH3545" i="2"/>
  <c r="AI3545" i="2"/>
  <c r="AJ3545" i="2"/>
  <c r="AF3546" i="2"/>
  <c r="AK3546" i="2"/>
  <c r="AG3546" i="2"/>
  <c r="AH3546" i="2"/>
  <c r="AI3546" i="2"/>
  <c r="AJ3546" i="2"/>
  <c r="AF3547" i="2"/>
  <c r="AK3547" i="2" s="1"/>
  <c r="AG3547" i="2"/>
  <c r="AH3547" i="2"/>
  <c r="AI3547" i="2"/>
  <c r="AJ3547" i="2"/>
  <c r="AF3548" i="2"/>
  <c r="AK3548" i="2"/>
  <c r="AG3548" i="2"/>
  <c r="AH3548" i="2"/>
  <c r="AI3548" i="2"/>
  <c r="AJ3548" i="2"/>
  <c r="AL3548" i="2" s="1"/>
  <c r="AF3549" i="2"/>
  <c r="AK3549" i="2"/>
  <c r="AG3549" i="2"/>
  <c r="AH3549" i="2"/>
  <c r="AI3549" i="2"/>
  <c r="AJ3549" i="2"/>
  <c r="AF3550" i="2"/>
  <c r="AK3550" i="2"/>
  <c r="AG3550" i="2"/>
  <c r="AH3550" i="2"/>
  <c r="AI3550" i="2"/>
  <c r="AJ3550" i="2"/>
  <c r="AF3551" i="2"/>
  <c r="AK3551" i="2"/>
  <c r="AG3551" i="2"/>
  <c r="AH3551" i="2"/>
  <c r="AI3551" i="2"/>
  <c r="AJ3551" i="2"/>
  <c r="AF3552" i="2"/>
  <c r="AK3552" i="2"/>
  <c r="AG3552" i="2"/>
  <c r="AH3552" i="2"/>
  <c r="AI3552" i="2"/>
  <c r="AL3552" i="2" s="1"/>
  <c r="AJ3552" i="2"/>
  <c r="AF3553" i="2"/>
  <c r="AK3553" i="2"/>
  <c r="AG3553" i="2"/>
  <c r="AH3553" i="2"/>
  <c r="AI3553" i="2"/>
  <c r="AJ3553" i="2"/>
  <c r="AF3554" i="2"/>
  <c r="AK3554" i="2" s="1"/>
  <c r="AG3554" i="2"/>
  <c r="AH3554" i="2"/>
  <c r="AI3554" i="2"/>
  <c r="AJ3554" i="2"/>
  <c r="AF3555" i="2"/>
  <c r="AK3555" i="2"/>
  <c r="AG3555" i="2"/>
  <c r="AH3555" i="2"/>
  <c r="AI3555" i="2"/>
  <c r="AJ3555" i="2"/>
  <c r="AL3555" i="2"/>
  <c r="AF3556" i="2"/>
  <c r="AK3556" i="2"/>
  <c r="AG3556" i="2"/>
  <c r="AH3556" i="2"/>
  <c r="AI3556" i="2"/>
  <c r="AJ3556" i="2"/>
  <c r="AF3557" i="2"/>
  <c r="AK3557" i="2"/>
  <c r="AG3557" i="2"/>
  <c r="AH3557" i="2"/>
  <c r="AI3557" i="2"/>
  <c r="AJ3557" i="2"/>
  <c r="AF3558" i="2"/>
  <c r="AK3558" i="2"/>
  <c r="AG3558" i="2"/>
  <c r="AH3558" i="2"/>
  <c r="AI3558" i="2"/>
  <c r="AJ3558" i="2"/>
  <c r="AF3559" i="2"/>
  <c r="AK3559" i="2"/>
  <c r="AG3559" i="2"/>
  <c r="AH3559" i="2"/>
  <c r="AI3559" i="2"/>
  <c r="AJ3559" i="2"/>
  <c r="AF3560" i="2"/>
  <c r="AK3560" i="2"/>
  <c r="AG3560" i="2"/>
  <c r="AH3560" i="2"/>
  <c r="AI3560" i="2"/>
  <c r="AJ3560" i="2"/>
  <c r="AF3561" i="2"/>
  <c r="AK3561" i="2"/>
  <c r="AG3561" i="2"/>
  <c r="AH3561" i="2"/>
  <c r="AI3561" i="2"/>
  <c r="AJ3561" i="2"/>
  <c r="AF3562" i="2"/>
  <c r="AK3562" i="2"/>
  <c r="AG3562" i="2"/>
  <c r="AH3562" i="2"/>
  <c r="AI3562" i="2"/>
  <c r="AJ3562" i="2"/>
  <c r="AF3563" i="2"/>
  <c r="AK3563" i="2"/>
  <c r="AG3563" i="2"/>
  <c r="AH3563" i="2"/>
  <c r="AI3563" i="2"/>
  <c r="AJ3563" i="2"/>
  <c r="AF3564" i="2"/>
  <c r="AK3564" i="2"/>
  <c r="AG3564" i="2"/>
  <c r="AH3564" i="2"/>
  <c r="AI3564" i="2"/>
  <c r="AJ3564" i="2"/>
  <c r="AF3565" i="2"/>
  <c r="AK3565" i="2"/>
  <c r="AG3565" i="2"/>
  <c r="AH3565" i="2"/>
  <c r="AI3565" i="2"/>
  <c r="AJ3565" i="2"/>
  <c r="AF3566" i="2"/>
  <c r="AK3566" i="2"/>
  <c r="AG3566" i="2"/>
  <c r="AH3566" i="2"/>
  <c r="AI3566" i="2"/>
  <c r="AJ3566" i="2"/>
  <c r="AF3567" i="2"/>
  <c r="AK3567" i="2"/>
  <c r="AG3567" i="2"/>
  <c r="AH3567" i="2"/>
  <c r="AI3567" i="2"/>
  <c r="AJ3567" i="2"/>
  <c r="AF3568" i="2"/>
  <c r="AK3568" i="2"/>
  <c r="AG3568" i="2"/>
  <c r="AH3568" i="2"/>
  <c r="AI3568" i="2"/>
  <c r="AJ3568" i="2"/>
  <c r="AF3569" i="2"/>
  <c r="AK3569" i="2"/>
  <c r="AG3569" i="2"/>
  <c r="AH3569" i="2"/>
  <c r="AI3569" i="2"/>
  <c r="AJ3569" i="2"/>
  <c r="AF3570" i="2"/>
  <c r="AK3570" i="2"/>
  <c r="AG3570" i="2"/>
  <c r="AH3570" i="2"/>
  <c r="AI3570" i="2"/>
  <c r="AJ3570" i="2"/>
  <c r="AF3571" i="2"/>
  <c r="AK3571" i="2"/>
  <c r="AG3571" i="2"/>
  <c r="AL3571" i="2" s="1"/>
  <c r="AH3571" i="2"/>
  <c r="AI3571" i="2"/>
  <c r="AJ3571" i="2"/>
  <c r="AF3572" i="2"/>
  <c r="AK3572" i="2"/>
  <c r="AG3572" i="2"/>
  <c r="AH3572" i="2"/>
  <c r="AI3572" i="2"/>
  <c r="AJ3572" i="2"/>
  <c r="AF3573" i="2"/>
  <c r="AK3573" i="2" s="1"/>
  <c r="AG3573" i="2"/>
  <c r="AH3573" i="2"/>
  <c r="AI3573" i="2"/>
  <c r="AJ3573" i="2"/>
  <c r="AF3574" i="2"/>
  <c r="AK3574" i="2"/>
  <c r="AG3574" i="2"/>
  <c r="AH3574" i="2"/>
  <c r="AI3574" i="2"/>
  <c r="AJ3574" i="2"/>
  <c r="AF3575" i="2"/>
  <c r="AK3575" i="2" s="1"/>
  <c r="AG3575" i="2"/>
  <c r="AH3575" i="2"/>
  <c r="AI3575" i="2"/>
  <c r="AJ3575" i="2"/>
  <c r="AF3576" i="2"/>
  <c r="AK3576" i="2"/>
  <c r="AG3576" i="2"/>
  <c r="AH3576" i="2"/>
  <c r="AI3576" i="2"/>
  <c r="AJ3576" i="2"/>
  <c r="AF3577" i="2"/>
  <c r="AK3577" i="2" s="1"/>
  <c r="AG3577" i="2"/>
  <c r="AH3577" i="2"/>
  <c r="AI3577" i="2"/>
  <c r="AJ3577" i="2"/>
  <c r="AF3578" i="2"/>
  <c r="AK3578" i="2"/>
  <c r="AG3578" i="2"/>
  <c r="AH3578" i="2"/>
  <c r="AI3578" i="2"/>
  <c r="AJ3578" i="2"/>
  <c r="AF3579" i="2"/>
  <c r="AK3579" i="2" s="1"/>
  <c r="AG3579" i="2"/>
  <c r="AH3579" i="2"/>
  <c r="AI3579" i="2"/>
  <c r="AJ3579" i="2"/>
  <c r="AF3580" i="2"/>
  <c r="AG3580" i="2"/>
  <c r="AH3580" i="2"/>
  <c r="AI3580" i="2"/>
  <c r="AJ3580" i="2"/>
  <c r="AK3580" i="2"/>
  <c r="AF3581" i="2"/>
  <c r="AK3581" i="2"/>
  <c r="AG3581" i="2"/>
  <c r="AH3581" i="2"/>
  <c r="AI3581" i="2"/>
  <c r="AJ3581" i="2"/>
  <c r="AF3582" i="2"/>
  <c r="AK3582" i="2"/>
  <c r="AG3582" i="2"/>
  <c r="AH3582" i="2"/>
  <c r="AI3582" i="2"/>
  <c r="AJ3582" i="2"/>
  <c r="AF3583" i="2"/>
  <c r="AK3583" i="2"/>
  <c r="AG3583" i="2"/>
  <c r="AH3583" i="2"/>
  <c r="AI3583" i="2"/>
  <c r="AJ3583" i="2"/>
  <c r="AF3584" i="2"/>
  <c r="AK3584" i="2"/>
  <c r="AG3584" i="2"/>
  <c r="AH3584" i="2"/>
  <c r="AI3584" i="2"/>
  <c r="AJ3584" i="2"/>
  <c r="AF3585" i="2"/>
  <c r="AK3585" i="2"/>
  <c r="AG3585" i="2"/>
  <c r="AH3585" i="2"/>
  <c r="AI3585" i="2"/>
  <c r="AJ3585" i="2"/>
  <c r="AF3586" i="2"/>
  <c r="AK3586" i="2"/>
  <c r="AG3586" i="2"/>
  <c r="AH3586" i="2"/>
  <c r="AI3586" i="2"/>
  <c r="AJ3586" i="2"/>
  <c r="AF3587" i="2"/>
  <c r="AK3587" i="2"/>
  <c r="AG3587" i="2"/>
  <c r="AH3587" i="2"/>
  <c r="AI3587" i="2"/>
  <c r="AJ3587" i="2"/>
  <c r="AF3588" i="2"/>
  <c r="AK3588" i="2"/>
  <c r="AG3588" i="2"/>
  <c r="AH3588" i="2"/>
  <c r="AI3588" i="2"/>
  <c r="AJ3588" i="2"/>
  <c r="AF3589" i="2"/>
  <c r="AK3589" i="2"/>
  <c r="AG3589" i="2"/>
  <c r="AH3589" i="2"/>
  <c r="AI3589" i="2"/>
  <c r="AJ3589" i="2"/>
  <c r="AF3590" i="2"/>
  <c r="AK3590" i="2"/>
  <c r="AG3590" i="2"/>
  <c r="AH3590" i="2"/>
  <c r="AI3590" i="2"/>
  <c r="AJ3590" i="2"/>
  <c r="AF3591" i="2"/>
  <c r="AK3591" i="2"/>
  <c r="AG3591" i="2"/>
  <c r="AH3591" i="2"/>
  <c r="AI3591" i="2"/>
  <c r="AJ3591" i="2"/>
  <c r="AF3592" i="2"/>
  <c r="AK3592" i="2"/>
  <c r="AG3592" i="2"/>
  <c r="AH3592" i="2"/>
  <c r="AI3592" i="2"/>
  <c r="AJ3592" i="2"/>
  <c r="AF3593" i="2"/>
  <c r="AK3593" i="2"/>
  <c r="AG3593" i="2"/>
  <c r="AH3593" i="2"/>
  <c r="AI3593" i="2"/>
  <c r="AJ3593" i="2"/>
  <c r="AF3594" i="2"/>
  <c r="AK3594" i="2"/>
  <c r="AG3594" i="2"/>
  <c r="AH3594" i="2"/>
  <c r="AI3594" i="2"/>
  <c r="AJ3594" i="2"/>
  <c r="AF3595" i="2"/>
  <c r="AK3595" i="2"/>
  <c r="AG3595" i="2"/>
  <c r="AH3595" i="2"/>
  <c r="AI3595" i="2"/>
  <c r="AJ3595" i="2"/>
  <c r="AF3596" i="2"/>
  <c r="AK3596" i="2"/>
  <c r="AG3596" i="2"/>
  <c r="AH3596" i="2"/>
  <c r="AI3596" i="2"/>
  <c r="AJ3596" i="2"/>
  <c r="AF3597" i="2"/>
  <c r="AK3597" i="2"/>
  <c r="AG3597" i="2"/>
  <c r="AH3597" i="2"/>
  <c r="AI3597" i="2"/>
  <c r="AJ3597" i="2"/>
  <c r="AF3598" i="2"/>
  <c r="AK3598" i="2"/>
  <c r="AG3598" i="2"/>
  <c r="AH3598" i="2"/>
  <c r="AI3598" i="2"/>
  <c r="AJ3598" i="2"/>
  <c r="AF3599" i="2"/>
  <c r="AK3599" i="2"/>
  <c r="AG3599" i="2"/>
  <c r="AH3599" i="2"/>
  <c r="AI3599" i="2"/>
  <c r="AJ3599" i="2"/>
  <c r="AF3600" i="2"/>
  <c r="AK3600" i="2"/>
  <c r="AG3600" i="2"/>
  <c r="AH3600" i="2"/>
  <c r="AI3600" i="2"/>
  <c r="AJ3600" i="2"/>
  <c r="AF3601" i="2"/>
  <c r="AK3601" i="2"/>
  <c r="AG3601" i="2"/>
  <c r="AH3601" i="2"/>
  <c r="AI3601" i="2"/>
  <c r="AJ3601" i="2"/>
  <c r="AF3602" i="2"/>
  <c r="AK3602" i="2"/>
  <c r="AG3602" i="2"/>
  <c r="AH3602" i="2"/>
  <c r="AI3602" i="2"/>
  <c r="AJ3602" i="2"/>
  <c r="AF3603" i="2"/>
  <c r="AK3603" i="2"/>
  <c r="AG3603" i="2"/>
  <c r="AH3603" i="2"/>
  <c r="AI3603" i="2"/>
  <c r="AJ3603" i="2"/>
  <c r="AF3604" i="2"/>
  <c r="AK3604" i="2"/>
  <c r="AG3604" i="2"/>
  <c r="AH3604" i="2"/>
  <c r="AI3604" i="2"/>
  <c r="AJ3604" i="2"/>
  <c r="AF3605" i="2"/>
  <c r="AK3605" i="2"/>
  <c r="AG3605" i="2"/>
  <c r="AH3605" i="2"/>
  <c r="AI3605" i="2"/>
  <c r="AJ3605" i="2"/>
  <c r="AF3606" i="2"/>
  <c r="AK3606" i="2"/>
  <c r="AG3606" i="2"/>
  <c r="AH3606" i="2"/>
  <c r="AI3606" i="2"/>
  <c r="AJ3606" i="2"/>
  <c r="AF3607" i="2"/>
  <c r="AK3607" i="2"/>
  <c r="AG3607" i="2"/>
  <c r="AH3607" i="2"/>
  <c r="AI3607" i="2"/>
  <c r="AJ3607" i="2"/>
  <c r="AF3608" i="2"/>
  <c r="AK3608" i="2"/>
  <c r="AG3608" i="2"/>
  <c r="AH3608" i="2"/>
  <c r="AI3608" i="2"/>
  <c r="AJ3608" i="2"/>
  <c r="AF3609" i="2"/>
  <c r="AK3609" i="2"/>
  <c r="AG3609" i="2"/>
  <c r="AH3609" i="2"/>
  <c r="AI3609" i="2"/>
  <c r="AJ3609" i="2"/>
  <c r="AF3610" i="2"/>
  <c r="AK3610" i="2"/>
  <c r="AG3610" i="2"/>
  <c r="AH3610" i="2"/>
  <c r="AL3610" i="2" s="1"/>
  <c r="AI3610" i="2"/>
  <c r="AJ3610" i="2"/>
  <c r="AF3611" i="2"/>
  <c r="AK3611" i="2"/>
  <c r="AG3611" i="2"/>
  <c r="AL3611" i="2" s="1"/>
  <c r="AH3611" i="2"/>
  <c r="AI3611" i="2"/>
  <c r="AJ3611" i="2"/>
  <c r="AF3612" i="2"/>
  <c r="AK3612" i="2"/>
  <c r="AG3612" i="2"/>
  <c r="AH3612" i="2"/>
  <c r="AI3612" i="2"/>
  <c r="AJ3612" i="2"/>
  <c r="AF3613" i="2"/>
  <c r="AK3613" i="2"/>
  <c r="AG3613" i="2"/>
  <c r="AL3613" i="2" s="1"/>
  <c r="AH3613" i="2"/>
  <c r="AI3613" i="2"/>
  <c r="AJ3613" i="2"/>
  <c r="AF3614" i="2"/>
  <c r="AK3614" i="2"/>
  <c r="AG3614" i="2"/>
  <c r="AH3614" i="2"/>
  <c r="AI3614" i="2"/>
  <c r="AJ3614" i="2"/>
  <c r="AF3615" i="2"/>
  <c r="AK3615" i="2" s="1"/>
  <c r="AG3615" i="2"/>
  <c r="AH3615" i="2"/>
  <c r="AI3615" i="2"/>
  <c r="AJ3615" i="2"/>
  <c r="AF3616" i="2"/>
  <c r="AK3616" i="2"/>
  <c r="AG3616" i="2"/>
  <c r="AH3616" i="2"/>
  <c r="AI3616" i="2"/>
  <c r="AJ3616" i="2"/>
  <c r="AL3616" i="2" s="1"/>
  <c r="AF3617" i="2"/>
  <c r="AK3617" i="2"/>
  <c r="AG3617" i="2"/>
  <c r="AH3617" i="2"/>
  <c r="AI3617" i="2"/>
  <c r="AJ3617" i="2"/>
  <c r="AF3618" i="2"/>
  <c r="AK3618" i="2"/>
  <c r="AG3618" i="2"/>
  <c r="AH3618" i="2"/>
  <c r="AI3618" i="2"/>
  <c r="AJ3618" i="2"/>
  <c r="AF3619" i="2"/>
  <c r="AK3619" i="2"/>
  <c r="AG3619" i="2"/>
  <c r="AH3619" i="2"/>
  <c r="AI3619" i="2"/>
  <c r="AJ3619" i="2"/>
  <c r="AF3620" i="2"/>
  <c r="AK3620" i="2"/>
  <c r="AG3620" i="2"/>
  <c r="AH3620" i="2"/>
  <c r="AI3620" i="2"/>
  <c r="AJ3620" i="2"/>
  <c r="AF3621" i="2"/>
  <c r="AK3621" i="2"/>
  <c r="AG3621" i="2"/>
  <c r="AH3621" i="2"/>
  <c r="AI3621" i="2"/>
  <c r="AJ3621" i="2"/>
  <c r="AF3622" i="2"/>
  <c r="AK3622" i="2"/>
  <c r="AG3622" i="2"/>
  <c r="AH3622" i="2"/>
  <c r="AI3622" i="2"/>
  <c r="AJ3622" i="2"/>
  <c r="AF3623" i="2"/>
  <c r="AK3623" i="2"/>
  <c r="AG3623" i="2"/>
  <c r="AH3623" i="2"/>
  <c r="AI3623" i="2"/>
  <c r="AJ3623" i="2"/>
  <c r="AF3624" i="2"/>
  <c r="AK3624" i="2"/>
  <c r="AG3624" i="2"/>
  <c r="AH3624" i="2"/>
  <c r="AI3624" i="2"/>
  <c r="AJ3624" i="2"/>
  <c r="AF3625" i="2"/>
  <c r="AK3625" i="2"/>
  <c r="AG3625" i="2"/>
  <c r="AH3625" i="2"/>
  <c r="AI3625" i="2"/>
  <c r="AJ3625" i="2"/>
  <c r="AF3626" i="2"/>
  <c r="AK3626" i="2"/>
  <c r="AG3626" i="2"/>
  <c r="AH3626" i="2"/>
  <c r="AI3626" i="2"/>
  <c r="AJ3626" i="2"/>
  <c r="AF3627" i="2"/>
  <c r="AK3627" i="2"/>
  <c r="AG3627" i="2"/>
  <c r="AH3627" i="2"/>
  <c r="AI3627" i="2"/>
  <c r="AJ3627" i="2"/>
  <c r="AF3628" i="2"/>
  <c r="AK3628" i="2"/>
  <c r="AG3628" i="2"/>
  <c r="AH3628" i="2"/>
  <c r="AI3628" i="2"/>
  <c r="AL3628" i="2"/>
  <c r="AJ3628" i="2"/>
  <c r="AF3629" i="2"/>
  <c r="AK3629" i="2"/>
  <c r="AG3629" i="2"/>
  <c r="AH3629" i="2"/>
  <c r="AI3629" i="2"/>
  <c r="AJ3629" i="2"/>
  <c r="AF3630" i="2"/>
  <c r="AK3630" i="2" s="1"/>
  <c r="AG3630" i="2"/>
  <c r="AH3630" i="2"/>
  <c r="AI3630" i="2"/>
  <c r="AJ3630" i="2"/>
  <c r="AF3631" i="2"/>
  <c r="AK3631" i="2"/>
  <c r="AG3631" i="2"/>
  <c r="AH3631" i="2"/>
  <c r="AI3631" i="2"/>
  <c r="AJ3631" i="2"/>
  <c r="AF3632" i="2"/>
  <c r="AK3632" i="2"/>
  <c r="AG3632" i="2"/>
  <c r="AH3632" i="2"/>
  <c r="AI3632" i="2"/>
  <c r="AJ3632" i="2"/>
  <c r="AF3633" i="2"/>
  <c r="AK3633" i="2"/>
  <c r="AG3633" i="2"/>
  <c r="AH3633" i="2"/>
  <c r="AI3633" i="2"/>
  <c r="AJ3633" i="2"/>
  <c r="AF3634" i="2"/>
  <c r="AK3634" i="2"/>
  <c r="AG3634" i="2"/>
  <c r="AH3634" i="2"/>
  <c r="AI3634" i="2"/>
  <c r="AJ3634" i="2"/>
  <c r="AF3635" i="2"/>
  <c r="AK3635" i="2"/>
  <c r="AG3635" i="2"/>
  <c r="AH3635" i="2"/>
  <c r="AI3635" i="2"/>
  <c r="AJ3635" i="2"/>
  <c r="AF3636" i="2"/>
  <c r="AK3636" i="2"/>
  <c r="AG3636" i="2"/>
  <c r="AH3636" i="2"/>
  <c r="AI3636" i="2"/>
  <c r="AJ3636" i="2"/>
  <c r="AF3637" i="2"/>
  <c r="AK3637" i="2"/>
  <c r="AG3637" i="2"/>
  <c r="AH3637" i="2"/>
  <c r="AI3637" i="2"/>
  <c r="AJ3637" i="2"/>
  <c r="AF3638" i="2"/>
  <c r="AK3638" i="2"/>
  <c r="AG3638" i="2"/>
  <c r="AH3638" i="2"/>
  <c r="AI3638" i="2"/>
  <c r="AJ3638" i="2"/>
  <c r="AF3639" i="2"/>
  <c r="AK3639" i="2"/>
  <c r="AG3639" i="2"/>
  <c r="AH3639" i="2"/>
  <c r="AI3639" i="2"/>
  <c r="AJ3639" i="2"/>
  <c r="AF3640" i="2"/>
  <c r="AK3640" i="2"/>
  <c r="AG3640" i="2"/>
  <c r="AH3640" i="2"/>
  <c r="AI3640" i="2"/>
  <c r="AJ3640" i="2"/>
  <c r="AF3641" i="2"/>
  <c r="AK3641" i="2"/>
  <c r="AG3641" i="2"/>
  <c r="AH3641" i="2"/>
  <c r="AI3641" i="2"/>
  <c r="AJ3641" i="2"/>
  <c r="AF3642" i="2"/>
  <c r="AK3642" i="2"/>
  <c r="AG3642" i="2"/>
  <c r="AH3642" i="2"/>
  <c r="AI3642" i="2"/>
  <c r="AJ3642" i="2"/>
  <c r="AF3643" i="2"/>
  <c r="AK3643" i="2"/>
  <c r="AG3643" i="2"/>
  <c r="AH3643" i="2"/>
  <c r="AI3643" i="2"/>
  <c r="AJ3643" i="2"/>
  <c r="AF3644" i="2"/>
  <c r="AK3644" i="2"/>
  <c r="AG3644" i="2"/>
  <c r="AH3644" i="2"/>
  <c r="AI3644" i="2"/>
  <c r="AJ3644" i="2"/>
  <c r="AF3645" i="2"/>
  <c r="AK3645" i="2"/>
  <c r="AG3645" i="2"/>
  <c r="AH3645" i="2"/>
  <c r="AI3645" i="2"/>
  <c r="AJ3645" i="2"/>
  <c r="AF3646" i="2"/>
  <c r="AK3646" i="2"/>
  <c r="AG3646" i="2"/>
  <c r="AH3646" i="2"/>
  <c r="AI3646" i="2"/>
  <c r="AJ3646" i="2"/>
  <c r="AF3647" i="2"/>
  <c r="AK3647" i="2"/>
  <c r="AG3647" i="2"/>
  <c r="AH3647" i="2"/>
  <c r="AI3647" i="2"/>
  <c r="AJ3647" i="2"/>
  <c r="AF3648" i="2"/>
  <c r="AK3648" i="2"/>
  <c r="AG3648" i="2"/>
  <c r="AH3648" i="2"/>
  <c r="AI3648" i="2"/>
  <c r="AJ3648" i="2"/>
  <c r="AF3649" i="2"/>
  <c r="AK3649" i="2"/>
  <c r="AG3649" i="2"/>
  <c r="AH3649" i="2"/>
  <c r="AI3649" i="2"/>
  <c r="AJ3649" i="2"/>
  <c r="AF3650" i="2"/>
  <c r="AK3650" i="2"/>
  <c r="AG3650" i="2"/>
  <c r="AH3650" i="2"/>
  <c r="AI3650" i="2"/>
  <c r="AJ3650" i="2"/>
  <c r="AF3651" i="2"/>
  <c r="AK3651" i="2"/>
  <c r="AG3651" i="2"/>
  <c r="AH3651" i="2"/>
  <c r="AI3651" i="2"/>
  <c r="AJ3651" i="2"/>
  <c r="AF3652" i="2"/>
  <c r="AK3652" i="2"/>
  <c r="AG3652" i="2"/>
  <c r="AH3652" i="2"/>
  <c r="AI3652" i="2"/>
  <c r="AJ3652" i="2"/>
  <c r="AF3653" i="2"/>
  <c r="AK3653" i="2"/>
  <c r="AG3653" i="2"/>
  <c r="AH3653" i="2"/>
  <c r="AI3653" i="2"/>
  <c r="AJ3653" i="2"/>
  <c r="AF3654" i="2"/>
  <c r="AK3654" i="2"/>
  <c r="AG3654" i="2"/>
  <c r="AH3654" i="2"/>
  <c r="AI3654" i="2"/>
  <c r="AJ3654" i="2"/>
  <c r="AF3655" i="2"/>
  <c r="AK3655" i="2"/>
  <c r="AG3655" i="2"/>
  <c r="AH3655" i="2"/>
  <c r="AI3655" i="2"/>
  <c r="AJ3655" i="2"/>
  <c r="AF3656" i="2"/>
  <c r="AK3656" i="2"/>
  <c r="AG3656" i="2"/>
  <c r="AH3656" i="2"/>
  <c r="AI3656" i="2"/>
  <c r="AJ3656" i="2"/>
  <c r="AF3657" i="2"/>
  <c r="AK3657" i="2"/>
  <c r="AG3657" i="2"/>
  <c r="AH3657" i="2"/>
  <c r="AI3657" i="2"/>
  <c r="AJ3657" i="2"/>
  <c r="AF3658" i="2"/>
  <c r="AK3658" i="2"/>
  <c r="AG3658" i="2"/>
  <c r="AH3658" i="2"/>
  <c r="AI3658" i="2"/>
  <c r="AJ3658" i="2"/>
  <c r="AF3659" i="2"/>
  <c r="AK3659" i="2"/>
  <c r="AG3659" i="2"/>
  <c r="AH3659" i="2"/>
  <c r="AI3659" i="2"/>
  <c r="AJ3659" i="2"/>
  <c r="AF3660" i="2"/>
  <c r="AK3660" i="2"/>
  <c r="AG3660" i="2"/>
  <c r="AH3660" i="2"/>
  <c r="AI3660" i="2"/>
  <c r="AJ3660" i="2"/>
  <c r="AF3661" i="2"/>
  <c r="AK3661" i="2"/>
  <c r="AG3661" i="2"/>
  <c r="AH3661" i="2"/>
  <c r="AI3661" i="2"/>
  <c r="AJ3661" i="2"/>
  <c r="AF3662" i="2"/>
  <c r="AK3662" i="2"/>
  <c r="AG3662" i="2"/>
  <c r="AH3662" i="2"/>
  <c r="AI3662" i="2"/>
  <c r="AJ3662" i="2"/>
  <c r="AF3663" i="2"/>
  <c r="AK3663" i="2"/>
  <c r="AG3663" i="2"/>
  <c r="AH3663" i="2"/>
  <c r="AI3663" i="2"/>
  <c r="AJ3663" i="2"/>
  <c r="AF3664" i="2"/>
  <c r="AK3664" i="2"/>
  <c r="AG3664" i="2"/>
  <c r="AH3664" i="2"/>
  <c r="AI3664" i="2"/>
  <c r="AJ3664" i="2"/>
  <c r="AF3665" i="2"/>
  <c r="AK3665" i="2"/>
  <c r="AG3665" i="2"/>
  <c r="AH3665" i="2"/>
  <c r="AI3665" i="2"/>
  <c r="AJ3665" i="2"/>
  <c r="AF3666" i="2"/>
  <c r="AK3666" i="2"/>
  <c r="AG3666" i="2"/>
  <c r="AH3666" i="2"/>
  <c r="AI3666" i="2"/>
  <c r="AJ3666" i="2"/>
  <c r="AF3667" i="2"/>
  <c r="AK3667" i="2"/>
  <c r="AG3667" i="2"/>
  <c r="AH3667" i="2"/>
  <c r="AI3667" i="2"/>
  <c r="AJ3667" i="2"/>
  <c r="AF3668" i="2"/>
  <c r="AK3668" i="2"/>
  <c r="AG3668" i="2"/>
  <c r="AH3668" i="2"/>
  <c r="AI3668" i="2"/>
  <c r="AJ3668" i="2"/>
  <c r="AF3669" i="2"/>
  <c r="AK3669" i="2"/>
  <c r="AG3669" i="2"/>
  <c r="AH3669" i="2"/>
  <c r="AI3669" i="2"/>
  <c r="AJ3669" i="2"/>
  <c r="AF3670" i="2"/>
  <c r="AK3670" i="2"/>
  <c r="AG3670" i="2"/>
  <c r="AH3670" i="2"/>
  <c r="AI3670" i="2"/>
  <c r="AJ3670" i="2"/>
  <c r="AF3671" i="2"/>
  <c r="AK3671" i="2"/>
  <c r="AG3671" i="2"/>
  <c r="AH3671" i="2"/>
  <c r="AI3671" i="2"/>
  <c r="AJ3671" i="2"/>
  <c r="AF3672" i="2"/>
  <c r="AK3672" i="2"/>
  <c r="AG3672" i="2"/>
  <c r="AL3672" i="2" s="1"/>
  <c r="AH3672" i="2"/>
  <c r="AI3672" i="2"/>
  <c r="AJ3672" i="2"/>
  <c r="AF3673" i="2"/>
  <c r="AK3673" i="2" s="1"/>
  <c r="AG3673" i="2"/>
  <c r="AH3673" i="2"/>
  <c r="AI3673" i="2"/>
  <c r="AJ3673" i="2"/>
  <c r="AF3674" i="2"/>
  <c r="AK3674" i="2"/>
  <c r="AG3674" i="2"/>
  <c r="AH3674" i="2"/>
  <c r="AI3674" i="2"/>
  <c r="AJ3674" i="2"/>
  <c r="AF3675" i="2"/>
  <c r="AK3675" i="2" s="1"/>
  <c r="AG3675" i="2"/>
  <c r="AH3675" i="2"/>
  <c r="AI3675" i="2"/>
  <c r="AJ3675" i="2"/>
  <c r="AF3676" i="2"/>
  <c r="AK3676" i="2"/>
  <c r="AG3676" i="2"/>
  <c r="AL3676" i="2" s="1"/>
  <c r="AH3676" i="2"/>
  <c r="AI3676" i="2"/>
  <c r="AJ3676" i="2"/>
  <c r="AF3677" i="2"/>
  <c r="AK3677" i="2"/>
  <c r="AG3677" i="2"/>
  <c r="AH3677" i="2"/>
  <c r="AI3677" i="2"/>
  <c r="AJ3677" i="2"/>
  <c r="AF3678" i="2"/>
  <c r="AK3678" i="2"/>
  <c r="AG3678" i="2"/>
  <c r="AH3678" i="2"/>
  <c r="AI3678" i="2"/>
  <c r="AJ3678" i="2"/>
  <c r="AF3679" i="2"/>
  <c r="AK3679" i="2"/>
  <c r="AG3679" i="2"/>
  <c r="AH3679" i="2"/>
  <c r="AI3679" i="2"/>
  <c r="AJ3679" i="2"/>
  <c r="AF3680" i="2"/>
  <c r="AK3680" i="2"/>
  <c r="AG3680" i="2"/>
  <c r="AH3680" i="2"/>
  <c r="AI3680" i="2"/>
  <c r="AJ3680" i="2"/>
  <c r="AF3681" i="2"/>
  <c r="AK3681" i="2"/>
  <c r="AG3681" i="2"/>
  <c r="AH3681" i="2"/>
  <c r="AI3681" i="2"/>
  <c r="AJ3681" i="2"/>
  <c r="AF3682" i="2"/>
  <c r="AK3682" i="2"/>
  <c r="AG3682" i="2"/>
  <c r="AH3682" i="2"/>
  <c r="AI3682" i="2"/>
  <c r="AJ3682" i="2"/>
  <c r="AF3683" i="2"/>
  <c r="AK3683" i="2"/>
  <c r="AG3683" i="2"/>
  <c r="AL3683" i="2" s="1"/>
  <c r="AH3683" i="2"/>
  <c r="AI3683" i="2"/>
  <c r="AJ3683" i="2"/>
  <c r="AF3684" i="2"/>
  <c r="AK3684" i="2" s="1"/>
  <c r="AG3684" i="2"/>
  <c r="AH3684" i="2"/>
  <c r="AI3684" i="2"/>
  <c r="AJ3684" i="2"/>
  <c r="AF3685" i="2"/>
  <c r="AK3685" i="2"/>
  <c r="AG3685" i="2"/>
  <c r="AH3685" i="2"/>
  <c r="AI3685" i="2"/>
  <c r="AJ3685" i="2"/>
  <c r="AF3686" i="2"/>
  <c r="AK3686" i="2" s="1"/>
  <c r="AG3686" i="2"/>
  <c r="AH3686" i="2"/>
  <c r="AI3686" i="2"/>
  <c r="AJ3686" i="2"/>
  <c r="AF3687" i="2"/>
  <c r="AK3687" i="2"/>
  <c r="AG3687" i="2"/>
  <c r="AH3687" i="2"/>
  <c r="AI3687" i="2"/>
  <c r="AJ3687" i="2"/>
  <c r="AF3688" i="2"/>
  <c r="AK3688" i="2" s="1"/>
  <c r="AG3688" i="2"/>
  <c r="AH3688" i="2"/>
  <c r="AI3688" i="2"/>
  <c r="AJ3688" i="2"/>
  <c r="AF3689" i="2"/>
  <c r="AK3689" i="2"/>
  <c r="AG3689" i="2"/>
  <c r="AH3689" i="2"/>
  <c r="AI3689" i="2"/>
  <c r="AJ3689" i="2"/>
  <c r="AF3690" i="2"/>
  <c r="AK3690" i="2" s="1"/>
  <c r="AG3690" i="2"/>
  <c r="AH3690" i="2"/>
  <c r="AI3690" i="2"/>
  <c r="AJ3690" i="2"/>
  <c r="AF3691" i="2"/>
  <c r="AK3691" i="2"/>
  <c r="AG3691" i="2"/>
  <c r="AH3691" i="2"/>
  <c r="AI3691" i="2"/>
  <c r="AJ3691" i="2"/>
  <c r="AF3692" i="2"/>
  <c r="AK3692" i="2" s="1"/>
  <c r="AG3692" i="2"/>
  <c r="AH3692" i="2"/>
  <c r="AI3692" i="2"/>
  <c r="AJ3692" i="2"/>
  <c r="AF3693" i="2"/>
  <c r="AK3693" i="2"/>
  <c r="AG3693" i="2"/>
  <c r="AH3693" i="2"/>
  <c r="AI3693" i="2"/>
  <c r="AJ3693" i="2"/>
  <c r="AF3694" i="2"/>
  <c r="AK3694" i="2" s="1"/>
  <c r="AG3694" i="2"/>
  <c r="AH3694" i="2"/>
  <c r="AI3694" i="2"/>
  <c r="AJ3694" i="2"/>
  <c r="AF3695" i="2"/>
  <c r="AK3695" i="2"/>
  <c r="AG3695" i="2"/>
  <c r="AL3695" i="2" s="1"/>
  <c r="AH3695" i="2"/>
  <c r="AI3695" i="2"/>
  <c r="AJ3695" i="2"/>
  <c r="AF3696" i="2"/>
  <c r="AK3696" i="2"/>
  <c r="AG3696" i="2"/>
  <c r="AH3696" i="2"/>
  <c r="AI3696" i="2"/>
  <c r="AJ3696" i="2"/>
  <c r="AF3697" i="2"/>
  <c r="AK3697" i="2"/>
  <c r="AG3697" i="2"/>
  <c r="AH3697" i="2"/>
  <c r="AI3697" i="2"/>
  <c r="AJ3697" i="2"/>
  <c r="AF3698" i="2"/>
  <c r="AK3698" i="2"/>
  <c r="AG3698" i="2"/>
  <c r="AH3698" i="2"/>
  <c r="AI3698" i="2"/>
  <c r="AJ3698" i="2"/>
  <c r="AF3699" i="2"/>
  <c r="AK3699" i="2"/>
  <c r="AG3699" i="2"/>
  <c r="AH3699" i="2"/>
  <c r="AI3699" i="2"/>
  <c r="AJ3699" i="2"/>
  <c r="AF3700" i="2"/>
  <c r="AK3700" i="2"/>
  <c r="AG3700" i="2"/>
  <c r="AH3700" i="2"/>
  <c r="AI3700" i="2"/>
  <c r="AJ3700" i="2"/>
  <c r="AF3701" i="2"/>
  <c r="AK3701" i="2"/>
  <c r="AG3701" i="2"/>
  <c r="AH3701" i="2"/>
  <c r="AI3701" i="2"/>
  <c r="AJ3701" i="2"/>
  <c r="AF3702" i="2"/>
  <c r="AK3702" i="2"/>
  <c r="AG3702" i="2"/>
  <c r="AH3702" i="2"/>
  <c r="AI3702" i="2"/>
  <c r="AJ3702" i="2"/>
  <c r="AF3703" i="2"/>
  <c r="AK3703" i="2"/>
  <c r="AG3703" i="2"/>
  <c r="AH3703" i="2"/>
  <c r="AI3703" i="2"/>
  <c r="AJ3703" i="2"/>
  <c r="AF3704" i="2"/>
  <c r="AK3704" i="2"/>
  <c r="AG3704" i="2"/>
  <c r="AH3704" i="2"/>
  <c r="AI3704" i="2"/>
  <c r="AJ3704" i="2"/>
  <c r="AF3705" i="2"/>
  <c r="AK3705" i="2"/>
  <c r="AG3705" i="2"/>
  <c r="AH3705" i="2"/>
  <c r="AI3705" i="2"/>
  <c r="AJ3705" i="2"/>
  <c r="AF3706" i="2"/>
  <c r="AK3706" i="2"/>
  <c r="AG3706" i="2"/>
  <c r="AH3706" i="2"/>
  <c r="AI3706" i="2"/>
  <c r="AJ3706" i="2"/>
  <c r="AF3707" i="2"/>
  <c r="AK3707" i="2"/>
  <c r="AG3707" i="2"/>
  <c r="AH3707" i="2"/>
  <c r="AI3707" i="2"/>
  <c r="AJ3707" i="2"/>
  <c r="AF3708" i="2"/>
  <c r="AK3708" i="2"/>
  <c r="AG3708" i="2"/>
  <c r="AH3708" i="2"/>
  <c r="AI3708" i="2"/>
  <c r="AJ3708" i="2"/>
  <c r="AF3709" i="2"/>
  <c r="AK3709" i="2"/>
  <c r="AG3709" i="2"/>
  <c r="AH3709" i="2"/>
  <c r="AL3709" i="2" s="1"/>
  <c r="AI3709" i="2"/>
  <c r="AJ3709" i="2"/>
  <c r="AF3710" i="2"/>
  <c r="AK3710" i="2"/>
  <c r="AG3710" i="2"/>
  <c r="AL3710" i="2" s="1"/>
  <c r="AH3710" i="2"/>
  <c r="AI3710" i="2"/>
  <c r="AJ3710" i="2"/>
  <c r="AF3711" i="2"/>
  <c r="AK3711" i="2"/>
  <c r="AG3711" i="2"/>
  <c r="AH3711" i="2"/>
  <c r="AI3711" i="2"/>
  <c r="AJ3711" i="2"/>
  <c r="AF3712" i="2"/>
  <c r="AK3712" i="2"/>
  <c r="AG3712" i="2"/>
  <c r="AL3712" i="2" s="1"/>
  <c r="AH3712" i="2"/>
  <c r="AI3712" i="2"/>
  <c r="AJ3712" i="2"/>
  <c r="AF3713" i="2"/>
  <c r="AK3713" i="2"/>
  <c r="AG3713" i="2"/>
  <c r="AH3713" i="2"/>
  <c r="AI3713" i="2"/>
  <c r="AJ3713" i="2"/>
  <c r="AF3714" i="2"/>
  <c r="AK3714" i="2" s="1"/>
  <c r="AG3714" i="2"/>
  <c r="AH3714" i="2"/>
  <c r="AI3714" i="2"/>
  <c r="AJ3714" i="2"/>
  <c r="AF3715" i="2"/>
  <c r="AK3715" i="2"/>
  <c r="AG3715" i="2"/>
  <c r="AH3715" i="2"/>
  <c r="AI3715" i="2"/>
  <c r="AJ3715" i="2"/>
  <c r="AF3716" i="2"/>
  <c r="AK3716" i="2" s="1"/>
  <c r="AG3716" i="2"/>
  <c r="AL3716" i="2" s="1"/>
  <c r="AH3716" i="2"/>
  <c r="AI3716" i="2"/>
  <c r="AJ3716" i="2"/>
  <c r="AF3717" i="2"/>
  <c r="AK3717" i="2"/>
  <c r="AG3717" i="2"/>
  <c r="AH3717" i="2"/>
  <c r="AI3717" i="2"/>
  <c r="AJ3717" i="2"/>
  <c r="AF3718" i="2"/>
  <c r="AK3718" i="2"/>
  <c r="AG3718" i="2"/>
  <c r="AH3718" i="2"/>
  <c r="AI3718" i="2"/>
  <c r="AJ3718" i="2"/>
  <c r="AF3719" i="2"/>
  <c r="AK3719" i="2"/>
  <c r="AG3719" i="2"/>
  <c r="AH3719" i="2"/>
  <c r="AI3719" i="2"/>
  <c r="AJ3719" i="2"/>
  <c r="AF3720" i="2"/>
  <c r="AK3720" i="2"/>
  <c r="AG3720" i="2"/>
  <c r="AH3720" i="2"/>
  <c r="AI3720" i="2"/>
  <c r="AJ3720" i="2"/>
  <c r="AF3721" i="2"/>
  <c r="AK3721" i="2"/>
  <c r="AG3721" i="2"/>
  <c r="AH3721" i="2"/>
  <c r="AL3721" i="2" s="1"/>
  <c r="AI3721" i="2"/>
  <c r="AJ3721" i="2"/>
  <c r="AF3722" i="2"/>
  <c r="AK3722" i="2"/>
  <c r="AG3722" i="2"/>
  <c r="AH3722" i="2"/>
  <c r="AI3722" i="2"/>
  <c r="AJ3722" i="2"/>
  <c r="AF3723" i="2"/>
  <c r="AK3723" i="2" s="1"/>
  <c r="AG3723" i="2"/>
  <c r="AH3723" i="2"/>
  <c r="AI3723" i="2"/>
  <c r="AJ3723" i="2"/>
  <c r="AF3724" i="2"/>
  <c r="AK3724" i="2"/>
  <c r="AG3724" i="2"/>
  <c r="AH3724" i="2"/>
  <c r="AI3724" i="2"/>
  <c r="AJ3724" i="2"/>
  <c r="AF3725" i="2"/>
  <c r="AK3725" i="2" s="1"/>
  <c r="AG3725" i="2"/>
  <c r="AH3725" i="2"/>
  <c r="AI3725" i="2"/>
  <c r="AJ3725" i="2"/>
  <c r="AF3726" i="2"/>
  <c r="AK3726" i="2"/>
  <c r="AG3726" i="2"/>
  <c r="AL3726" i="2" s="1"/>
  <c r="AH3726" i="2"/>
  <c r="AI3726" i="2"/>
  <c r="AJ3726" i="2"/>
  <c r="AF3727" i="2"/>
  <c r="AK3727" i="2"/>
  <c r="AG3727" i="2"/>
  <c r="AH3727" i="2"/>
  <c r="AI3727" i="2"/>
  <c r="AJ3727" i="2"/>
  <c r="AF3728" i="2"/>
  <c r="AK3728" i="2"/>
  <c r="AG3728" i="2"/>
  <c r="AH3728" i="2"/>
  <c r="AI3728" i="2"/>
  <c r="AL3728" i="2" s="1"/>
  <c r="AJ3728" i="2"/>
  <c r="AF3729" i="2"/>
  <c r="AK3729" i="2"/>
  <c r="AG3729" i="2"/>
  <c r="AH3729" i="2"/>
  <c r="AI3729" i="2"/>
  <c r="AJ3729" i="2"/>
  <c r="AF3730" i="2"/>
  <c r="AK3730" i="2" s="1"/>
  <c r="AG3730" i="2"/>
  <c r="AH3730" i="2"/>
  <c r="AI3730" i="2"/>
  <c r="AJ3730" i="2"/>
  <c r="AF3731" i="2"/>
  <c r="AK3731" i="2"/>
  <c r="AG3731" i="2"/>
  <c r="AH3731" i="2"/>
  <c r="AI3731" i="2"/>
  <c r="AJ3731" i="2"/>
  <c r="AF3732" i="2"/>
  <c r="AK3732" i="2" s="1"/>
  <c r="AG3732" i="2"/>
  <c r="AH3732" i="2"/>
  <c r="AI3732" i="2"/>
  <c r="AJ3732" i="2"/>
  <c r="AF3733" i="2"/>
  <c r="AK3733" i="2"/>
  <c r="AG3733" i="2"/>
  <c r="AH3733" i="2"/>
  <c r="AI3733" i="2"/>
  <c r="AJ3733" i="2"/>
  <c r="AF3734" i="2"/>
  <c r="AK3734" i="2" s="1"/>
  <c r="AG3734" i="2"/>
  <c r="AH3734" i="2"/>
  <c r="AI3734" i="2"/>
  <c r="AJ3734" i="2"/>
  <c r="AF3735" i="2"/>
  <c r="AK3735" i="2"/>
  <c r="AG3735" i="2"/>
  <c r="AH3735" i="2"/>
  <c r="AI3735" i="2"/>
  <c r="AJ3735" i="2"/>
  <c r="AL3735" i="2" s="1"/>
  <c r="AF3736" i="2"/>
  <c r="AK3736" i="2"/>
  <c r="AG3736" i="2"/>
  <c r="AH3736" i="2"/>
  <c r="AI3736" i="2"/>
  <c r="AJ3736" i="2"/>
  <c r="AF3737" i="2"/>
  <c r="AK3737" i="2"/>
  <c r="AG3737" i="2"/>
  <c r="AH3737" i="2"/>
  <c r="AI3737" i="2"/>
  <c r="AJ3737" i="2"/>
  <c r="AF3738" i="2"/>
  <c r="AK3738" i="2"/>
  <c r="AG3738" i="2"/>
  <c r="AH3738" i="2"/>
  <c r="AI3738" i="2"/>
  <c r="AJ3738" i="2"/>
  <c r="AF3739" i="2"/>
  <c r="AK3739" i="2"/>
  <c r="AG3739" i="2"/>
  <c r="AH3739" i="2"/>
  <c r="AI3739" i="2"/>
  <c r="AJ3739" i="2"/>
  <c r="AF3740" i="2"/>
  <c r="AK3740" i="2"/>
  <c r="AG3740" i="2"/>
  <c r="AL3740" i="2"/>
  <c r="AH3740" i="2"/>
  <c r="AI3740" i="2"/>
  <c r="AJ3740" i="2"/>
  <c r="AF3741" i="2"/>
  <c r="AK3741" i="2" s="1"/>
  <c r="AG3741" i="2"/>
  <c r="AH3741" i="2"/>
  <c r="AI3741" i="2"/>
  <c r="AJ3741" i="2"/>
  <c r="AF3742" i="2"/>
  <c r="AK3742" i="2"/>
  <c r="AG3742" i="2"/>
  <c r="AH3742" i="2"/>
  <c r="AI3742" i="2"/>
  <c r="AJ3742" i="2"/>
  <c r="AF3743" i="2"/>
  <c r="AK3743" i="2"/>
  <c r="AG3743" i="2"/>
  <c r="AL3743" i="2" s="1"/>
  <c r="AH3743" i="2"/>
  <c r="AI3743" i="2"/>
  <c r="AJ3743" i="2"/>
  <c r="AF3744" i="2"/>
  <c r="AK3744" i="2" s="1"/>
  <c r="AG3744" i="2"/>
  <c r="AH3744" i="2"/>
  <c r="AI3744" i="2"/>
  <c r="AJ3744" i="2"/>
  <c r="AF3745" i="2"/>
  <c r="AK3745" i="2"/>
  <c r="AG3745" i="2"/>
  <c r="AH3745" i="2"/>
  <c r="AI3745" i="2"/>
  <c r="AJ3745" i="2"/>
  <c r="AF3746" i="2"/>
  <c r="AK3746" i="2" s="1"/>
  <c r="AG3746" i="2"/>
  <c r="AH3746" i="2"/>
  <c r="AI3746" i="2"/>
  <c r="AJ3746" i="2"/>
  <c r="AF3747" i="2"/>
  <c r="AK3747" i="2"/>
  <c r="AG3747" i="2"/>
  <c r="AH3747" i="2"/>
  <c r="AI3747" i="2"/>
  <c r="AJ3747" i="2"/>
  <c r="AF3748" i="2"/>
  <c r="AK3748" i="2" s="1"/>
  <c r="AG3748" i="2"/>
  <c r="AH3748" i="2"/>
  <c r="AI3748" i="2"/>
  <c r="AJ3748" i="2"/>
  <c r="AF3749" i="2"/>
  <c r="AK3749" i="2"/>
  <c r="AG3749" i="2"/>
  <c r="AH3749" i="2"/>
  <c r="AI3749" i="2"/>
  <c r="AJ3749" i="2"/>
  <c r="AF3750" i="2"/>
  <c r="AK3750" i="2" s="1"/>
  <c r="AG3750" i="2"/>
  <c r="AH3750" i="2"/>
  <c r="AI3750" i="2"/>
  <c r="AJ3750" i="2"/>
  <c r="AF3751" i="2"/>
  <c r="AK3751" i="2"/>
  <c r="AG3751" i="2"/>
  <c r="AL3751" i="2" s="1"/>
  <c r="AH3751" i="2"/>
  <c r="AI3751" i="2"/>
  <c r="AJ3751" i="2"/>
  <c r="AF3752" i="2"/>
  <c r="AK3752" i="2"/>
  <c r="AG3752" i="2"/>
  <c r="AH3752" i="2"/>
  <c r="AI3752" i="2"/>
  <c r="AJ3752" i="2"/>
  <c r="AF3753" i="2"/>
  <c r="AK3753" i="2"/>
  <c r="AG3753" i="2"/>
  <c r="AH3753" i="2"/>
  <c r="AI3753" i="2"/>
  <c r="AJ3753" i="2"/>
  <c r="AF3754" i="2"/>
  <c r="AK3754" i="2"/>
  <c r="AG3754" i="2"/>
  <c r="AH3754" i="2"/>
  <c r="AI3754" i="2"/>
  <c r="AJ3754" i="2"/>
  <c r="AF3755" i="2"/>
  <c r="AK3755" i="2"/>
  <c r="AG3755" i="2"/>
  <c r="AH3755" i="2"/>
  <c r="AL3755" i="2" s="1"/>
  <c r="AI3755" i="2"/>
  <c r="AJ3755" i="2"/>
  <c r="AF3756" i="2"/>
  <c r="AK3756" i="2"/>
  <c r="AG3756" i="2"/>
  <c r="AH3756" i="2"/>
  <c r="AI3756" i="2"/>
  <c r="AJ3756" i="2"/>
  <c r="AF3757" i="2"/>
  <c r="AK3757" i="2" s="1"/>
  <c r="AG3757" i="2"/>
  <c r="AH3757" i="2"/>
  <c r="AI3757" i="2"/>
  <c r="AJ3757" i="2"/>
  <c r="AF3758" i="2"/>
  <c r="AK3758" i="2"/>
  <c r="AG3758" i="2"/>
  <c r="AH3758" i="2"/>
  <c r="AI3758" i="2"/>
  <c r="AL3758" i="2"/>
  <c r="AJ3758" i="2"/>
  <c r="AF3759" i="2"/>
  <c r="AK3759" i="2"/>
  <c r="AG3759" i="2"/>
  <c r="AH3759" i="2"/>
  <c r="AI3759" i="2"/>
  <c r="AJ3759" i="2"/>
  <c r="AF3760" i="2"/>
  <c r="AK3760" i="2" s="1"/>
  <c r="AG3760" i="2"/>
  <c r="AH3760" i="2"/>
  <c r="AI3760" i="2"/>
  <c r="AJ3760" i="2"/>
  <c r="AF3761" i="2"/>
  <c r="AK3761" i="2"/>
  <c r="AG3761" i="2"/>
  <c r="AL3761" i="2" s="1"/>
  <c r="AH3761" i="2"/>
  <c r="AI3761" i="2"/>
  <c r="AJ3761" i="2"/>
  <c r="AF3762" i="2"/>
  <c r="AK3762" i="2"/>
  <c r="AG3762" i="2"/>
  <c r="AH3762" i="2"/>
  <c r="AI3762" i="2"/>
  <c r="AJ3762" i="2"/>
  <c r="AF3763" i="2"/>
  <c r="AK3763" i="2" s="1"/>
  <c r="AG3763" i="2"/>
  <c r="AH3763" i="2"/>
  <c r="AI3763" i="2"/>
  <c r="AJ3763" i="2"/>
  <c r="AF3764" i="2"/>
  <c r="AK3764" i="2"/>
  <c r="AG3764" i="2"/>
  <c r="AL3764" i="2" s="1"/>
  <c r="AH3764" i="2"/>
  <c r="AI3764" i="2"/>
  <c r="AJ3764" i="2"/>
  <c r="AF3765" i="2"/>
  <c r="AK3765" i="2"/>
  <c r="AG3765" i="2"/>
  <c r="AH3765" i="2"/>
  <c r="AI3765" i="2"/>
  <c r="AJ3765" i="2"/>
  <c r="AF3766" i="2"/>
  <c r="AK3766" i="2"/>
  <c r="AG3766" i="2"/>
  <c r="AH3766" i="2"/>
  <c r="AI3766" i="2"/>
  <c r="AJ3766" i="2"/>
  <c r="AF3767" i="2"/>
  <c r="AK3767" i="2"/>
  <c r="AG3767" i="2"/>
  <c r="AH3767" i="2"/>
  <c r="AI3767" i="2"/>
  <c r="AJ3767" i="2"/>
  <c r="AF3768" i="2"/>
  <c r="AK3768" i="2"/>
  <c r="AG3768" i="2"/>
  <c r="AH3768" i="2"/>
  <c r="AI3768" i="2"/>
  <c r="AJ3768" i="2"/>
  <c r="AF3769" i="2"/>
  <c r="AK3769" i="2"/>
  <c r="AG3769" i="2"/>
  <c r="AH3769" i="2"/>
  <c r="AI3769" i="2"/>
  <c r="AJ3769" i="2"/>
  <c r="AF3770" i="2"/>
  <c r="AK3770" i="2"/>
  <c r="AG3770" i="2"/>
  <c r="AH3770" i="2"/>
  <c r="AI3770" i="2"/>
  <c r="AJ3770" i="2"/>
  <c r="AF3771" i="2"/>
  <c r="AK3771" i="2"/>
  <c r="AG3771" i="2"/>
  <c r="AL3771" i="2" s="1"/>
  <c r="AH3771" i="2"/>
  <c r="AI3771" i="2"/>
  <c r="AJ3771" i="2"/>
  <c r="AF3772" i="2"/>
  <c r="AK3772" i="2" s="1"/>
  <c r="AG3772" i="2"/>
  <c r="AH3772" i="2"/>
  <c r="AI3772" i="2"/>
  <c r="AJ3772" i="2"/>
  <c r="AF3773" i="2"/>
  <c r="AK3773" i="2"/>
  <c r="AG3773" i="2"/>
  <c r="AH3773" i="2"/>
  <c r="AI3773" i="2"/>
  <c r="AJ3773" i="2"/>
  <c r="AF3774" i="2"/>
  <c r="AK3774" i="2" s="1"/>
  <c r="AG3774" i="2"/>
  <c r="AH3774" i="2"/>
  <c r="AL3774" i="2" s="1"/>
  <c r="AI3774" i="2"/>
  <c r="AJ3774" i="2"/>
  <c r="AF3775" i="2"/>
  <c r="AK3775" i="2"/>
  <c r="AG3775" i="2"/>
  <c r="AL3775" i="2" s="1"/>
  <c r="AH3775" i="2"/>
  <c r="AI3775" i="2"/>
  <c r="AJ3775" i="2"/>
  <c r="AF3776" i="2"/>
  <c r="AK3776" i="2"/>
  <c r="AG3776" i="2"/>
  <c r="AH3776" i="2"/>
  <c r="AI3776" i="2"/>
  <c r="AJ3776" i="2"/>
  <c r="AF3777" i="2"/>
  <c r="AK3777" i="2" s="1"/>
  <c r="AG3777" i="2"/>
  <c r="AH3777" i="2"/>
  <c r="AI3777" i="2"/>
  <c r="AJ3777" i="2"/>
  <c r="AF3778" i="2"/>
  <c r="AK3778" i="2"/>
  <c r="AG3778" i="2"/>
  <c r="AH3778" i="2"/>
  <c r="AI3778" i="2"/>
  <c r="AJ3778" i="2"/>
  <c r="AF3779" i="2"/>
  <c r="AK3779" i="2" s="1"/>
  <c r="AG3779" i="2"/>
  <c r="AH3779" i="2"/>
  <c r="AI3779" i="2"/>
  <c r="AJ3779" i="2"/>
  <c r="AF3780" i="2"/>
  <c r="AK3780" i="2"/>
  <c r="AG3780" i="2"/>
  <c r="AH3780" i="2"/>
  <c r="AI3780" i="2"/>
  <c r="AJ3780" i="2"/>
  <c r="AF3781" i="2"/>
  <c r="AK3781" i="2" s="1"/>
  <c r="AG3781" i="2"/>
  <c r="AH3781" i="2"/>
  <c r="AI3781" i="2"/>
  <c r="AJ3781" i="2"/>
  <c r="AF3782" i="2"/>
  <c r="AK3782" i="2"/>
  <c r="AG3782" i="2"/>
  <c r="AH3782" i="2"/>
  <c r="AI3782" i="2"/>
  <c r="AJ3782" i="2"/>
  <c r="AF3783" i="2"/>
  <c r="AK3783" i="2" s="1"/>
  <c r="AG3783" i="2"/>
  <c r="AH3783" i="2"/>
  <c r="AI3783" i="2"/>
  <c r="AJ3783" i="2"/>
  <c r="AF3784" i="2"/>
  <c r="AK3784" i="2"/>
  <c r="AG3784" i="2"/>
  <c r="AH3784" i="2"/>
  <c r="AI3784" i="2"/>
  <c r="AJ3784" i="2"/>
  <c r="AF3785" i="2"/>
  <c r="AK3785" i="2" s="1"/>
  <c r="AG3785" i="2"/>
  <c r="AH3785" i="2"/>
  <c r="AI3785" i="2"/>
  <c r="AJ3785" i="2"/>
  <c r="AF3786" i="2"/>
  <c r="AK3786" i="2"/>
  <c r="AG3786" i="2"/>
  <c r="AH3786" i="2"/>
  <c r="AI3786" i="2"/>
  <c r="AJ3786" i="2"/>
  <c r="AF3787" i="2"/>
  <c r="AK3787" i="2" s="1"/>
  <c r="AG3787" i="2"/>
  <c r="AH3787" i="2"/>
  <c r="AI3787" i="2"/>
  <c r="AJ3787" i="2"/>
  <c r="AF3788" i="2"/>
  <c r="AK3788" i="2"/>
  <c r="AG3788" i="2"/>
  <c r="AH3788" i="2"/>
  <c r="AI3788" i="2"/>
  <c r="AJ3788" i="2"/>
  <c r="AF3789" i="2"/>
  <c r="AK3789" i="2" s="1"/>
  <c r="AG3789" i="2"/>
  <c r="AH3789" i="2"/>
  <c r="AI3789" i="2"/>
  <c r="AJ3789" i="2"/>
  <c r="AF3790" i="2"/>
  <c r="AK3790" i="2"/>
  <c r="AG3790" i="2"/>
  <c r="AL3790" i="2" s="1"/>
  <c r="AH3790" i="2"/>
  <c r="AI3790" i="2"/>
  <c r="AJ3790" i="2"/>
  <c r="AF3791" i="2"/>
  <c r="AK3791" i="2"/>
  <c r="AG3791" i="2"/>
  <c r="AH3791" i="2"/>
  <c r="AI3791" i="2"/>
  <c r="AJ3791" i="2"/>
  <c r="AF3792" i="2"/>
  <c r="AK3792" i="2"/>
  <c r="AG3792" i="2"/>
  <c r="AH3792" i="2"/>
  <c r="AI3792" i="2"/>
  <c r="AJ3792" i="2"/>
  <c r="AF3793" i="2"/>
  <c r="AK3793" i="2"/>
  <c r="AG3793" i="2"/>
  <c r="AH3793" i="2"/>
  <c r="AI3793" i="2"/>
  <c r="AJ3793" i="2"/>
  <c r="AF3794" i="2"/>
  <c r="AK3794" i="2"/>
  <c r="AG3794" i="2"/>
  <c r="AH3794" i="2"/>
  <c r="AI3794" i="2"/>
  <c r="AJ3794" i="2"/>
  <c r="AF3795" i="2"/>
  <c r="AK3795" i="2"/>
  <c r="AG3795" i="2"/>
  <c r="AH3795" i="2"/>
  <c r="AI3795" i="2"/>
  <c r="AJ3795" i="2"/>
  <c r="AF3796" i="2"/>
  <c r="AK3796" i="2"/>
  <c r="AG3796" i="2"/>
  <c r="AH3796" i="2"/>
  <c r="AI3796" i="2"/>
  <c r="AJ3796" i="2"/>
  <c r="AF3797" i="2"/>
  <c r="AK3797" i="2"/>
  <c r="AG3797" i="2"/>
  <c r="AH3797" i="2"/>
  <c r="AI3797" i="2"/>
  <c r="AJ3797" i="2"/>
  <c r="AF3798" i="2"/>
  <c r="AK3798" i="2"/>
  <c r="AG3798" i="2"/>
  <c r="AH3798" i="2"/>
  <c r="AI3798" i="2"/>
  <c r="AJ3798" i="2"/>
  <c r="AF3799" i="2"/>
  <c r="AK3799" i="2"/>
  <c r="AG3799" i="2"/>
  <c r="AH3799" i="2"/>
  <c r="AI3799" i="2"/>
  <c r="AJ3799" i="2"/>
  <c r="AF3800" i="2"/>
  <c r="AK3800" i="2"/>
  <c r="AG3800" i="2"/>
  <c r="AH3800" i="2"/>
  <c r="AI3800" i="2"/>
  <c r="AJ3800" i="2"/>
  <c r="AF3801" i="2"/>
  <c r="AK3801" i="2"/>
  <c r="AG3801" i="2"/>
  <c r="AH3801" i="2"/>
  <c r="AI3801" i="2"/>
  <c r="AJ3801" i="2"/>
  <c r="AF3802" i="2"/>
  <c r="AK3802" i="2"/>
  <c r="AG3802" i="2"/>
  <c r="AH3802" i="2"/>
  <c r="AI3802" i="2"/>
  <c r="AJ3802" i="2"/>
  <c r="AF3803" i="2"/>
  <c r="AK3803" i="2"/>
  <c r="AG3803" i="2"/>
  <c r="AH3803" i="2"/>
  <c r="AI3803" i="2"/>
  <c r="AJ3803" i="2"/>
  <c r="AF3804" i="2"/>
  <c r="AK3804" i="2"/>
  <c r="AG3804" i="2"/>
  <c r="AH3804" i="2"/>
  <c r="AL3804" i="2" s="1"/>
  <c r="AI3804" i="2"/>
  <c r="AJ3804" i="2"/>
  <c r="AF3805" i="2"/>
  <c r="AK3805" i="2"/>
  <c r="AG3805" i="2"/>
  <c r="AH3805" i="2"/>
  <c r="AI3805" i="2"/>
  <c r="AJ3805" i="2"/>
  <c r="AF3806" i="2"/>
  <c r="AK3806" i="2" s="1"/>
  <c r="AG3806" i="2"/>
  <c r="AH3806" i="2"/>
  <c r="AI3806" i="2"/>
  <c r="AJ3806" i="2"/>
  <c r="AF3807" i="2"/>
  <c r="AK3807" i="2"/>
  <c r="AG3807" i="2"/>
  <c r="AH3807" i="2"/>
  <c r="AI3807" i="2"/>
  <c r="AJ3807" i="2"/>
  <c r="AF3808" i="2"/>
  <c r="AK3808" i="2" s="1"/>
  <c r="AG3808" i="2"/>
  <c r="AH3808" i="2"/>
  <c r="AI3808" i="2"/>
  <c r="AJ3808" i="2"/>
  <c r="AF3809" i="2"/>
  <c r="AK3809" i="2"/>
  <c r="AG3809" i="2"/>
  <c r="AH3809" i="2"/>
  <c r="AI3809" i="2"/>
  <c r="AJ3809" i="2"/>
  <c r="AF3810" i="2"/>
  <c r="AK3810" i="2" s="1"/>
  <c r="AG3810" i="2"/>
  <c r="AH3810" i="2"/>
  <c r="AI3810" i="2"/>
  <c r="AJ3810" i="2"/>
  <c r="AF3811" i="2"/>
  <c r="AK3811" i="2"/>
  <c r="AG3811" i="2"/>
  <c r="AH3811" i="2"/>
  <c r="AI3811" i="2"/>
  <c r="AJ3811" i="2"/>
  <c r="AF3812" i="2"/>
  <c r="AK3812" i="2"/>
  <c r="AG3812" i="2"/>
  <c r="AH3812" i="2"/>
  <c r="AI3812" i="2"/>
  <c r="AJ3812" i="2"/>
  <c r="AF3813" i="2"/>
  <c r="AK3813" i="2"/>
  <c r="AG3813" i="2"/>
  <c r="AH3813" i="2"/>
  <c r="AI3813" i="2"/>
  <c r="AJ3813" i="2"/>
  <c r="AF3814" i="2"/>
  <c r="AK3814" i="2"/>
  <c r="AG3814" i="2"/>
  <c r="AH3814" i="2"/>
  <c r="AI3814" i="2"/>
  <c r="AJ3814" i="2"/>
  <c r="AF3815" i="2"/>
  <c r="AK3815" i="2"/>
  <c r="AG3815" i="2"/>
  <c r="AH3815" i="2"/>
  <c r="AI3815" i="2"/>
  <c r="AJ3815" i="2"/>
  <c r="AF3816" i="2"/>
  <c r="AK3816" i="2"/>
  <c r="AG3816" i="2"/>
  <c r="AH3816" i="2"/>
  <c r="AI3816" i="2"/>
  <c r="AJ3816" i="2"/>
  <c r="AF3817" i="2"/>
  <c r="AK3817" i="2"/>
  <c r="AG3817" i="2"/>
  <c r="AH3817" i="2"/>
  <c r="AI3817" i="2"/>
  <c r="AJ3817" i="2"/>
  <c r="AF3818" i="2"/>
  <c r="AK3818" i="2"/>
  <c r="AG3818" i="2"/>
  <c r="AH3818" i="2"/>
  <c r="AI3818" i="2"/>
  <c r="AJ3818" i="2"/>
  <c r="AF3819" i="2"/>
  <c r="AK3819" i="2"/>
  <c r="AG3819" i="2"/>
  <c r="AH3819" i="2"/>
  <c r="AI3819" i="2"/>
  <c r="AJ3819" i="2"/>
  <c r="AF3820" i="2"/>
  <c r="AK3820" i="2"/>
  <c r="AG3820" i="2"/>
  <c r="AH3820" i="2"/>
  <c r="AI3820" i="2"/>
  <c r="AJ3820" i="2"/>
  <c r="AF3821" i="2"/>
  <c r="AK3821" i="2"/>
  <c r="AG3821" i="2"/>
  <c r="AH3821" i="2"/>
  <c r="AI3821" i="2"/>
  <c r="AJ3821" i="2"/>
  <c r="AF3822" i="2"/>
  <c r="AK3822" i="2"/>
  <c r="AG3822" i="2"/>
  <c r="AH3822" i="2"/>
  <c r="AI3822" i="2"/>
  <c r="AJ3822" i="2"/>
  <c r="AF3823" i="2"/>
  <c r="AK3823" i="2"/>
  <c r="AG3823" i="2"/>
  <c r="AH3823" i="2"/>
  <c r="AI3823" i="2"/>
  <c r="AJ3823" i="2"/>
  <c r="AF3824" i="2"/>
  <c r="AK3824" i="2"/>
  <c r="AG3824" i="2"/>
  <c r="AH3824" i="2"/>
  <c r="AI3824" i="2"/>
  <c r="AJ3824" i="2"/>
  <c r="AF3825" i="2"/>
  <c r="AK3825" i="2"/>
  <c r="AG3825" i="2"/>
  <c r="AH3825" i="2"/>
  <c r="AL3825" i="2" s="1"/>
  <c r="AI3825" i="2"/>
  <c r="AJ3825" i="2"/>
  <c r="AF3826" i="2"/>
  <c r="AK3826" i="2"/>
  <c r="AG3826" i="2"/>
  <c r="AH3826" i="2"/>
  <c r="AI3826" i="2"/>
  <c r="AJ3826" i="2"/>
  <c r="AF3827" i="2"/>
  <c r="AK3827" i="2" s="1"/>
  <c r="AG3827" i="2"/>
  <c r="AH3827" i="2"/>
  <c r="AI3827" i="2"/>
  <c r="AJ3827" i="2"/>
  <c r="AF3828" i="2"/>
  <c r="AK3828" i="2"/>
  <c r="AG3828" i="2"/>
  <c r="AH3828" i="2"/>
  <c r="AI3828" i="2"/>
  <c r="AJ3828" i="2"/>
  <c r="AF3829" i="2"/>
  <c r="AK3829" i="2"/>
  <c r="AG3829" i="2"/>
  <c r="AH3829" i="2"/>
  <c r="AI3829" i="2"/>
  <c r="AJ3829" i="2"/>
  <c r="AF3830" i="2"/>
  <c r="AG3830" i="2"/>
  <c r="AH3830" i="2"/>
  <c r="AI3830" i="2"/>
  <c r="AJ3830" i="2"/>
  <c r="AK3830" i="2"/>
  <c r="AF3831" i="2"/>
  <c r="AK3831" i="2"/>
  <c r="AG3831" i="2"/>
  <c r="AH3831" i="2"/>
  <c r="AI3831" i="2"/>
  <c r="AJ3831" i="2"/>
  <c r="AF3832" i="2"/>
  <c r="AK3832" i="2"/>
  <c r="AG3832" i="2"/>
  <c r="AH3832" i="2"/>
  <c r="AL3832" i="2" s="1"/>
  <c r="AI3832" i="2"/>
  <c r="AJ3832" i="2"/>
  <c r="AF3833" i="2"/>
  <c r="AK3833" i="2"/>
  <c r="AG3833" i="2"/>
  <c r="AH3833" i="2"/>
  <c r="AI3833" i="2"/>
  <c r="AJ3833" i="2"/>
  <c r="AF3834" i="2"/>
  <c r="AK3834" i="2" s="1"/>
  <c r="AG3834" i="2"/>
  <c r="AH3834" i="2"/>
  <c r="AI3834" i="2"/>
  <c r="AJ3834" i="2"/>
  <c r="AF3835" i="2"/>
  <c r="AK3835" i="2"/>
  <c r="AG3835" i="2"/>
  <c r="AH3835" i="2"/>
  <c r="AI3835" i="2"/>
  <c r="AJ3835" i="2"/>
  <c r="AL3835" i="2"/>
  <c r="AF3836" i="2"/>
  <c r="AK3836" i="2"/>
  <c r="AG3836" i="2"/>
  <c r="AH3836" i="2"/>
  <c r="AI3836" i="2"/>
  <c r="AJ3836" i="2"/>
  <c r="AF3837" i="2"/>
  <c r="AK3837" i="2"/>
  <c r="AG3837" i="2"/>
  <c r="AH3837" i="2"/>
  <c r="AI3837" i="2"/>
  <c r="AJ3837" i="2"/>
  <c r="AF3838" i="2"/>
  <c r="AK3838" i="2"/>
  <c r="AG3838" i="2"/>
  <c r="AH3838" i="2"/>
  <c r="AI3838" i="2"/>
  <c r="AJ3838" i="2"/>
  <c r="AF3839" i="2"/>
  <c r="AK3839" i="2"/>
  <c r="AG3839" i="2"/>
  <c r="AH3839" i="2"/>
  <c r="AI3839" i="2"/>
  <c r="AJ3839" i="2"/>
  <c r="AF3840" i="2"/>
  <c r="AK3840" i="2"/>
  <c r="AG3840" i="2"/>
  <c r="AH3840" i="2"/>
  <c r="AI3840" i="2"/>
  <c r="AJ3840" i="2"/>
  <c r="AF3841" i="2"/>
  <c r="AK3841" i="2"/>
  <c r="AG3841" i="2"/>
  <c r="AH3841" i="2"/>
  <c r="AI3841" i="2"/>
  <c r="AJ3841" i="2"/>
  <c r="AF3842" i="2"/>
  <c r="AK3842" i="2"/>
  <c r="AG3842" i="2"/>
  <c r="AH3842" i="2"/>
  <c r="AI3842" i="2"/>
  <c r="AJ3842" i="2"/>
  <c r="AF3843" i="2"/>
  <c r="AK3843" i="2"/>
  <c r="AG3843" i="2"/>
  <c r="AH3843" i="2"/>
  <c r="AI3843" i="2"/>
  <c r="AJ3843" i="2"/>
  <c r="AF3844" i="2"/>
  <c r="AK3844" i="2"/>
  <c r="AG3844" i="2"/>
  <c r="AH3844" i="2"/>
  <c r="AI3844" i="2"/>
  <c r="AJ3844" i="2"/>
  <c r="AF3845" i="2"/>
  <c r="AK3845" i="2"/>
  <c r="AG3845" i="2"/>
  <c r="AH3845" i="2"/>
  <c r="AI3845" i="2"/>
  <c r="AJ3845" i="2"/>
  <c r="AF3846" i="2"/>
  <c r="AK3846" i="2"/>
  <c r="AG3846" i="2"/>
  <c r="AH3846" i="2"/>
  <c r="AI3846" i="2"/>
  <c r="AJ3846" i="2"/>
  <c r="AF3847" i="2"/>
  <c r="AK3847" i="2"/>
  <c r="AG3847" i="2"/>
  <c r="AH3847" i="2"/>
  <c r="AI3847" i="2"/>
  <c r="AJ3847" i="2"/>
  <c r="AF3848" i="2"/>
  <c r="AK3848" i="2"/>
  <c r="AG3848" i="2"/>
  <c r="AH3848" i="2"/>
  <c r="AI3848" i="2"/>
  <c r="AJ3848" i="2"/>
  <c r="AF3849" i="2"/>
  <c r="AK3849" i="2"/>
  <c r="AG3849" i="2"/>
  <c r="AH3849" i="2"/>
  <c r="AI3849" i="2"/>
  <c r="AJ3849" i="2"/>
  <c r="AF3850" i="2"/>
  <c r="AK3850" i="2"/>
  <c r="AG3850" i="2"/>
  <c r="AH3850" i="2"/>
  <c r="AI3850" i="2"/>
  <c r="AJ3850" i="2"/>
  <c r="AF3851" i="2"/>
  <c r="AK3851" i="2"/>
  <c r="AG3851" i="2"/>
  <c r="AH3851" i="2"/>
  <c r="AI3851" i="2"/>
  <c r="AJ3851" i="2"/>
  <c r="AF3852" i="2"/>
  <c r="AK3852" i="2"/>
  <c r="AG3852" i="2"/>
  <c r="AH3852" i="2"/>
  <c r="AI3852" i="2"/>
  <c r="AJ3852" i="2"/>
  <c r="AF3853" i="2"/>
  <c r="AK3853" i="2"/>
  <c r="AG3853" i="2"/>
  <c r="AH3853" i="2"/>
  <c r="AI3853" i="2"/>
  <c r="AJ3853" i="2"/>
  <c r="AF3854" i="2"/>
  <c r="AK3854" i="2"/>
  <c r="AG3854" i="2"/>
  <c r="AH3854" i="2"/>
  <c r="AI3854" i="2"/>
  <c r="AJ3854" i="2"/>
  <c r="AF3855" i="2"/>
  <c r="AK3855" i="2"/>
  <c r="AG3855" i="2"/>
  <c r="AH3855" i="2"/>
  <c r="AI3855" i="2"/>
  <c r="AJ3855" i="2"/>
  <c r="AF3856" i="2"/>
  <c r="AK3856" i="2"/>
  <c r="AG3856" i="2"/>
  <c r="AL3856" i="2" s="1"/>
  <c r="AH3856" i="2"/>
  <c r="AI3856" i="2"/>
  <c r="AJ3856" i="2"/>
  <c r="AF3857" i="2"/>
  <c r="AK3857" i="2" s="1"/>
  <c r="AG3857" i="2"/>
  <c r="AH3857" i="2"/>
  <c r="AI3857" i="2"/>
  <c r="AJ3857" i="2"/>
  <c r="AF3858" i="2"/>
  <c r="AK3858" i="2"/>
  <c r="AG3858" i="2"/>
  <c r="AH3858" i="2"/>
  <c r="AI3858" i="2"/>
  <c r="AJ3858" i="2"/>
  <c r="AF3859" i="2"/>
  <c r="AK3859" i="2" s="1"/>
  <c r="AG3859" i="2"/>
  <c r="AH3859" i="2"/>
  <c r="AI3859" i="2"/>
  <c r="AJ3859" i="2"/>
  <c r="AF3860" i="2"/>
  <c r="AK3860" i="2"/>
  <c r="AG3860" i="2"/>
  <c r="AH3860" i="2"/>
  <c r="AI3860" i="2"/>
  <c r="AJ3860" i="2"/>
  <c r="AF3861" i="2"/>
  <c r="AK3861" i="2" s="1"/>
  <c r="AG3861" i="2"/>
  <c r="AH3861" i="2"/>
  <c r="AI3861" i="2"/>
  <c r="AJ3861" i="2"/>
  <c r="AF3862" i="2"/>
  <c r="AK3862" i="2"/>
  <c r="AG3862" i="2"/>
  <c r="AH3862" i="2"/>
  <c r="AI3862" i="2"/>
  <c r="AJ3862" i="2"/>
  <c r="AF3863" i="2"/>
  <c r="AK3863" i="2" s="1"/>
  <c r="AG3863" i="2"/>
  <c r="AH3863" i="2"/>
  <c r="AI3863" i="2"/>
  <c r="AJ3863" i="2"/>
  <c r="AF3864" i="2"/>
  <c r="AK3864" i="2"/>
  <c r="AG3864" i="2"/>
  <c r="AH3864" i="2"/>
  <c r="AI3864" i="2"/>
  <c r="AJ3864" i="2"/>
  <c r="AF3865" i="2"/>
  <c r="AK3865" i="2" s="1"/>
  <c r="AG3865" i="2"/>
  <c r="AH3865" i="2"/>
  <c r="AI3865" i="2"/>
  <c r="AJ3865" i="2"/>
  <c r="AF3866" i="2"/>
  <c r="AK3866" i="2"/>
  <c r="AG3866" i="2"/>
  <c r="AH3866" i="2"/>
  <c r="AI3866" i="2"/>
  <c r="AJ3866" i="2"/>
  <c r="AF3867" i="2"/>
  <c r="AK3867" i="2" s="1"/>
  <c r="AG3867" i="2"/>
  <c r="AH3867" i="2"/>
  <c r="AI3867" i="2"/>
  <c r="AJ3867" i="2"/>
  <c r="AF3868" i="2"/>
  <c r="AK3868" i="2"/>
  <c r="AG3868" i="2"/>
  <c r="AH3868" i="2"/>
  <c r="AI3868" i="2"/>
  <c r="AJ3868" i="2"/>
  <c r="AF3869" i="2"/>
  <c r="AK3869" i="2" s="1"/>
  <c r="AG3869" i="2"/>
  <c r="AH3869" i="2"/>
  <c r="AI3869" i="2"/>
  <c r="AJ3869" i="2"/>
  <c r="AF3870" i="2"/>
  <c r="AK3870" i="2"/>
  <c r="AG3870" i="2"/>
  <c r="AH3870" i="2"/>
  <c r="AI3870" i="2"/>
  <c r="AJ3870" i="2"/>
  <c r="AF3871" i="2"/>
  <c r="AK3871" i="2" s="1"/>
  <c r="AG3871" i="2"/>
  <c r="AH3871" i="2"/>
  <c r="AI3871" i="2"/>
  <c r="AJ3871" i="2"/>
  <c r="AF3872" i="2"/>
  <c r="AK3872" i="2"/>
  <c r="AG3872" i="2"/>
  <c r="AL3872" i="2" s="1"/>
  <c r="AH3872" i="2"/>
  <c r="AI3872" i="2"/>
  <c r="AJ3872" i="2"/>
  <c r="AF3873" i="2"/>
  <c r="AK3873" i="2"/>
  <c r="AG3873" i="2"/>
  <c r="AH3873" i="2"/>
  <c r="AI3873" i="2"/>
  <c r="AJ3873" i="2"/>
  <c r="AF3874" i="2"/>
  <c r="AK3874" i="2"/>
  <c r="AG3874" i="2"/>
  <c r="AH3874" i="2"/>
  <c r="AI3874" i="2"/>
  <c r="AJ3874" i="2"/>
  <c r="AF3875" i="2"/>
  <c r="AK3875" i="2"/>
  <c r="AG3875" i="2"/>
  <c r="AH3875" i="2"/>
  <c r="AI3875" i="2"/>
  <c r="AJ3875" i="2"/>
  <c r="AF3876" i="2"/>
  <c r="AK3876" i="2"/>
  <c r="AG3876" i="2"/>
  <c r="AH3876" i="2"/>
  <c r="AI3876" i="2"/>
  <c r="AJ3876" i="2"/>
  <c r="AF3877" i="2"/>
  <c r="AK3877" i="2"/>
  <c r="AG3877" i="2"/>
  <c r="AH3877" i="2"/>
  <c r="AI3877" i="2"/>
  <c r="AJ3877" i="2"/>
  <c r="AF3878" i="2"/>
  <c r="AK3878" i="2"/>
  <c r="AG3878" i="2"/>
  <c r="AH3878" i="2"/>
  <c r="AI3878" i="2"/>
  <c r="AJ3878" i="2"/>
  <c r="AF3879" i="2"/>
  <c r="AK3879" i="2"/>
  <c r="AG3879" i="2"/>
  <c r="AH3879" i="2"/>
  <c r="AI3879" i="2"/>
  <c r="AJ3879" i="2"/>
  <c r="AF3880" i="2"/>
  <c r="AK3880" i="2"/>
  <c r="AG3880" i="2"/>
  <c r="AH3880" i="2"/>
  <c r="AI3880" i="2"/>
  <c r="AJ3880" i="2"/>
  <c r="AF3881" i="2"/>
  <c r="AK3881" i="2"/>
  <c r="AG3881" i="2"/>
  <c r="AH3881" i="2"/>
  <c r="AI3881" i="2"/>
  <c r="AJ3881" i="2"/>
  <c r="AF3882" i="2"/>
  <c r="AK3882" i="2"/>
  <c r="AG3882" i="2"/>
  <c r="AH3882" i="2"/>
  <c r="AI3882" i="2"/>
  <c r="AJ3882" i="2"/>
  <c r="AF3883" i="2"/>
  <c r="AK3883" i="2"/>
  <c r="AG3883" i="2"/>
  <c r="AL3883" i="2" s="1"/>
  <c r="AH3883" i="2"/>
  <c r="AI3883" i="2"/>
  <c r="AJ3883" i="2"/>
  <c r="AF3884" i="2"/>
  <c r="AK3884" i="2" s="1"/>
  <c r="AG3884" i="2"/>
  <c r="AH3884" i="2"/>
  <c r="AL3884" i="2" s="1"/>
  <c r="AI3884" i="2"/>
  <c r="AJ3884" i="2"/>
  <c r="AF3885" i="2"/>
  <c r="AK3885" i="2"/>
  <c r="AG3885" i="2"/>
  <c r="AH3885" i="2"/>
  <c r="AI3885" i="2"/>
  <c r="AJ3885" i="2"/>
  <c r="AF3886" i="2"/>
  <c r="AK3886" i="2"/>
  <c r="AG3886" i="2"/>
  <c r="AH3886" i="2"/>
  <c r="AI3886" i="2"/>
  <c r="AJ3886" i="2"/>
  <c r="AF3887" i="2"/>
  <c r="AK3887" i="2" s="1"/>
  <c r="AG3887" i="2"/>
  <c r="AH3887" i="2"/>
  <c r="AI3887" i="2"/>
  <c r="AJ3887" i="2"/>
  <c r="AF3888" i="2"/>
  <c r="AK3888" i="2"/>
  <c r="AG3888" i="2"/>
  <c r="AH3888" i="2"/>
  <c r="AI3888" i="2"/>
  <c r="AJ3888" i="2"/>
  <c r="AF3889" i="2"/>
  <c r="AK3889" i="2" s="1"/>
  <c r="AG3889" i="2"/>
  <c r="AH3889" i="2"/>
  <c r="AI3889" i="2"/>
  <c r="AJ3889" i="2"/>
  <c r="AF3890" i="2"/>
  <c r="AK3890" i="2"/>
  <c r="AG3890" i="2"/>
  <c r="AH3890" i="2"/>
  <c r="AI3890" i="2"/>
  <c r="AJ3890" i="2"/>
  <c r="AF3891" i="2"/>
  <c r="AK3891" i="2" s="1"/>
  <c r="AG3891" i="2"/>
  <c r="AH3891" i="2"/>
  <c r="AI3891" i="2"/>
  <c r="AJ3891" i="2"/>
  <c r="AF3892" i="2"/>
  <c r="AK3892" i="2"/>
  <c r="AG3892" i="2"/>
  <c r="AH3892" i="2"/>
  <c r="AI3892" i="2"/>
  <c r="AJ3892" i="2"/>
  <c r="AL3892" i="2" s="1"/>
  <c r="AF3893" i="2"/>
  <c r="AK3893" i="2"/>
  <c r="AG3893" i="2"/>
  <c r="AH3893" i="2"/>
  <c r="AI3893" i="2"/>
  <c r="AJ3893" i="2"/>
  <c r="AF3894" i="2"/>
  <c r="AK3894" i="2"/>
  <c r="AG3894" i="2"/>
  <c r="AH3894" i="2"/>
  <c r="AI3894" i="2"/>
  <c r="AJ3894" i="2"/>
  <c r="AF3895" i="2"/>
  <c r="AK3895" i="2"/>
  <c r="AG3895" i="2"/>
  <c r="AH3895" i="2"/>
  <c r="AI3895" i="2"/>
  <c r="AJ3895" i="2"/>
  <c r="AF3896" i="2"/>
  <c r="AK3896" i="2"/>
  <c r="AG3896" i="2"/>
  <c r="AH3896" i="2"/>
  <c r="AI3896" i="2"/>
  <c r="AJ3896" i="2"/>
  <c r="AF3897" i="2"/>
  <c r="AK3897" i="2"/>
  <c r="AG3897" i="2"/>
  <c r="AH3897" i="2"/>
  <c r="AI3897" i="2"/>
  <c r="AJ3897" i="2"/>
  <c r="AF3898" i="2"/>
  <c r="AK3898" i="2"/>
  <c r="AG3898" i="2"/>
  <c r="AH3898" i="2"/>
  <c r="AI3898" i="2"/>
  <c r="AJ3898" i="2"/>
  <c r="AF3899" i="2"/>
  <c r="AK3899" i="2"/>
  <c r="AG3899" i="2"/>
  <c r="AH3899" i="2"/>
  <c r="AL3899" i="2" s="1"/>
  <c r="AI3899" i="2"/>
  <c r="AJ3899" i="2"/>
  <c r="AF3900" i="2"/>
  <c r="AK3900" i="2" s="1"/>
  <c r="AG3900" i="2"/>
  <c r="AH3900" i="2"/>
  <c r="AL3900" i="2" s="1"/>
  <c r="AI3900" i="2"/>
  <c r="AJ3900" i="2"/>
  <c r="AF3901" i="2"/>
  <c r="AK3901" i="2"/>
  <c r="AG3901" i="2"/>
  <c r="AH3901" i="2"/>
  <c r="AI3901" i="2"/>
  <c r="AJ3901" i="2"/>
  <c r="AF3902" i="2"/>
  <c r="AK3902" i="2"/>
  <c r="AG3902" i="2"/>
  <c r="AH3902" i="2"/>
  <c r="AI3902" i="2"/>
  <c r="AJ3902" i="2"/>
  <c r="AF3903" i="2"/>
  <c r="AK3903" i="2"/>
  <c r="AG3903" i="2"/>
  <c r="AH3903" i="2"/>
  <c r="AI3903" i="2"/>
  <c r="AJ3903" i="2"/>
  <c r="AF3904" i="2"/>
  <c r="AK3904" i="2"/>
  <c r="AG3904" i="2"/>
  <c r="AH3904" i="2"/>
  <c r="AI3904" i="2"/>
  <c r="AJ3904" i="2"/>
  <c r="AF3905" i="2"/>
  <c r="AK3905" i="2"/>
  <c r="AG3905" i="2"/>
  <c r="AH3905" i="2"/>
  <c r="AI3905" i="2"/>
  <c r="AJ3905" i="2"/>
  <c r="AF3906" i="2"/>
  <c r="AK3906" i="2"/>
  <c r="AG3906" i="2"/>
  <c r="AH3906" i="2"/>
  <c r="AI3906" i="2"/>
  <c r="AJ3906" i="2"/>
  <c r="AF3907" i="2"/>
  <c r="AK3907" i="2"/>
  <c r="AG3907" i="2"/>
  <c r="AH3907" i="2"/>
  <c r="AI3907" i="2"/>
  <c r="AJ3907" i="2"/>
  <c r="AF3908" i="2"/>
  <c r="AK3908" i="2"/>
  <c r="AG3908" i="2"/>
  <c r="AH3908" i="2"/>
  <c r="AI3908" i="2"/>
  <c r="AJ3908" i="2"/>
  <c r="AF3909" i="2"/>
  <c r="AK3909" i="2"/>
  <c r="AG3909" i="2"/>
  <c r="AH3909" i="2"/>
  <c r="AI3909" i="2"/>
  <c r="AJ3909" i="2"/>
  <c r="AF3910" i="2"/>
  <c r="AK3910" i="2"/>
  <c r="AG3910" i="2"/>
  <c r="AH3910" i="2"/>
  <c r="AI3910" i="2"/>
  <c r="AJ3910" i="2"/>
  <c r="AF3911" i="2"/>
  <c r="AK3911" i="2"/>
  <c r="AG3911" i="2"/>
  <c r="AH3911" i="2"/>
  <c r="AI3911" i="2"/>
  <c r="AJ3911" i="2"/>
  <c r="AF3912" i="2"/>
  <c r="AK3912" i="2"/>
  <c r="AG3912" i="2"/>
  <c r="AH3912" i="2"/>
  <c r="AI3912" i="2"/>
  <c r="AJ3912" i="2"/>
  <c r="AF3913" i="2"/>
  <c r="AK3913" i="2"/>
  <c r="AG3913" i="2"/>
  <c r="AH3913" i="2"/>
  <c r="AI3913" i="2"/>
  <c r="AJ3913" i="2"/>
  <c r="AF3914" i="2"/>
  <c r="AK3914" i="2"/>
  <c r="AG3914" i="2"/>
  <c r="AH3914" i="2"/>
  <c r="AI3914" i="2"/>
  <c r="AJ3914" i="2"/>
  <c r="AF3915" i="2"/>
  <c r="AK3915" i="2"/>
  <c r="AG3915" i="2"/>
  <c r="AH3915" i="2"/>
  <c r="AI3915" i="2"/>
  <c r="AJ3915" i="2"/>
  <c r="AF3916" i="2"/>
  <c r="AK3916" i="2"/>
  <c r="AG3916" i="2"/>
  <c r="AH3916" i="2"/>
  <c r="AI3916" i="2"/>
  <c r="AJ3916" i="2"/>
  <c r="AF3917" i="2"/>
  <c r="AK3917" i="2" s="1"/>
  <c r="AG3917" i="2"/>
  <c r="AH3917" i="2"/>
  <c r="AI3917" i="2"/>
  <c r="AJ3917" i="2"/>
  <c r="AF3918" i="2"/>
  <c r="AK3918" i="2"/>
  <c r="AG3918" i="2"/>
  <c r="AH3918" i="2"/>
  <c r="AI3918" i="2"/>
  <c r="AJ3918" i="2"/>
  <c r="AF3919" i="2"/>
  <c r="AK3919" i="2" s="1"/>
  <c r="AG3919" i="2"/>
  <c r="AH3919" i="2"/>
  <c r="AI3919" i="2"/>
  <c r="AJ3919" i="2"/>
  <c r="AF3920" i="2"/>
  <c r="AK3920" i="2"/>
  <c r="AG3920" i="2"/>
  <c r="AH3920" i="2"/>
  <c r="AI3920" i="2"/>
  <c r="AJ3920" i="2"/>
  <c r="AF3921" i="2"/>
  <c r="AK3921" i="2" s="1"/>
  <c r="AG3921" i="2"/>
  <c r="AH3921" i="2"/>
  <c r="AI3921" i="2"/>
  <c r="AJ3921" i="2"/>
  <c r="AF3922" i="2"/>
  <c r="AK3922" i="2"/>
  <c r="AG3922" i="2"/>
  <c r="AH3922" i="2"/>
  <c r="AI3922" i="2"/>
  <c r="AJ3922" i="2"/>
  <c r="AF3923" i="2"/>
  <c r="AK3923" i="2" s="1"/>
  <c r="AG3923" i="2"/>
  <c r="AH3923" i="2"/>
  <c r="AI3923" i="2"/>
  <c r="AJ3923" i="2"/>
  <c r="AF3924" i="2"/>
  <c r="AK3924" i="2"/>
  <c r="AG3924" i="2"/>
  <c r="AH3924" i="2"/>
  <c r="AI3924" i="2"/>
  <c r="AJ3924" i="2"/>
  <c r="AF3925" i="2"/>
  <c r="AK3925" i="2" s="1"/>
  <c r="AG3925" i="2"/>
  <c r="AH3925" i="2"/>
  <c r="AI3925" i="2"/>
  <c r="AJ3925" i="2"/>
  <c r="AF3926" i="2"/>
  <c r="AK3926" i="2"/>
  <c r="AG3926" i="2"/>
  <c r="AH3926" i="2"/>
  <c r="AI3926" i="2"/>
  <c r="AJ3926" i="2"/>
  <c r="AF3927" i="2"/>
  <c r="AK3927" i="2"/>
  <c r="AG3927" i="2"/>
  <c r="AL3927" i="2"/>
  <c r="AH3927" i="2"/>
  <c r="AI3927" i="2"/>
  <c r="AJ3927" i="2"/>
  <c r="AF3928" i="2"/>
  <c r="AK3928" i="2" s="1"/>
  <c r="AG3928" i="2"/>
  <c r="AH3928" i="2"/>
  <c r="AL3928" i="2"/>
  <c r="AI3928" i="2"/>
  <c r="AJ3928" i="2"/>
  <c r="AF3929" i="2"/>
  <c r="AK3929" i="2"/>
  <c r="AG3929" i="2"/>
  <c r="AH3929" i="2"/>
  <c r="AI3929" i="2"/>
  <c r="AJ3929" i="2"/>
  <c r="AF3930" i="2"/>
  <c r="AK3930" i="2"/>
  <c r="AG3930" i="2"/>
  <c r="AH3930" i="2"/>
  <c r="AI3930" i="2"/>
  <c r="AJ3930" i="2"/>
  <c r="AF3931" i="2"/>
  <c r="AK3931" i="2"/>
  <c r="AG3931" i="2"/>
  <c r="AH3931" i="2"/>
  <c r="AI3931" i="2"/>
  <c r="AJ3931" i="2"/>
  <c r="AF3932" i="2"/>
  <c r="AK3932" i="2"/>
  <c r="AG3932" i="2"/>
  <c r="AH3932" i="2"/>
  <c r="AI3932" i="2"/>
  <c r="AJ3932" i="2"/>
  <c r="AF3933" i="2"/>
  <c r="AK3933" i="2"/>
  <c r="AG3933" i="2"/>
  <c r="AH3933" i="2"/>
  <c r="AI3933" i="2"/>
  <c r="AJ3933" i="2"/>
  <c r="AF3934" i="2"/>
  <c r="AG3934" i="2"/>
  <c r="AH3934" i="2"/>
  <c r="AI3934" i="2"/>
  <c r="AJ3934" i="2"/>
  <c r="AK3934" i="2"/>
  <c r="AF3935" i="2"/>
  <c r="AK3935" i="2"/>
  <c r="AG3935" i="2"/>
  <c r="AH3935" i="2"/>
  <c r="AI3935" i="2"/>
  <c r="AJ3935" i="2"/>
  <c r="AF3936" i="2"/>
  <c r="AK3936" i="2"/>
  <c r="AG3936" i="2"/>
  <c r="AH3936" i="2"/>
  <c r="AL3936" i="2" s="1"/>
  <c r="AI3936" i="2"/>
  <c r="AJ3936" i="2"/>
  <c r="AF3937" i="2"/>
  <c r="AK3937" i="2" s="1"/>
  <c r="AG3937" i="2"/>
  <c r="AH3937" i="2"/>
  <c r="AI3937" i="2"/>
  <c r="AJ3937" i="2"/>
  <c r="AF3938" i="2"/>
  <c r="AK3938" i="2"/>
  <c r="AG3938" i="2"/>
  <c r="AH3938" i="2"/>
  <c r="AI3938" i="2"/>
  <c r="AJ3938" i="2"/>
  <c r="AF3939" i="2"/>
  <c r="AK3939" i="2" s="1"/>
  <c r="AG3939" i="2"/>
  <c r="AH3939" i="2"/>
  <c r="AI3939" i="2"/>
  <c r="AJ3939" i="2"/>
  <c r="AF3940" i="2"/>
  <c r="AK3940" i="2"/>
  <c r="AG3940" i="2"/>
  <c r="AH3940" i="2"/>
  <c r="AI3940" i="2"/>
  <c r="AJ3940" i="2"/>
  <c r="AF3941" i="2"/>
  <c r="AK3941" i="2" s="1"/>
  <c r="AG3941" i="2"/>
  <c r="AH3941" i="2"/>
  <c r="AI3941" i="2"/>
  <c r="AJ3941" i="2"/>
  <c r="AF3942" i="2"/>
  <c r="AK3942" i="2"/>
  <c r="AG3942" i="2"/>
  <c r="AH3942" i="2"/>
  <c r="AI3942" i="2"/>
  <c r="AJ3942" i="2"/>
  <c r="AF3943" i="2"/>
  <c r="AK3943" i="2" s="1"/>
  <c r="AG3943" i="2"/>
  <c r="AH3943" i="2"/>
  <c r="AI3943" i="2"/>
  <c r="AJ3943" i="2"/>
  <c r="AF3944" i="2"/>
  <c r="AK3944" i="2"/>
  <c r="AG3944" i="2"/>
  <c r="AH3944" i="2"/>
  <c r="AI3944" i="2"/>
  <c r="AJ3944" i="2"/>
  <c r="AF3945" i="2"/>
  <c r="AK3945" i="2" s="1"/>
  <c r="AG3945" i="2"/>
  <c r="AH3945" i="2"/>
  <c r="AI3945" i="2"/>
  <c r="AJ3945" i="2"/>
  <c r="AF3946" i="2"/>
  <c r="AK3946" i="2"/>
  <c r="AG3946" i="2"/>
  <c r="AH3946" i="2"/>
  <c r="AI3946" i="2"/>
  <c r="AJ3946" i="2"/>
  <c r="AF3947" i="2"/>
  <c r="AK3947" i="2" s="1"/>
  <c r="AG3947" i="2"/>
  <c r="AH3947" i="2"/>
  <c r="AL3947" i="2" s="1"/>
  <c r="AI3947" i="2"/>
  <c r="AJ3947" i="2"/>
  <c r="AF3948" i="2"/>
  <c r="AK3948" i="2"/>
  <c r="AG3948" i="2"/>
  <c r="AH3948" i="2"/>
  <c r="AI3948" i="2"/>
  <c r="AJ3948" i="2"/>
  <c r="AF3949" i="2"/>
  <c r="AK3949" i="2"/>
  <c r="AG3949" i="2"/>
  <c r="AH3949" i="2"/>
  <c r="AI3949" i="2"/>
  <c r="AJ3949" i="2"/>
  <c r="AF3950" i="2"/>
  <c r="AK3950" i="2" s="1"/>
  <c r="AG3950" i="2"/>
  <c r="AH3950" i="2"/>
  <c r="AI3950" i="2"/>
  <c r="AJ3950" i="2"/>
  <c r="AF3951" i="2"/>
  <c r="AK3951" i="2"/>
  <c r="AG3951" i="2"/>
  <c r="AH3951" i="2"/>
  <c r="AI3951" i="2"/>
  <c r="AJ3951" i="2"/>
  <c r="AF3952" i="2"/>
  <c r="AK3952" i="2"/>
  <c r="AG3952" i="2"/>
  <c r="AH3952" i="2"/>
  <c r="AI3952" i="2"/>
  <c r="AJ3952" i="2"/>
  <c r="AF3953" i="2"/>
  <c r="AK3953" i="2"/>
  <c r="AG3953" i="2"/>
  <c r="AH3953" i="2"/>
  <c r="AI3953" i="2"/>
  <c r="AJ3953" i="2"/>
  <c r="AF3954" i="2"/>
  <c r="AK3954" i="2"/>
  <c r="AG3954" i="2"/>
  <c r="AH3954" i="2"/>
  <c r="AI3954" i="2"/>
  <c r="AJ3954" i="2"/>
  <c r="AF3955" i="2"/>
  <c r="AK3955" i="2" s="1"/>
  <c r="AG3955" i="2"/>
  <c r="AH3955" i="2"/>
  <c r="AI3955" i="2"/>
  <c r="AJ3955" i="2"/>
  <c r="AF3956" i="2"/>
  <c r="AK3956" i="2"/>
  <c r="AG3956" i="2"/>
  <c r="AH3956" i="2"/>
  <c r="AI3956" i="2"/>
  <c r="AL3956" i="2"/>
  <c r="AJ3956" i="2"/>
  <c r="AF3957" i="2"/>
  <c r="AK3957" i="2"/>
  <c r="AG3957" i="2"/>
  <c r="AH3957" i="2"/>
  <c r="AI3957" i="2"/>
  <c r="AJ3957" i="2"/>
  <c r="AF3958" i="2"/>
  <c r="AK3958" i="2" s="1"/>
  <c r="AG3958" i="2"/>
  <c r="AH3958" i="2"/>
  <c r="AI3958" i="2"/>
  <c r="AJ3958" i="2"/>
  <c r="AF3959" i="2"/>
  <c r="AK3959" i="2"/>
  <c r="AG3959" i="2"/>
  <c r="AH3959" i="2"/>
  <c r="AI3959" i="2"/>
  <c r="AJ3959" i="2"/>
  <c r="AF3960" i="2"/>
  <c r="AK3960" i="2" s="1"/>
  <c r="AG3960" i="2"/>
  <c r="AH3960" i="2"/>
  <c r="AI3960" i="2"/>
  <c r="AJ3960" i="2"/>
  <c r="AF3961" i="2"/>
  <c r="AK3961" i="2"/>
  <c r="AG3961" i="2"/>
  <c r="AH3961" i="2"/>
  <c r="AI3961" i="2"/>
  <c r="AJ3961" i="2"/>
  <c r="AF3962" i="2"/>
  <c r="AK3962" i="2" s="1"/>
  <c r="AG3962" i="2"/>
  <c r="AH3962" i="2"/>
  <c r="AI3962" i="2"/>
  <c r="AJ3962" i="2"/>
  <c r="AF3963" i="2"/>
  <c r="AK3963" i="2"/>
  <c r="AG3963" i="2"/>
  <c r="AH3963" i="2"/>
  <c r="AI3963" i="2"/>
  <c r="AJ3963" i="2"/>
  <c r="AF3964" i="2"/>
  <c r="AK3964" i="2" s="1"/>
  <c r="AG3964" i="2"/>
  <c r="AH3964" i="2"/>
  <c r="AI3964" i="2"/>
  <c r="AJ3964" i="2"/>
  <c r="AF3965" i="2"/>
  <c r="AK3965" i="2"/>
  <c r="AG3965" i="2"/>
  <c r="AH3965" i="2"/>
  <c r="AI3965" i="2"/>
  <c r="AJ3965" i="2"/>
  <c r="AF3966" i="2"/>
  <c r="AK3966" i="2" s="1"/>
  <c r="AG3966" i="2"/>
  <c r="AH3966" i="2"/>
  <c r="AI3966" i="2"/>
  <c r="AJ3966" i="2"/>
  <c r="AF3967" i="2"/>
  <c r="AK3967" i="2"/>
  <c r="AG3967" i="2"/>
  <c r="AH3967" i="2"/>
  <c r="AI3967" i="2"/>
  <c r="AJ3967" i="2"/>
  <c r="AF3968" i="2"/>
  <c r="AK3968" i="2" s="1"/>
  <c r="AG3968" i="2"/>
  <c r="AH3968" i="2"/>
  <c r="AI3968" i="2"/>
  <c r="AJ3968" i="2"/>
  <c r="AF3969" i="2"/>
  <c r="AK3969" i="2"/>
  <c r="AG3969" i="2"/>
  <c r="AH3969" i="2"/>
  <c r="AI3969" i="2"/>
  <c r="AJ3969" i="2"/>
  <c r="AF3970" i="2"/>
  <c r="AK3970" i="2" s="1"/>
  <c r="AG3970" i="2"/>
  <c r="AH3970" i="2"/>
  <c r="AI3970" i="2"/>
  <c r="AJ3970" i="2"/>
  <c r="AF3971" i="2"/>
  <c r="AK3971" i="2"/>
  <c r="AG3971" i="2"/>
  <c r="AH3971" i="2"/>
  <c r="AI3971" i="2"/>
  <c r="AJ3971" i="2"/>
  <c r="AF3972" i="2"/>
  <c r="AK3972" i="2" s="1"/>
  <c r="AG3972" i="2"/>
  <c r="AH3972" i="2"/>
  <c r="AI3972" i="2"/>
  <c r="AJ3972" i="2"/>
  <c r="AF3973" i="2"/>
  <c r="AK3973" i="2"/>
  <c r="AG3973" i="2"/>
  <c r="AH3973" i="2"/>
  <c r="AI3973" i="2"/>
  <c r="AJ3973" i="2"/>
  <c r="AF3974" i="2"/>
  <c r="AK3974" i="2" s="1"/>
  <c r="AG3974" i="2"/>
  <c r="AH3974" i="2"/>
  <c r="AI3974" i="2"/>
  <c r="AJ3974" i="2"/>
  <c r="AF3975" i="2"/>
  <c r="AK3975" i="2"/>
  <c r="AG3975" i="2"/>
  <c r="AH3975" i="2"/>
  <c r="AI3975" i="2"/>
  <c r="AJ3975" i="2"/>
  <c r="AF3976" i="2"/>
  <c r="AK3976" i="2" s="1"/>
  <c r="AG3976" i="2"/>
  <c r="AH3976" i="2"/>
  <c r="AL3976" i="2" s="1"/>
  <c r="AI3976" i="2"/>
  <c r="AJ3976" i="2"/>
  <c r="AF3977" i="2"/>
  <c r="AK3977" i="2"/>
  <c r="AG3977" i="2"/>
  <c r="AH3977" i="2"/>
  <c r="AI3977" i="2"/>
  <c r="AJ3977" i="2"/>
  <c r="AF3978" i="2"/>
  <c r="AK3978" i="2"/>
  <c r="AG3978" i="2"/>
  <c r="AH3978" i="2"/>
  <c r="AI3978" i="2"/>
  <c r="AJ3978" i="2"/>
  <c r="AF3979" i="2"/>
  <c r="AK3979" i="2"/>
  <c r="AG3979" i="2"/>
  <c r="AH3979" i="2"/>
  <c r="AI3979" i="2"/>
  <c r="AJ3979" i="2"/>
  <c r="AF3980" i="2"/>
  <c r="AK3980" i="2"/>
  <c r="AG3980" i="2"/>
  <c r="AH3980" i="2"/>
  <c r="AI3980" i="2"/>
  <c r="AJ3980" i="2"/>
  <c r="AF3981" i="2"/>
  <c r="AK3981" i="2"/>
  <c r="AG3981" i="2"/>
  <c r="AH3981" i="2"/>
  <c r="AI3981" i="2"/>
  <c r="AJ3981" i="2"/>
  <c r="AF3982" i="2"/>
  <c r="AK3982" i="2"/>
  <c r="AG3982" i="2"/>
  <c r="AH3982" i="2"/>
  <c r="AI3982" i="2"/>
  <c r="AJ3982" i="2"/>
  <c r="AF3983" i="2"/>
  <c r="AK3983" i="2"/>
  <c r="AG3983" i="2"/>
  <c r="AH3983" i="2"/>
  <c r="AI3983" i="2"/>
  <c r="AJ3983" i="2"/>
  <c r="AF3984" i="2"/>
  <c r="AK3984" i="2"/>
  <c r="AG3984" i="2"/>
  <c r="AH3984" i="2"/>
  <c r="AI3984" i="2"/>
  <c r="AJ3984" i="2"/>
  <c r="AF3985" i="2"/>
  <c r="AK3985" i="2"/>
  <c r="AG3985" i="2"/>
  <c r="AH3985" i="2"/>
  <c r="AI3985" i="2"/>
  <c r="AJ3985" i="2"/>
  <c r="AF3986" i="2"/>
  <c r="AK3986" i="2"/>
  <c r="AG3986" i="2"/>
  <c r="AH3986" i="2"/>
  <c r="AI3986" i="2"/>
  <c r="AJ3986" i="2"/>
  <c r="AF3987" i="2"/>
  <c r="AK3987" i="2"/>
  <c r="AG3987" i="2"/>
  <c r="AH3987" i="2"/>
  <c r="AI3987" i="2"/>
  <c r="AJ3987" i="2"/>
  <c r="AF3988" i="2"/>
  <c r="AK3988" i="2"/>
  <c r="AG3988" i="2"/>
  <c r="AH3988" i="2"/>
  <c r="AI3988" i="2"/>
  <c r="AJ3988" i="2"/>
  <c r="AF3989" i="2"/>
  <c r="AK3989" i="2"/>
  <c r="AG3989" i="2"/>
  <c r="AH3989" i="2"/>
  <c r="AI3989" i="2"/>
  <c r="AJ3989" i="2"/>
  <c r="AF3990" i="2"/>
  <c r="AK3990" i="2"/>
  <c r="AG3990" i="2"/>
  <c r="AH3990" i="2"/>
  <c r="AI3990" i="2"/>
  <c r="AJ3990" i="2"/>
  <c r="AF3991" i="2"/>
  <c r="AK3991" i="2" s="1"/>
  <c r="AG3991" i="2"/>
  <c r="AH3991" i="2"/>
  <c r="AI3991" i="2"/>
  <c r="AJ3991" i="2"/>
  <c r="AF3992" i="2"/>
  <c r="AK3992" i="2"/>
  <c r="AG3992" i="2"/>
  <c r="AH3992" i="2"/>
  <c r="AI3992" i="2"/>
  <c r="AJ3992" i="2"/>
  <c r="AF3993" i="2"/>
  <c r="AK3993" i="2" s="1"/>
  <c r="AG3993" i="2"/>
  <c r="AH3993" i="2"/>
  <c r="AL3993" i="2" s="1"/>
  <c r="AI3993" i="2"/>
  <c r="AJ3993" i="2"/>
  <c r="AF3994" i="2"/>
  <c r="AK3994" i="2"/>
  <c r="AG3994" i="2"/>
  <c r="AH3994" i="2"/>
  <c r="AI3994" i="2"/>
  <c r="AJ3994" i="2"/>
  <c r="AF3995" i="2"/>
  <c r="AK3995" i="2"/>
  <c r="AG3995" i="2"/>
  <c r="AH3995" i="2"/>
  <c r="AI3995" i="2"/>
  <c r="AJ3995" i="2"/>
  <c r="AF3996" i="2"/>
  <c r="AK3996" i="2"/>
  <c r="AG3996" i="2"/>
  <c r="AH3996" i="2"/>
  <c r="AI3996" i="2"/>
  <c r="AJ3996" i="2"/>
  <c r="AF3997" i="2"/>
  <c r="AK3997" i="2"/>
  <c r="AG3997" i="2"/>
  <c r="AH3997" i="2"/>
  <c r="AI3997" i="2"/>
  <c r="AJ3997" i="2"/>
  <c r="AF3998" i="2"/>
  <c r="AK3998" i="2"/>
  <c r="AG3998" i="2"/>
  <c r="AH3998" i="2"/>
  <c r="AI3998" i="2"/>
  <c r="AJ3998" i="2"/>
  <c r="AF3999" i="2"/>
  <c r="AK3999" i="2"/>
  <c r="AG3999" i="2"/>
  <c r="AH3999" i="2"/>
  <c r="AI3999" i="2"/>
  <c r="AJ3999" i="2"/>
  <c r="AF4000" i="2"/>
  <c r="AK4000" i="2"/>
  <c r="AG4000" i="2"/>
  <c r="AH4000" i="2"/>
  <c r="AI4000" i="2"/>
  <c r="AJ4000" i="2"/>
  <c r="AF4001" i="2"/>
  <c r="AK4001" i="2"/>
  <c r="AG4001" i="2"/>
  <c r="AH4001" i="2"/>
  <c r="AI4001" i="2"/>
  <c r="AJ4001" i="2"/>
  <c r="AF4002" i="2"/>
  <c r="AK4002" i="2"/>
  <c r="AG4002" i="2"/>
  <c r="AH4002" i="2"/>
  <c r="AI4002" i="2"/>
  <c r="AJ4002" i="2"/>
  <c r="AF4003" i="2"/>
  <c r="AK4003" i="2"/>
  <c r="AG4003" i="2"/>
  <c r="AH4003" i="2"/>
  <c r="AI4003" i="2"/>
  <c r="AJ4003" i="2"/>
  <c r="AF4004" i="2"/>
  <c r="AK4004" i="2"/>
  <c r="AG4004" i="2"/>
  <c r="AH4004" i="2"/>
  <c r="AI4004" i="2"/>
  <c r="AJ4004" i="2"/>
  <c r="AF4005" i="2"/>
  <c r="AK4005" i="2"/>
  <c r="AG4005" i="2"/>
  <c r="AH4005" i="2"/>
  <c r="AI4005" i="2"/>
  <c r="AJ4005" i="2"/>
  <c r="AF4006" i="2"/>
  <c r="AK4006" i="2"/>
  <c r="AG4006" i="2"/>
  <c r="AH4006" i="2"/>
  <c r="AI4006" i="2"/>
  <c r="AJ4006" i="2"/>
  <c r="AF4007" i="2"/>
  <c r="AK4007" i="2"/>
  <c r="AG4007" i="2"/>
  <c r="AH4007" i="2"/>
  <c r="AI4007" i="2"/>
  <c r="AJ4007" i="2"/>
  <c r="AF4008" i="2"/>
  <c r="AK4008" i="2"/>
  <c r="AG4008" i="2"/>
  <c r="AH4008" i="2"/>
  <c r="AI4008" i="2"/>
  <c r="AJ4008" i="2"/>
  <c r="AF4009" i="2"/>
  <c r="AK4009" i="2"/>
  <c r="AG4009" i="2"/>
  <c r="AH4009" i="2"/>
  <c r="AI4009" i="2"/>
  <c r="AJ4009" i="2"/>
  <c r="AF4010" i="2"/>
  <c r="AK4010" i="2"/>
  <c r="AG4010" i="2"/>
  <c r="AH4010" i="2"/>
  <c r="AI4010" i="2"/>
  <c r="AJ4010" i="2"/>
  <c r="AF4011" i="2"/>
  <c r="AK4011" i="2"/>
  <c r="AG4011" i="2"/>
  <c r="AH4011" i="2"/>
  <c r="AI4011" i="2"/>
  <c r="AJ4011" i="2"/>
  <c r="AF4012" i="2"/>
  <c r="AK4012" i="2"/>
  <c r="AG4012" i="2"/>
  <c r="AH4012" i="2"/>
  <c r="AI4012" i="2"/>
  <c r="AJ4012" i="2"/>
  <c r="AF4013" i="2"/>
  <c r="AK4013" i="2"/>
  <c r="AG4013" i="2"/>
  <c r="AH4013" i="2"/>
  <c r="AI4013" i="2"/>
  <c r="AJ4013" i="2"/>
  <c r="AF4014" i="2"/>
  <c r="AK4014" i="2"/>
  <c r="AG4014" i="2"/>
  <c r="AH4014" i="2"/>
  <c r="AI4014" i="2"/>
  <c r="AJ4014" i="2"/>
  <c r="AF4015" i="2"/>
  <c r="AK4015" i="2"/>
  <c r="AG4015" i="2"/>
  <c r="AH4015" i="2"/>
  <c r="AI4015" i="2"/>
  <c r="AJ4015" i="2"/>
  <c r="AF4016" i="2"/>
  <c r="AK4016" i="2"/>
  <c r="AG4016" i="2"/>
  <c r="AH4016" i="2"/>
  <c r="AI4016" i="2"/>
  <c r="AJ4016" i="2"/>
  <c r="AF4017" i="2"/>
  <c r="AK4017" i="2"/>
  <c r="AG4017" i="2"/>
  <c r="AH4017" i="2"/>
  <c r="AI4017" i="2"/>
  <c r="AJ4017" i="2"/>
  <c r="AF4018" i="2"/>
  <c r="AK4018" i="2"/>
  <c r="AG4018" i="2"/>
  <c r="AH4018" i="2"/>
  <c r="AI4018" i="2"/>
  <c r="AJ4018" i="2"/>
  <c r="AF4019" i="2"/>
  <c r="AK4019" i="2"/>
  <c r="AG4019" i="2"/>
  <c r="AH4019" i="2"/>
  <c r="AI4019" i="2"/>
  <c r="AJ4019" i="2"/>
  <c r="AF4020" i="2"/>
  <c r="AK4020" i="2"/>
  <c r="AG4020" i="2"/>
  <c r="AH4020" i="2"/>
  <c r="AI4020" i="2"/>
  <c r="AJ4020" i="2"/>
  <c r="AF4021" i="2"/>
  <c r="AK4021" i="2"/>
  <c r="AG4021" i="2"/>
  <c r="AH4021" i="2"/>
  <c r="AI4021" i="2"/>
  <c r="AJ4021" i="2"/>
  <c r="AF4022" i="2"/>
  <c r="AK4022" i="2"/>
  <c r="AG4022" i="2"/>
  <c r="AH4022" i="2"/>
  <c r="AI4022" i="2"/>
  <c r="AJ4022" i="2"/>
  <c r="AF4023" i="2"/>
  <c r="AK4023" i="2"/>
  <c r="AG4023" i="2"/>
  <c r="AH4023" i="2"/>
  <c r="AI4023" i="2"/>
  <c r="AJ4023" i="2"/>
  <c r="AF4024" i="2"/>
  <c r="AK4024" i="2"/>
  <c r="AG4024" i="2"/>
  <c r="AH4024" i="2"/>
  <c r="AI4024" i="2"/>
  <c r="AJ4024" i="2"/>
  <c r="AF4025" i="2"/>
  <c r="AK4025" i="2"/>
  <c r="AG4025" i="2"/>
  <c r="AH4025" i="2"/>
  <c r="AI4025" i="2"/>
  <c r="AJ4025" i="2"/>
  <c r="AF4026" i="2"/>
  <c r="AK4026" i="2"/>
  <c r="AG4026" i="2"/>
  <c r="AH4026" i="2"/>
  <c r="AI4026" i="2"/>
  <c r="AJ4026" i="2"/>
  <c r="AF4027" i="2"/>
  <c r="AK4027" i="2"/>
  <c r="AG4027" i="2"/>
  <c r="AH4027" i="2"/>
  <c r="AI4027" i="2"/>
  <c r="AJ4027" i="2"/>
  <c r="AF4028" i="2"/>
  <c r="AK4028" i="2"/>
  <c r="AG4028" i="2"/>
  <c r="AH4028" i="2"/>
  <c r="AI4028" i="2"/>
  <c r="AJ4028" i="2"/>
  <c r="AF4029" i="2"/>
  <c r="AK4029" i="2"/>
  <c r="AG4029" i="2"/>
  <c r="AH4029" i="2"/>
  <c r="AI4029" i="2"/>
  <c r="AJ4029" i="2"/>
  <c r="AF4030" i="2"/>
  <c r="AK4030" i="2"/>
  <c r="AG4030" i="2"/>
  <c r="AH4030" i="2"/>
  <c r="AI4030" i="2"/>
  <c r="AJ4030" i="2"/>
  <c r="AF4031" i="2"/>
  <c r="AK4031" i="2"/>
  <c r="AG4031" i="2"/>
  <c r="AH4031" i="2"/>
  <c r="AI4031" i="2"/>
  <c r="AJ4031" i="2"/>
  <c r="AF4032" i="2"/>
  <c r="AK4032" i="2"/>
  <c r="AG4032" i="2"/>
  <c r="AH4032" i="2"/>
  <c r="AI4032" i="2"/>
  <c r="AJ4032" i="2"/>
  <c r="AF4033" i="2"/>
  <c r="AK4033" i="2"/>
  <c r="AG4033" i="2"/>
  <c r="AH4033" i="2"/>
  <c r="AI4033" i="2"/>
  <c r="AJ4033" i="2"/>
  <c r="AF4034" i="2"/>
  <c r="AK4034" i="2"/>
  <c r="AG4034" i="2"/>
  <c r="AH4034" i="2"/>
  <c r="AI4034" i="2"/>
  <c r="AJ4034" i="2"/>
  <c r="AF4035" i="2"/>
  <c r="AK4035" i="2"/>
  <c r="AG4035" i="2"/>
  <c r="AH4035" i="2"/>
  <c r="AI4035" i="2"/>
  <c r="AJ4035" i="2"/>
  <c r="AF4036" i="2"/>
  <c r="AK4036" i="2"/>
  <c r="AG4036" i="2"/>
  <c r="AH4036" i="2"/>
  <c r="AI4036" i="2"/>
  <c r="AJ4036" i="2"/>
  <c r="AF4037" i="2"/>
  <c r="AK4037" i="2"/>
  <c r="AG4037" i="2"/>
  <c r="AH4037" i="2"/>
  <c r="AI4037" i="2"/>
  <c r="AJ4037" i="2"/>
  <c r="AF4038" i="2"/>
  <c r="AK4038" i="2"/>
  <c r="AG4038" i="2"/>
  <c r="AH4038" i="2"/>
  <c r="AI4038" i="2"/>
  <c r="AJ4038" i="2"/>
  <c r="AF4039" i="2"/>
  <c r="AK4039" i="2"/>
  <c r="AG4039" i="2"/>
  <c r="AH4039" i="2"/>
  <c r="AI4039" i="2"/>
  <c r="AJ4039" i="2"/>
  <c r="AF4040" i="2"/>
  <c r="AK4040" i="2"/>
  <c r="AG4040" i="2"/>
  <c r="AH4040" i="2"/>
  <c r="AI4040" i="2"/>
  <c r="AJ4040" i="2"/>
  <c r="AF4041" i="2"/>
  <c r="AK4041" i="2"/>
  <c r="AG4041" i="2"/>
  <c r="AH4041" i="2"/>
  <c r="AI4041" i="2"/>
  <c r="AJ4041" i="2"/>
  <c r="AF4042" i="2"/>
  <c r="AK4042" i="2"/>
  <c r="AG4042" i="2"/>
  <c r="AH4042" i="2"/>
  <c r="AI4042" i="2"/>
  <c r="AJ4042" i="2"/>
  <c r="AF4043" i="2"/>
  <c r="AK4043" i="2"/>
  <c r="AG4043" i="2"/>
  <c r="AH4043" i="2"/>
  <c r="AI4043" i="2"/>
  <c r="AJ4043" i="2"/>
  <c r="AF4044" i="2"/>
  <c r="AK4044" i="2" s="1"/>
  <c r="AG4044" i="2"/>
  <c r="AH4044" i="2"/>
  <c r="AI4044" i="2"/>
  <c r="AJ4044" i="2"/>
  <c r="AF4045" i="2"/>
  <c r="AK4045" i="2"/>
  <c r="AG4045" i="2"/>
  <c r="AH4045" i="2"/>
  <c r="AI4045" i="2"/>
  <c r="AJ4045" i="2"/>
  <c r="AF4046" i="2"/>
  <c r="AK4046" i="2" s="1"/>
  <c r="AG4046" i="2"/>
  <c r="AH4046" i="2"/>
  <c r="AI4046" i="2"/>
  <c r="AJ4046" i="2"/>
  <c r="AF4047" i="2"/>
  <c r="AK4047" i="2"/>
  <c r="AG4047" i="2"/>
  <c r="AH4047" i="2"/>
  <c r="AI4047" i="2"/>
  <c r="AJ4047" i="2"/>
  <c r="AF4048" i="2"/>
  <c r="AK4048" i="2"/>
  <c r="AG4048" i="2"/>
  <c r="AH4048" i="2"/>
  <c r="AI4048" i="2"/>
  <c r="AJ4048" i="2"/>
  <c r="AF4049" i="2"/>
  <c r="AK4049" i="2"/>
  <c r="AG4049" i="2"/>
  <c r="AH4049" i="2"/>
  <c r="AI4049" i="2"/>
  <c r="AJ4049" i="2"/>
  <c r="AF4050" i="2"/>
  <c r="AK4050" i="2"/>
  <c r="AG4050" i="2"/>
  <c r="AH4050" i="2"/>
  <c r="AI4050" i="2"/>
  <c r="AJ4050" i="2"/>
  <c r="AF4051" i="2"/>
  <c r="AK4051" i="2"/>
  <c r="AG4051" i="2"/>
  <c r="AH4051" i="2"/>
  <c r="AI4051" i="2"/>
  <c r="AJ4051" i="2"/>
  <c r="AF4052" i="2"/>
  <c r="AK4052" i="2"/>
  <c r="AG4052" i="2"/>
  <c r="AH4052" i="2"/>
  <c r="AI4052" i="2"/>
  <c r="AJ4052" i="2"/>
  <c r="AF4053" i="2"/>
  <c r="AK4053" i="2" s="1"/>
  <c r="AG4053" i="2"/>
  <c r="AH4053" i="2"/>
  <c r="AI4053" i="2"/>
  <c r="AJ4053" i="2"/>
  <c r="AF4054" i="2"/>
  <c r="AK4054" i="2"/>
  <c r="AG4054" i="2"/>
  <c r="AH4054" i="2"/>
  <c r="AI4054" i="2"/>
  <c r="AJ4054" i="2"/>
  <c r="AF4055" i="2"/>
  <c r="AK4055" i="2" s="1"/>
  <c r="AG4055" i="2"/>
  <c r="AH4055" i="2"/>
  <c r="AI4055" i="2"/>
  <c r="AJ4055" i="2"/>
  <c r="AF4056" i="2"/>
  <c r="AK4056" i="2"/>
  <c r="AG4056" i="2"/>
  <c r="AH4056" i="2"/>
  <c r="AI4056" i="2"/>
  <c r="AJ4056" i="2"/>
  <c r="AF4057" i="2"/>
  <c r="AK4057" i="2" s="1"/>
  <c r="AG4057" i="2"/>
  <c r="AH4057" i="2"/>
  <c r="AI4057" i="2"/>
  <c r="AJ4057" i="2"/>
  <c r="AF4058" i="2"/>
  <c r="AK4058" i="2"/>
  <c r="AG4058" i="2"/>
  <c r="AH4058" i="2"/>
  <c r="AI4058" i="2"/>
  <c r="AJ4058" i="2"/>
  <c r="AF4059" i="2"/>
  <c r="AK4059" i="2" s="1"/>
  <c r="AG4059" i="2"/>
  <c r="AH4059" i="2"/>
  <c r="AI4059" i="2"/>
  <c r="AJ4059" i="2"/>
  <c r="AF4060" i="2"/>
  <c r="AK4060" i="2"/>
  <c r="AG4060" i="2"/>
  <c r="AH4060" i="2"/>
  <c r="AI4060" i="2"/>
  <c r="AJ4060" i="2"/>
  <c r="AF4061" i="2"/>
  <c r="AK4061" i="2" s="1"/>
  <c r="AG4061" i="2"/>
  <c r="AH4061" i="2"/>
  <c r="AI4061" i="2"/>
  <c r="AJ4061" i="2"/>
  <c r="AF4062" i="2"/>
  <c r="AK4062" i="2"/>
  <c r="AG4062" i="2"/>
  <c r="AH4062" i="2"/>
  <c r="AI4062" i="2"/>
  <c r="AJ4062" i="2"/>
  <c r="AF4063" i="2"/>
  <c r="AK4063" i="2" s="1"/>
  <c r="AG4063" i="2"/>
  <c r="AH4063" i="2"/>
  <c r="AI4063" i="2"/>
  <c r="AJ4063" i="2"/>
  <c r="AF4064" i="2"/>
  <c r="AK4064" i="2"/>
  <c r="AG4064" i="2"/>
  <c r="AH4064" i="2"/>
  <c r="AI4064" i="2"/>
  <c r="AJ4064" i="2"/>
  <c r="AF4065" i="2"/>
  <c r="AK4065" i="2" s="1"/>
  <c r="AG4065" i="2"/>
  <c r="AH4065" i="2"/>
  <c r="AI4065" i="2"/>
  <c r="AJ4065" i="2"/>
  <c r="AF4066" i="2"/>
  <c r="AK4066" i="2"/>
  <c r="AG4066" i="2"/>
  <c r="AH4066" i="2"/>
  <c r="AI4066" i="2"/>
  <c r="AJ4066" i="2"/>
  <c r="AF4067" i="2"/>
  <c r="AK4067" i="2" s="1"/>
  <c r="AG4067" i="2"/>
  <c r="AH4067" i="2"/>
  <c r="AI4067" i="2"/>
  <c r="AJ4067" i="2"/>
  <c r="AF4068" i="2"/>
  <c r="AK4068" i="2"/>
  <c r="AG4068" i="2"/>
  <c r="AH4068" i="2"/>
  <c r="AI4068" i="2"/>
  <c r="AJ4068" i="2"/>
  <c r="AF4069" i="2"/>
  <c r="AK4069" i="2" s="1"/>
  <c r="AG4069" i="2"/>
  <c r="AH4069" i="2"/>
  <c r="AI4069" i="2"/>
  <c r="AJ4069" i="2"/>
  <c r="AF4070" i="2"/>
  <c r="AK4070" i="2"/>
  <c r="AG4070" i="2"/>
  <c r="AH4070" i="2"/>
  <c r="AI4070" i="2"/>
  <c r="AJ4070" i="2"/>
  <c r="AF4071" i="2"/>
  <c r="AK4071" i="2" s="1"/>
  <c r="AG4071" i="2"/>
  <c r="AH4071" i="2"/>
  <c r="AI4071" i="2"/>
  <c r="AJ4071" i="2"/>
  <c r="AF4072" i="2"/>
  <c r="AK4072" i="2"/>
  <c r="AG4072" i="2"/>
  <c r="AH4072" i="2"/>
  <c r="AI4072" i="2"/>
  <c r="AJ4072" i="2"/>
  <c r="AF4073" i="2"/>
  <c r="AK4073" i="2"/>
  <c r="AG4073" i="2"/>
  <c r="AH4073" i="2"/>
  <c r="AI4073" i="2"/>
  <c r="AJ4073" i="2"/>
  <c r="AF4074" i="2"/>
  <c r="AK4074" i="2"/>
  <c r="AG4074" i="2"/>
  <c r="AH4074" i="2"/>
  <c r="AI4074" i="2"/>
  <c r="AJ4074" i="2"/>
  <c r="AF4075" i="2"/>
  <c r="AK4075" i="2"/>
  <c r="AG4075" i="2"/>
  <c r="AH4075" i="2"/>
  <c r="AI4075" i="2"/>
  <c r="AJ4075" i="2"/>
  <c r="AF4076" i="2"/>
  <c r="AK4076" i="2" s="1"/>
  <c r="AG4076" i="2"/>
  <c r="AH4076" i="2"/>
  <c r="AI4076" i="2"/>
  <c r="AJ4076" i="2"/>
  <c r="AF4077" i="2"/>
  <c r="AK4077" i="2"/>
  <c r="AG4077" i="2"/>
  <c r="AH4077" i="2"/>
  <c r="AI4077" i="2"/>
  <c r="AJ4077" i="2"/>
  <c r="AF4078" i="2"/>
  <c r="AK4078" i="2" s="1"/>
  <c r="AG4078" i="2"/>
  <c r="AH4078" i="2"/>
  <c r="AI4078" i="2"/>
  <c r="AJ4078" i="2"/>
  <c r="AF4079" i="2"/>
  <c r="AK4079" i="2"/>
  <c r="AG4079" i="2"/>
  <c r="AH4079" i="2"/>
  <c r="AI4079" i="2"/>
  <c r="AJ4079" i="2"/>
  <c r="AF4080" i="2"/>
  <c r="AK4080" i="2" s="1"/>
  <c r="AG4080" i="2"/>
  <c r="AH4080" i="2"/>
  <c r="AI4080" i="2"/>
  <c r="AJ4080" i="2"/>
  <c r="AF4081" i="2"/>
  <c r="AK4081" i="2"/>
  <c r="AG4081" i="2"/>
  <c r="AL4081" i="2" s="1"/>
  <c r="AH4081" i="2"/>
  <c r="AI4081" i="2"/>
  <c r="AJ4081" i="2"/>
  <c r="AF4082" i="2"/>
  <c r="AK4082" i="2"/>
  <c r="AG4082" i="2"/>
  <c r="AH4082" i="2"/>
  <c r="AI4082" i="2"/>
  <c r="AJ4082" i="2"/>
  <c r="AF4083" i="2"/>
  <c r="AK4083" i="2"/>
  <c r="AG4083" i="2"/>
  <c r="AH4083" i="2"/>
  <c r="AI4083" i="2"/>
  <c r="AJ4083" i="2"/>
  <c r="AF4084" i="2"/>
  <c r="AK4084" i="2"/>
  <c r="AG4084" i="2"/>
  <c r="AH4084" i="2"/>
  <c r="AI4084" i="2"/>
  <c r="AJ4084" i="2"/>
  <c r="AF4085" i="2"/>
  <c r="AK4085" i="2" s="1"/>
  <c r="AG4085" i="2"/>
  <c r="AH4085" i="2"/>
  <c r="AI4085" i="2"/>
  <c r="AJ4085" i="2"/>
  <c r="AF4086" i="2"/>
  <c r="AK4086" i="2"/>
  <c r="AG4086" i="2"/>
  <c r="AH4086" i="2"/>
  <c r="AI4086" i="2"/>
  <c r="AJ4086" i="2"/>
  <c r="AF4087" i="2"/>
  <c r="AK4087" i="2" s="1"/>
  <c r="AG4087" i="2"/>
  <c r="AH4087" i="2"/>
  <c r="AI4087" i="2"/>
  <c r="AJ4087" i="2"/>
  <c r="AF4088" i="2"/>
  <c r="AK4088" i="2"/>
  <c r="AG4088" i="2"/>
  <c r="AH4088" i="2"/>
  <c r="AI4088" i="2"/>
  <c r="AJ4088" i="2"/>
  <c r="AF4089" i="2"/>
  <c r="AK4089" i="2" s="1"/>
  <c r="AG4089" i="2"/>
  <c r="AH4089" i="2"/>
  <c r="AI4089" i="2"/>
  <c r="AJ4089" i="2"/>
  <c r="AF4090" i="2"/>
  <c r="AK4090" i="2"/>
  <c r="AG4090" i="2"/>
  <c r="AH4090" i="2"/>
  <c r="AI4090" i="2"/>
  <c r="AJ4090" i="2"/>
  <c r="AF4091" i="2"/>
  <c r="AK4091" i="2" s="1"/>
  <c r="AG4091" i="2"/>
  <c r="AH4091" i="2"/>
  <c r="AI4091" i="2"/>
  <c r="AJ4091" i="2"/>
  <c r="AF4092" i="2"/>
  <c r="AK4092" i="2"/>
  <c r="AG4092" i="2"/>
  <c r="AH4092" i="2"/>
  <c r="AI4092" i="2"/>
  <c r="AJ4092" i="2"/>
  <c r="AF4093" i="2"/>
  <c r="AK4093" i="2" s="1"/>
  <c r="AG4093" i="2"/>
  <c r="AH4093" i="2"/>
  <c r="AI4093" i="2"/>
  <c r="AJ4093" i="2"/>
  <c r="AF4094" i="2"/>
  <c r="AK4094" i="2"/>
  <c r="AG4094" i="2"/>
  <c r="AH4094" i="2"/>
  <c r="AI4094" i="2"/>
  <c r="AJ4094" i="2"/>
  <c r="AF4095" i="2"/>
  <c r="AK4095" i="2" s="1"/>
  <c r="AG4095" i="2"/>
  <c r="AH4095" i="2"/>
  <c r="AI4095" i="2"/>
  <c r="AJ4095" i="2"/>
  <c r="AF4096" i="2"/>
  <c r="AK4096" i="2"/>
  <c r="AG4096" i="2"/>
  <c r="AH4096" i="2"/>
  <c r="AI4096" i="2"/>
  <c r="AJ4096" i="2"/>
  <c r="AF4097" i="2"/>
  <c r="AK4097" i="2" s="1"/>
  <c r="AG4097" i="2"/>
  <c r="AH4097" i="2"/>
  <c r="AI4097" i="2"/>
  <c r="AJ4097" i="2"/>
  <c r="AF4098" i="2"/>
  <c r="AK4098" i="2" s="1"/>
  <c r="AG4098" i="2"/>
  <c r="AH4098" i="2"/>
  <c r="AI4098" i="2"/>
  <c r="AJ4098" i="2"/>
  <c r="AF4099" i="2"/>
  <c r="AK4099" i="2"/>
  <c r="AG4099" i="2"/>
  <c r="AH4099" i="2"/>
  <c r="AI4099" i="2"/>
  <c r="AJ4099" i="2"/>
  <c r="AF4100" i="2"/>
  <c r="AK4100" i="2" s="1"/>
  <c r="AG4100" i="2"/>
  <c r="AH4100" i="2"/>
  <c r="AI4100" i="2"/>
  <c r="AJ4100" i="2"/>
  <c r="AF4101" i="2"/>
  <c r="AK4101" i="2"/>
  <c r="AG4101" i="2"/>
  <c r="AH4101" i="2"/>
  <c r="AI4101" i="2"/>
  <c r="AJ4101" i="2"/>
  <c r="AF4102" i="2"/>
  <c r="AK4102" i="2" s="1"/>
  <c r="AG4102" i="2"/>
  <c r="AH4102" i="2"/>
  <c r="AI4102" i="2"/>
  <c r="AJ4102" i="2"/>
  <c r="AF4103" i="2"/>
  <c r="AK4103" i="2"/>
  <c r="AG4103" i="2"/>
  <c r="AH4103" i="2"/>
  <c r="AI4103" i="2"/>
  <c r="AJ4103" i="2"/>
  <c r="AF4104" i="2"/>
  <c r="AK4104" i="2" s="1"/>
  <c r="AG4104" i="2"/>
  <c r="AH4104" i="2"/>
  <c r="AI4104" i="2"/>
  <c r="AJ4104" i="2"/>
  <c r="AF4105" i="2"/>
  <c r="AK4105" i="2"/>
  <c r="AG4105" i="2"/>
  <c r="AH4105" i="2"/>
  <c r="AI4105" i="2"/>
  <c r="AJ4105" i="2"/>
  <c r="AL4105" i="2" s="1"/>
  <c r="AF4106" i="2"/>
  <c r="AK4106" i="2"/>
  <c r="AG4106" i="2"/>
  <c r="AH4106" i="2"/>
  <c r="AI4106" i="2"/>
  <c r="AJ4106" i="2"/>
  <c r="AF4107" i="2"/>
  <c r="AK4107" i="2" s="1"/>
  <c r="AG4107" i="2"/>
  <c r="AH4107" i="2"/>
  <c r="AI4107" i="2"/>
  <c r="AJ4107" i="2"/>
  <c r="AF4108" i="2"/>
  <c r="AK4108" i="2"/>
  <c r="AG4108" i="2"/>
  <c r="AH4108" i="2"/>
  <c r="AI4108" i="2"/>
  <c r="AJ4108" i="2"/>
  <c r="AF4109" i="2"/>
  <c r="AK4109" i="2" s="1"/>
  <c r="AG4109" i="2"/>
  <c r="AH4109" i="2"/>
  <c r="AI4109" i="2"/>
  <c r="AJ4109" i="2"/>
  <c r="AF4110" i="2"/>
  <c r="AK4110" i="2"/>
  <c r="AG4110" i="2"/>
  <c r="AH4110" i="2"/>
  <c r="AI4110" i="2"/>
  <c r="AJ4110" i="2"/>
  <c r="AF4111" i="2"/>
  <c r="AK4111" i="2" s="1"/>
  <c r="AG4111" i="2"/>
  <c r="AH4111" i="2"/>
  <c r="AI4111" i="2"/>
  <c r="AJ4111" i="2"/>
  <c r="AF4112" i="2"/>
  <c r="AK4112" i="2"/>
  <c r="AG4112" i="2"/>
  <c r="AH4112" i="2"/>
  <c r="AI4112" i="2"/>
  <c r="AJ4112" i="2"/>
  <c r="AF4113" i="2"/>
  <c r="AK4113" i="2" s="1"/>
  <c r="AG4113" i="2"/>
  <c r="AH4113" i="2"/>
  <c r="AI4113" i="2"/>
  <c r="AJ4113" i="2"/>
  <c r="AF4114" i="2"/>
  <c r="AK4114" i="2"/>
  <c r="AG4114" i="2"/>
  <c r="AH4114" i="2"/>
  <c r="AI4114" i="2"/>
  <c r="AL4114" i="2" s="1"/>
  <c r="AJ4114" i="2"/>
  <c r="AF4115" i="2"/>
  <c r="AK4115" i="2"/>
  <c r="AG4115" i="2"/>
  <c r="AH4115" i="2"/>
  <c r="AI4115" i="2"/>
  <c r="AJ4115" i="2"/>
  <c r="AF4116" i="2"/>
  <c r="AK4116" i="2" s="1"/>
  <c r="AG4116" i="2"/>
  <c r="AH4116" i="2"/>
  <c r="AI4116" i="2"/>
  <c r="AJ4116" i="2"/>
  <c r="AF4117" i="2"/>
  <c r="AG4117" i="2"/>
  <c r="AH4117" i="2"/>
  <c r="AI4117" i="2"/>
  <c r="AJ4117" i="2"/>
  <c r="AK4117" i="2"/>
  <c r="AF4118" i="2"/>
  <c r="AK4118" i="2"/>
  <c r="AG4118" i="2"/>
  <c r="AH4118" i="2"/>
  <c r="AI4118" i="2"/>
  <c r="AJ4118" i="2"/>
  <c r="AF4119" i="2"/>
  <c r="AK4119" i="2" s="1"/>
  <c r="AG4119" i="2"/>
  <c r="AH4119" i="2"/>
  <c r="AI4119" i="2"/>
  <c r="AJ4119" i="2"/>
  <c r="AF4120" i="2"/>
  <c r="AK4120" i="2"/>
  <c r="AG4120" i="2"/>
  <c r="AH4120" i="2"/>
  <c r="AI4120" i="2"/>
  <c r="AJ4120" i="2"/>
  <c r="AF4121" i="2"/>
  <c r="AK4121" i="2" s="1"/>
  <c r="AG4121" i="2"/>
  <c r="AH4121" i="2"/>
  <c r="AI4121" i="2"/>
  <c r="AJ4121" i="2"/>
  <c r="AF4122" i="2"/>
  <c r="AK4122" i="2"/>
  <c r="AG4122" i="2"/>
  <c r="AH4122" i="2"/>
  <c r="AI4122" i="2"/>
  <c r="AJ4122" i="2"/>
  <c r="AL4122" i="2" s="1"/>
  <c r="AF4123" i="2"/>
  <c r="AK4123" i="2" s="1"/>
  <c r="AG4123" i="2"/>
  <c r="AH4123" i="2"/>
  <c r="AI4123" i="2"/>
  <c r="AJ4123" i="2"/>
  <c r="AF4124" i="2"/>
  <c r="AK4124" i="2"/>
  <c r="AG4124" i="2"/>
  <c r="AH4124" i="2"/>
  <c r="AI4124" i="2"/>
  <c r="AJ4124" i="2"/>
  <c r="AF4125" i="2"/>
  <c r="AK4125" i="2" s="1"/>
  <c r="AG4125" i="2"/>
  <c r="AH4125" i="2"/>
  <c r="AI4125" i="2"/>
  <c r="AJ4125" i="2"/>
  <c r="AF4126" i="2"/>
  <c r="AK4126" i="2"/>
  <c r="AG4126" i="2"/>
  <c r="AH4126" i="2"/>
  <c r="AI4126" i="2"/>
  <c r="AJ4126" i="2"/>
  <c r="AF4127" i="2"/>
  <c r="AK4127" i="2" s="1"/>
  <c r="AG4127" i="2"/>
  <c r="AH4127" i="2"/>
  <c r="AI4127" i="2"/>
  <c r="AJ4127" i="2"/>
  <c r="AF4128" i="2"/>
  <c r="AK4128" i="2"/>
  <c r="AG4128" i="2"/>
  <c r="AH4128" i="2"/>
  <c r="AI4128" i="2"/>
  <c r="AJ4128" i="2"/>
  <c r="AF4129" i="2"/>
  <c r="AK4129" i="2" s="1"/>
  <c r="AG4129" i="2"/>
  <c r="AH4129" i="2"/>
  <c r="AI4129" i="2"/>
  <c r="AJ4129" i="2"/>
  <c r="AF4130" i="2"/>
  <c r="AK4130" i="2" s="1"/>
  <c r="AG4130" i="2"/>
  <c r="AH4130" i="2"/>
  <c r="AI4130" i="2"/>
  <c r="AJ4130" i="2"/>
  <c r="AF4131" i="2"/>
  <c r="AK4131" i="2"/>
  <c r="AG4131" i="2"/>
  <c r="AL4131" i="2" s="1"/>
  <c r="AH4131" i="2"/>
  <c r="AI4131" i="2"/>
  <c r="AJ4131" i="2"/>
  <c r="AF4132" i="2"/>
  <c r="AK4132" i="2" s="1"/>
  <c r="AG4132" i="2"/>
  <c r="AH4132" i="2"/>
  <c r="AI4132" i="2"/>
  <c r="AJ4132" i="2"/>
  <c r="AF4133" i="2"/>
  <c r="AK4133" i="2"/>
  <c r="AG4133" i="2"/>
  <c r="AH4133" i="2"/>
  <c r="AI4133" i="2"/>
  <c r="AJ4133" i="2"/>
  <c r="AF4134" i="2"/>
  <c r="AK4134" i="2" s="1"/>
  <c r="AG4134" i="2"/>
  <c r="AH4134" i="2"/>
  <c r="AI4134" i="2"/>
  <c r="AJ4134" i="2"/>
  <c r="AF4135" i="2"/>
  <c r="AK4135" i="2"/>
  <c r="AG4135" i="2"/>
  <c r="AH4135" i="2"/>
  <c r="AI4135" i="2"/>
  <c r="AJ4135" i="2"/>
  <c r="AF4136" i="2"/>
  <c r="AK4136" i="2" s="1"/>
  <c r="AG4136" i="2"/>
  <c r="AH4136" i="2"/>
  <c r="AI4136" i="2"/>
  <c r="AJ4136" i="2"/>
  <c r="AF4137" i="2"/>
  <c r="AK4137" i="2"/>
  <c r="AG4137" i="2"/>
  <c r="AH4137" i="2"/>
  <c r="AI4137" i="2"/>
  <c r="AJ4137" i="2"/>
  <c r="AF4138" i="2"/>
  <c r="AK4138" i="2" s="1"/>
  <c r="AG4138" i="2"/>
  <c r="AH4138" i="2"/>
  <c r="AI4138" i="2"/>
  <c r="AJ4138" i="2"/>
  <c r="AF4139" i="2"/>
  <c r="AK4139" i="2"/>
  <c r="AG4139" i="2"/>
  <c r="AH4139" i="2"/>
  <c r="AI4139" i="2"/>
  <c r="AJ4139" i="2"/>
  <c r="AF4140" i="2"/>
  <c r="AK4140" i="2" s="1"/>
  <c r="AG4140" i="2"/>
  <c r="AH4140" i="2"/>
  <c r="AI4140" i="2"/>
  <c r="AJ4140" i="2"/>
  <c r="AF4141" i="2"/>
  <c r="AK4141" i="2"/>
  <c r="AG4141" i="2"/>
  <c r="AH4141" i="2"/>
  <c r="AI4141" i="2"/>
  <c r="AJ4141" i="2"/>
  <c r="AF4142" i="2"/>
  <c r="AK4142" i="2" s="1"/>
  <c r="AG4142" i="2"/>
  <c r="AH4142" i="2"/>
  <c r="AI4142" i="2"/>
  <c r="AJ4142" i="2"/>
  <c r="AF4143" i="2"/>
  <c r="AK4143" i="2"/>
  <c r="AG4143" i="2"/>
  <c r="AH4143" i="2"/>
  <c r="AI4143" i="2"/>
  <c r="AJ4143" i="2"/>
  <c r="AF4144" i="2"/>
  <c r="AK4144" i="2" s="1"/>
  <c r="AG4144" i="2"/>
  <c r="AH4144" i="2"/>
  <c r="AI4144" i="2"/>
  <c r="AJ4144" i="2"/>
  <c r="AF4145" i="2"/>
  <c r="AK4145" i="2"/>
  <c r="AG4145" i="2"/>
  <c r="AH4145" i="2"/>
  <c r="AI4145" i="2"/>
  <c r="AJ4145" i="2"/>
  <c r="AF4146" i="2"/>
  <c r="AK4146" i="2"/>
  <c r="AG4146" i="2"/>
  <c r="AH4146" i="2"/>
  <c r="AI4146" i="2"/>
  <c r="AJ4146" i="2"/>
  <c r="AF4147" i="2"/>
  <c r="AK4147" i="2" s="1"/>
  <c r="AG4147" i="2"/>
  <c r="AH4147" i="2"/>
  <c r="AI4147" i="2"/>
  <c r="AJ4147" i="2"/>
  <c r="AF4148" i="2"/>
  <c r="AK4148" i="2"/>
  <c r="AG4148" i="2"/>
  <c r="AH4148" i="2"/>
  <c r="AI4148" i="2"/>
  <c r="AJ4148" i="2"/>
  <c r="AF4149" i="2"/>
  <c r="AK4149" i="2" s="1"/>
  <c r="AG4149" i="2"/>
  <c r="AH4149" i="2"/>
  <c r="AI4149" i="2"/>
  <c r="AJ4149" i="2"/>
  <c r="AF4150" i="2"/>
  <c r="AK4150" i="2"/>
  <c r="AG4150" i="2"/>
  <c r="AH4150" i="2"/>
  <c r="AI4150" i="2"/>
  <c r="AJ4150" i="2"/>
  <c r="AF4151" i="2"/>
  <c r="AK4151" i="2" s="1"/>
  <c r="AG4151" i="2"/>
  <c r="AH4151" i="2"/>
  <c r="AI4151" i="2"/>
  <c r="AJ4151" i="2"/>
  <c r="AF4152" i="2"/>
  <c r="AK4152" i="2"/>
  <c r="AG4152" i="2"/>
  <c r="AH4152" i="2"/>
  <c r="AI4152" i="2"/>
  <c r="AJ4152" i="2"/>
  <c r="AF4153" i="2"/>
  <c r="AK4153" i="2" s="1"/>
  <c r="AG4153" i="2"/>
  <c r="AH4153" i="2"/>
  <c r="AI4153" i="2"/>
  <c r="AJ4153" i="2"/>
  <c r="AF4154" i="2"/>
  <c r="AK4154" i="2"/>
  <c r="AG4154" i="2"/>
  <c r="AH4154" i="2"/>
  <c r="AI4154" i="2"/>
  <c r="AJ4154" i="2"/>
  <c r="AF4155" i="2"/>
  <c r="AK4155" i="2" s="1"/>
  <c r="AG4155" i="2"/>
  <c r="AH4155" i="2"/>
  <c r="AI4155" i="2"/>
  <c r="AJ4155" i="2"/>
  <c r="AF4156" i="2"/>
  <c r="AK4156" i="2"/>
  <c r="AG4156" i="2"/>
  <c r="AH4156" i="2"/>
  <c r="AI4156" i="2"/>
  <c r="AL4156" i="2" s="1"/>
  <c r="AJ4156" i="2"/>
  <c r="AF4157" i="2"/>
  <c r="AK4157" i="2"/>
  <c r="AG4157" i="2"/>
  <c r="AH4157" i="2"/>
  <c r="AI4157" i="2"/>
  <c r="AJ4157" i="2"/>
  <c r="AF4158" i="2"/>
  <c r="AK4158" i="2" s="1"/>
  <c r="AG4158" i="2"/>
  <c r="AH4158" i="2"/>
  <c r="AI4158" i="2"/>
  <c r="AJ4158" i="2"/>
  <c r="AF4159" i="2"/>
  <c r="AK4159" i="2"/>
  <c r="AG4159" i="2"/>
  <c r="AH4159" i="2"/>
  <c r="AI4159" i="2"/>
  <c r="AJ4159" i="2"/>
  <c r="AF4160" i="2"/>
  <c r="AK4160" i="2" s="1"/>
  <c r="AL4160" i="2" s="1"/>
  <c r="AG4160" i="2"/>
  <c r="AH4160" i="2"/>
  <c r="AI4160" i="2"/>
  <c r="AJ4160" i="2"/>
  <c r="AF4161" i="2"/>
  <c r="AK4161" i="2"/>
  <c r="AG4161" i="2"/>
  <c r="AH4161" i="2"/>
  <c r="AI4161" i="2"/>
  <c r="AJ4161" i="2"/>
  <c r="AF4162" i="2"/>
  <c r="AK4162" i="2" s="1"/>
  <c r="AG4162" i="2"/>
  <c r="AH4162" i="2"/>
  <c r="AI4162" i="2"/>
  <c r="AJ4162" i="2"/>
  <c r="AF4163" i="2"/>
  <c r="AK4163" i="2"/>
  <c r="AG4163" i="2"/>
  <c r="AH4163" i="2"/>
  <c r="AI4163" i="2"/>
  <c r="AJ4163" i="2"/>
  <c r="AF4164" i="2"/>
  <c r="AK4164" i="2" s="1"/>
  <c r="AG4164" i="2"/>
  <c r="AH4164" i="2"/>
  <c r="AI4164" i="2"/>
  <c r="AJ4164" i="2"/>
  <c r="AF4165" i="2"/>
  <c r="AK4165" i="2"/>
  <c r="AG4165" i="2"/>
  <c r="AH4165" i="2"/>
  <c r="AI4165" i="2"/>
  <c r="AJ4165" i="2"/>
  <c r="AF4166" i="2"/>
  <c r="AK4166" i="2" s="1"/>
  <c r="AG4166" i="2"/>
  <c r="AH4166" i="2"/>
  <c r="AI4166" i="2"/>
  <c r="AJ4166" i="2"/>
  <c r="AF4167" i="2"/>
  <c r="AK4167" i="2"/>
  <c r="AG4167" i="2"/>
  <c r="AH4167" i="2"/>
  <c r="AI4167" i="2"/>
  <c r="AJ4167" i="2"/>
  <c r="AF4168" i="2"/>
  <c r="AK4168" i="2" s="1"/>
  <c r="AG4168" i="2"/>
  <c r="AH4168" i="2"/>
  <c r="AI4168" i="2"/>
  <c r="AJ4168" i="2"/>
  <c r="AF4169" i="2"/>
  <c r="AK4169" i="2"/>
  <c r="AG4169" i="2"/>
  <c r="AH4169" i="2"/>
  <c r="AI4169" i="2"/>
  <c r="AJ4169" i="2"/>
  <c r="AF4170" i="2"/>
  <c r="AK4170" i="2" s="1"/>
  <c r="AG4170" i="2"/>
  <c r="AH4170" i="2"/>
  <c r="AL4170" i="2"/>
  <c r="AI4170" i="2"/>
  <c r="AJ4170" i="2"/>
  <c r="AF4171" i="2"/>
  <c r="AK4171" i="2"/>
  <c r="AG4171" i="2"/>
  <c r="AH4171" i="2"/>
  <c r="AI4171" i="2"/>
  <c r="AJ4171" i="2"/>
  <c r="AF4172" i="2"/>
  <c r="AK4172" i="2"/>
  <c r="AG4172" i="2"/>
  <c r="AH4172" i="2"/>
  <c r="AI4172" i="2"/>
  <c r="AJ4172" i="2"/>
  <c r="AF4173" i="2"/>
  <c r="AK4173" i="2"/>
  <c r="AG4173" i="2"/>
  <c r="AH4173" i="2"/>
  <c r="AI4173" i="2"/>
  <c r="AJ4173" i="2"/>
  <c r="AF4174" i="2"/>
  <c r="AK4174" i="2"/>
  <c r="AG4174" i="2"/>
  <c r="AH4174" i="2"/>
  <c r="AI4174" i="2"/>
  <c r="AJ4174" i="2"/>
  <c r="AF4175" i="2"/>
  <c r="AK4175" i="2"/>
  <c r="AG4175" i="2"/>
  <c r="AH4175" i="2"/>
  <c r="AI4175" i="2"/>
  <c r="AJ4175" i="2"/>
  <c r="AF4176" i="2"/>
  <c r="AK4176" i="2"/>
  <c r="AG4176" i="2"/>
  <c r="AH4176" i="2"/>
  <c r="AI4176" i="2"/>
  <c r="AJ4176" i="2"/>
  <c r="AF4177" i="2"/>
  <c r="AK4177" i="2"/>
  <c r="AG4177" i="2"/>
  <c r="AH4177" i="2"/>
  <c r="AI4177" i="2"/>
  <c r="AJ4177" i="2"/>
  <c r="AF4178" i="2"/>
  <c r="AK4178" i="2"/>
  <c r="AG4178" i="2"/>
  <c r="AH4178" i="2"/>
  <c r="AI4178" i="2"/>
  <c r="AJ4178" i="2"/>
  <c r="AF4179" i="2"/>
  <c r="AK4179" i="2"/>
  <c r="AG4179" i="2"/>
  <c r="AH4179" i="2"/>
  <c r="AI4179" i="2"/>
  <c r="AJ4179" i="2"/>
  <c r="AF4180" i="2"/>
  <c r="AK4180" i="2"/>
  <c r="AG4180" i="2"/>
  <c r="AH4180" i="2"/>
  <c r="AI4180" i="2"/>
  <c r="AJ4180" i="2"/>
  <c r="AF4181" i="2"/>
  <c r="AK4181" i="2"/>
  <c r="AG4181" i="2"/>
  <c r="AH4181" i="2"/>
  <c r="AI4181" i="2"/>
  <c r="AJ4181" i="2"/>
  <c r="AF4182" i="2"/>
  <c r="AK4182" i="2"/>
  <c r="AG4182" i="2"/>
  <c r="AL4182" i="2"/>
  <c r="AH4182" i="2"/>
  <c r="AI4182" i="2"/>
  <c r="AJ4182" i="2"/>
  <c r="AF4183" i="2"/>
  <c r="AK4183" i="2" s="1"/>
  <c r="AG4183" i="2"/>
  <c r="AH4183" i="2"/>
  <c r="AI4183" i="2"/>
  <c r="AJ4183" i="2"/>
  <c r="AF4184" i="2"/>
  <c r="AK4184" i="2"/>
  <c r="AG4184" i="2"/>
  <c r="AH4184" i="2"/>
  <c r="AI4184" i="2"/>
  <c r="AJ4184" i="2"/>
  <c r="AF4185" i="2"/>
  <c r="AK4185" i="2" s="1"/>
  <c r="AG4185" i="2"/>
  <c r="AH4185" i="2"/>
  <c r="AI4185" i="2"/>
  <c r="AJ4185" i="2"/>
  <c r="AF4186" i="2"/>
  <c r="AK4186" i="2"/>
  <c r="AG4186" i="2"/>
  <c r="AH4186" i="2"/>
  <c r="AI4186" i="2"/>
  <c r="AL4186" i="2" s="1"/>
  <c r="AJ4186" i="2"/>
  <c r="AF4187" i="2"/>
  <c r="AK4187" i="2"/>
  <c r="AG4187" i="2"/>
  <c r="AH4187" i="2"/>
  <c r="AI4187" i="2"/>
  <c r="AJ4187" i="2"/>
  <c r="AF4188" i="2"/>
  <c r="AK4188" i="2" s="1"/>
  <c r="AG4188" i="2"/>
  <c r="AH4188" i="2"/>
  <c r="AI4188" i="2"/>
  <c r="AJ4188" i="2"/>
  <c r="AF4189" i="2"/>
  <c r="AK4189" i="2"/>
  <c r="AG4189" i="2"/>
  <c r="AH4189" i="2"/>
  <c r="AI4189" i="2"/>
  <c r="AJ4189" i="2"/>
  <c r="AF4190" i="2"/>
  <c r="AK4190" i="2" s="1"/>
  <c r="AG4190" i="2"/>
  <c r="AH4190" i="2"/>
  <c r="AI4190" i="2"/>
  <c r="AJ4190" i="2"/>
  <c r="AF4191" i="2"/>
  <c r="AK4191" i="2"/>
  <c r="AG4191" i="2"/>
  <c r="AH4191" i="2"/>
  <c r="AI4191" i="2"/>
  <c r="AJ4191" i="2"/>
  <c r="AF4192" i="2"/>
  <c r="AK4192" i="2" s="1"/>
  <c r="AG4192" i="2"/>
  <c r="AH4192" i="2"/>
  <c r="AI4192" i="2"/>
  <c r="AJ4192" i="2"/>
  <c r="AF4193" i="2"/>
  <c r="AK4193" i="2"/>
  <c r="AG4193" i="2"/>
  <c r="AH4193" i="2"/>
  <c r="AI4193" i="2"/>
  <c r="AJ4193" i="2"/>
  <c r="AF4194" i="2"/>
  <c r="AK4194" i="2"/>
  <c r="AG4194" i="2"/>
  <c r="AL4194" i="2" s="1"/>
  <c r="AH4194" i="2"/>
  <c r="AI4194" i="2"/>
  <c r="AJ4194" i="2"/>
  <c r="AF4195" i="2"/>
  <c r="AK4195" i="2" s="1"/>
  <c r="AG4195" i="2"/>
  <c r="AH4195" i="2"/>
  <c r="AL4195" i="2" s="1"/>
  <c r="AI4195" i="2"/>
  <c r="AJ4195" i="2"/>
  <c r="AF4196" i="2"/>
  <c r="AK4196" i="2" s="1"/>
  <c r="AG4196" i="2"/>
  <c r="AH4196" i="2"/>
  <c r="AI4196" i="2"/>
  <c r="AJ4196" i="2"/>
  <c r="AF4197" i="2"/>
  <c r="AK4197" i="2"/>
  <c r="AG4197" i="2"/>
  <c r="AH4197" i="2"/>
  <c r="AI4197" i="2"/>
  <c r="AJ4197" i="2"/>
  <c r="AF4198" i="2"/>
  <c r="AK4198" i="2" s="1"/>
  <c r="AG4198" i="2"/>
  <c r="AH4198" i="2"/>
  <c r="AI4198" i="2"/>
  <c r="AJ4198" i="2"/>
  <c r="AF4199" i="2"/>
  <c r="AK4199" i="2"/>
  <c r="AG4199" i="2"/>
  <c r="AL4199" i="2" s="1"/>
  <c r="AH4199" i="2"/>
  <c r="AI4199" i="2"/>
  <c r="AJ4199" i="2"/>
  <c r="AF4200" i="2"/>
  <c r="AK4200" i="2" s="1"/>
  <c r="AG4200" i="2"/>
  <c r="AH4200" i="2"/>
  <c r="AI4200" i="2"/>
  <c r="AJ4200" i="2"/>
  <c r="AF4201" i="2"/>
  <c r="AK4201" i="2"/>
  <c r="AG4201" i="2"/>
  <c r="AH4201" i="2"/>
  <c r="AI4201" i="2"/>
  <c r="AJ4201" i="2"/>
  <c r="AF4202" i="2"/>
  <c r="AK4202" i="2" s="1"/>
  <c r="AG4202" i="2"/>
  <c r="AH4202" i="2"/>
  <c r="AI4202" i="2"/>
  <c r="AJ4202" i="2"/>
  <c r="AF4203" i="2"/>
  <c r="AK4203" i="2"/>
  <c r="AG4203" i="2"/>
  <c r="AH4203" i="2"/>
  <c r="AI4203" i="2"/>
  <c r="AJ4203" i="2"/>
  <c r="AF4204" i="2"/>
  <c r="AK4204" i="2" s="1"/>
  <c r="AG4204" i="2"/>
  <c r="AH4204" i="2"/>
  <c r="AL4204" i="2" s="1"/>
  <c r="AI4204" i="2"/>
  <c r="AJ4204" i="2"/>
  <c r="AF4205" i="2"/>
  <c r="AK4205" i="2"/>
  <c r="AG4205" i="2"/>
  <c r="AH4205" i="2"/>
  <c r="AI4205" i="2"/>
  <c r="AJ4205" i="2"/>
  <c r="AF4206" i="2"/>
  <c r="AK4206" i="2"/>
  <c r="AG4206" i="2"/>
  <c r="AH4206" i="2"/>
  <c r="AI4206" i="2"/>
  <c r="AJ4206" i="2"/>
  <c r="AF4207" i="2"/>
  <c r="AK4207" i="2"/>
  <c r="AG4207" i="2"/>
  <c r="AH4207" i="2"/>
  <c r="AI4207" i="2"/>
  <c r="AJ4207" i="2"/>
  <c r="AF4208" i="2"/>
  <c r="AK4208" i="2"/>
  <c r="AG4208" i="2"/>
  <c r="AH4208" i="2"/>
  <c r="AI4208" i="2"/>
  <c r="AJ4208" i="2"/>
  <c r="AF4209" i="2"/>
  <c r="AK4209" i="2" s="1"/>
  <c r="AG4209" i="2"/>
  <c r="AH4209" i="2"/>
  <c r="AI4209" i="2"/>
  <c r="AJ4209" i="2"/>
  <c r="AF4210" i="2"/>
  <c r="AK4210" i="2"/>
  <c r="AG4210" i="2"/>
  <c r="AH4210" i="2"/>
  <c r="AI4210" i="2"/>
  <c r="AJ4210" i="2"/>
  <c r="AF4211" i="2"/>
  <c r="AK4211" i="2" s="1"/>
  <c r="AG4211" i="2"/>
  <c r="AH4211" i="2"/>
  <c r="AI4211" i="2"/>
  <c r="AJ4211" i="2"/>
  <c r="AF4212" i="2"/>
  <c r="AK4212" i="2"/>
  <c r="AG4212" i="2"/>
  <c r="AH4212" i="2"/>
  <c r="AI4212" i="2"/>
  <c r="AJ4212" i="2"/>
  <c r="AF4213" i="2"/>
  <c r="AK4213" i="2" s="1"/>
  <c r="AG4213" i="2"/>
  <c r="AH4213" i="2"/>
  <c r="AI4213" i="2"/>
  <c r="AJ4213" i="2"/>
  <c r="AF4214" i="2"/>
  <c r="AK4214" i="2" s="1"/>
  <c r="AG4214" i="2"/>
  <c r="AH4214" i="2"/>
  <c r="AI4214" i="2"/>
  <c r="AJ4214" i="2"/>
  <c r="AF4215" i="2"/>
  <c r="AK4215" i="2"/>
  <c r="AG4215" i="2"/>
  <c r="AH4215" i="2"/>
  <c r="AI4215" i="2"/>
  <c r="AJ4215" i="2"/>
  <c r="AF4216" i="2"/>
  <c r="AK4216" i="2" s="1"/>
  <c r="AG4216" i="2"/>
  <c r="AH4216" i="2"/>
  <c r="AI4216" i="2"/>
  <c r="AJ4216" i="2"/>
  <c r="AF4217" i="2"/>
  <c r="AK4217" i="2"/>
  <c r="AG4217" i="2"/>
  <c r="AH4217" i="2"/>
  <c r="AI4217" i="2"/>
  <c r="AJ4217" i="2"/>
  <c r="AF4218" i="2"/>
  <c r="AK4218" i="2" s="1"/>
  <c r="AL4218" i="2" s="1"/>
  <c r="AG4218" i="2"/>
  <c r="AH4218" i="2"/>
  <c r="AI4218" i="2"/>
  <c r="AJ4218" i="2"/>
  <c r="AF4219" i="2"/>
  <c r="AK4219" i="2"/>
  <c r="AG4219" i="2"/>
  <c r="AH4219" i="2"/>
  <c r="AI4219" i="2"/>
  <c r="AJ4219" i="2"/>
  <c r="AF4220" i="2"/>
  <c r="AK4220" i="2" s="1"/>
  <c r="AG4220" i="2"/>
  <c r="AH4220" i="2"/>
  <c r="AI4220" i="2"/>
  <c r="AJ4220" i="2"/>
  <c r="AF4221" i="2"/>
  <c r="AK4221" i="2"/>
  <c r="AG4221" i="2"/>
  <c r="AH4221" i="2"/>
  <c r="AI4221" i="2"/>
  <c r="AJ4221" i="2"/>
  <c r="AF4222" i="2"/>
  <c r="AK4222" i="2" s="1"/>
  <c r="AL4222" i="2" s="1"/>
  <c r="AG4222" i="2"/>
  <c r="AH4222" i="2"/>
  <c r="AI4222" i="2"/>
  <c r="AJ4222" i="2"/>
  <c r="AF4223" i="2"/>
  <c r="AK4223" i="2"/>
  <c r="AG4223" i="2"/>
  <c r="AH4223" i="2"/>
  <c r="AI4223" i="2"/>
  <c r="AJ4223" i="2"/>
  <c r="AF4224" i="2"/>
  <c r="AK4224" i="2" s="1"/>
  <c r="AG4224" i="2"/>
  <c r="AH4224" i="2"/>
  <c r="AI4224" i="2"/>
  <c r="AJ4224" i="2"/>
  <c r="AF4225" i="2"/>
  <c r="AK4225" i="2"/>
  <c r="AG4225" i="2"/>
  <c r="AH4225" i="2"/>
  <c r="AI4225" i="2"/>
  <c r="AJ4225" i="2"/>
  <c r="AF4226" i="2"/>
  <c r="AK4226" i="2" s="1"/>
  <c r="AG4226" i="2"/>
  <c r="AH4226" i="2"/>
  <c r="AI4226" i="2"/>
  <c r="AJ4226" i="2"/>
  <c r="AF4227" i="2"/>
  <c r="AK4227" i="2"/>
  <c r="AG4227" i="2"/>
  <c r="AH4227" i="2"/>
  <c r="AI4227" i="2"/>
  <c r="AJ4227" i="2"/>
  <c r="AF4228" i="2"/>
  <c r="AK4228" i="2" s="1"/>
  <c r="AG4228" i="2"/>
  <c r="AH4228" i="2"/>
  <c r="AI4228" i="2"/>
  <c r="AJ4228" i="2"/>
  <c r="AF4229" i="2"/>
  <c r="AK4229" i="2" s="1"/>
  <c r="AL4229" i="2" s="1"/>
  <c r="AG4229" i="2"/>
  <c r="AH4229" i="2"/>
  <c r="AI4229" i="2"/>
  <c r="AJ4229" i="2"/>
  <c r="AF4230" i="2"/>
  <c r="AK4230" i="2"/>
  <c r="AG4230" i="2"/>
  <c r="AH4230" i="2"/>
  <c r="AI4230" i="2"/>
  <c r="AJ4230" i="2"/>
  <c r="AF4231" i="2"/>
  <c r="AK4231" i="2" s="1"/>
  <c r="AG4231" i="2"/>
  <c r="AH4231" i="2"/>
  <c r="AI4231" i="2"/>
  <c r="AJ4231" i="2"/>
  <c r="AF4232" i="2"/>
  <c r="AK4232" i="2"/>
  <c r="AG4232" i="2"/>
  <c r="AH4232" i="2"/>
  <c r="AI4232" i="2"/>
  <c r="AJ4232" i="2"/>
  <c r="AF4233" i="2"/>
  <c r="AK4233" i="2" s="1"/>
  <c r="AG4233" i="2"/>
  <c r="AH4233" i="2"/>
  <c r="AI4233" i="2"/>
  <c r="AJ4233" i="2"/>
  <c r="AF4234" i="2"/>
  <c r="AK4234" i="2"/>
  <c r="AG4234" i="2"/>
  <c r="AH4234" i="2"/>
  <c r="AI4234" i="2"/>
  <c r="AJ4234" i="2"/>
  <c r="AF4235" i="2"/>
  <c r="AK4235" i="2" s="1"/>
  <c r="AG4235" i="2"/>
  <c r="AH4235" i="2"/>
  <c r="AI4235" i="2"/>
  <c r="AJ4235" i="2"/>
  <c r="AF4236" i="2"/>
  <c r="AK4236" i="2"/>
  <c r="AG4236" i="2"/>
  <c r="AH4236" i="2"/>
  <c r="AI4236" i="2"/>
  <c r="AJ4236" i="2"/>
  <c r="AF4237" i="2"/>
  <c r="AK4237" i="2" s="1"/>
  <c r="AL4237" i="2" s="1"/>
  <c r="AG4237" i="2"/>
  <c r="AH4237" i="2"/>
  <c r="AI4237" i="2"/>
  <c r="AJ4237" i="2"/>
  <c r="AF4238" i="2"/>
  <c r="AK4238" i="2"/>
  <c r="AG4238" i="2"/>
  <c r="AH4238" i="2"/>
  <c r="AI4238" i="2"/>
  <c r="AJ4238" i="2"/>
  <c r="AF4239" i="2"/>
  <c r="AK4239" i="2" s="1"/>
  <c r="AG4239" i="2"/>
  <c r="AH4239" i="2"/>
  <c r="AI4239" i="2"/>
  <c r="AJ4239" i="2"/>
  <c r="AF4240" i="2"/>
  <c r="AK4240" i="2"/>
  <c r="AG4240" i="2"/>
  <c r="AH4240" i="2"/>
  <c r="AI4240" i="2"/>
  <c r="AJ4240" i="2"/>
  <c r="AF4241" i="2"/>
  <c r="AK4241" i="2" s="1"/>
  <c r="AG4241" i="2"/>
  <c r="AH4241" i="2"/>
  <c r="AI4241" i="2"/>
  <c r="AJ4241" i="2"/>
  <c r="AF4242" i="2"/>
  <c r="AK4242" i="2"/>
  <c r="AG4242" i="2"/>
  <c r="AH4242" i="2"/>
  <c r="AI4242" i="2"/>
  <c r="AJ4242" i="2"/>
  <c r="AF4243" i="2"/>
  <c r="AK4243" i="2" s="1"/>
  <c r="AG4243" i="2"/>
  <c r="AH4243" i="2"/>
  <c r="AI4243" i="2"/>
  <c r="AJ4243" i="2"/>
  <c r="AF4244" i="2"/>
  <c r="AK4244" i="2"/>
  <c r="AG4244" i="2"/>
  <c r="AH4244" i="2"/>
  <c r="AI4244" i="2"/>
  <c r="AJ4244" i="2"/>
  <c r="AL4244" i="2" s="1"/>
  <c r="AF4245" i="2"/>
  <c r="AK4245" i="2" s="1"/>
  <c r="AG4245" i="2"/>
  <c r="AH4245" i="2"/>
  <c r="AI4245" i="2"/>
  <c r="AJ4245" i="2"/>
  <c r="AF4246" i="2"/>
  <c r="AK4246" i="2"/>
  <c r="AG4246" i="2"/>
  <c r="AH4246" i="2"/>
  <c r="AI4246" i="2"/>
  <c r="AJ4246" i="2"/>
  <c r="AF4247" i="2"/>
  <c r="AK4247" i="2" s="1"/>
  <c r="AG4247" i="2"/>
  <c r="AH4247" i="2"/>
  <c r="AI4247" i="2"/>
  <c r="AJ4247" i="2"/>
  <c r="AF4248" i="2"/>
  <c r="AK4248" i="2"/>
  <c r="AG4248" i="2"/>
  <c r="AH4248" i="2"/>
  <c r="AI4248" i="2"/>
  <c r="AJ4248" i="2"/>
  <c r="AF4249" i="2"/>
  <c r="AK4249" i="2" s="1"/>
  <c r="AG4249" i="2"/>
  <c r="AH4249" i="2"/>
  <c r="AI4249" i="2"/>
  <c r="AJ4249" i="2"/>
  <c r="AF4250" i="2"/>
  <c r="AK4250" i="2"/>
  <c r="AG4250" i="2"/>
  <c r="AH4250" i="2"/>
  <c r="AI4250" i="2"/>
  <c r="AJ4250" i="2"/>
  <c r="AF4251" i="2"/>
  <c r="AK4251" i="2"/>
  <c r="AG4251" i="2"/>
  <c r="AH4251" i="2"/>
  <c r="AI4251" i="2"/>
  <c r="AJ4251" i="2"/>
  <c r="AF4252" i="2"/>
  <c r="AK4252" i="2" s="1"/>
  <c r="AG4252" i="2"/>
  <c r="AH4252" i="2"/>
  <c r="AI4252" i="2"/>
  <c r="AJ4252" i="2"/>
  <c r="AF4253" i="2"/>
  <c r="AK4253" i="2"/>
  <c r="AG4253" i="2"/>
  <c r="AH4253" i="2"/>
  <c r="AI4253" i="2"/>
  <c r="AJ4253" i="2"/>
  <c r="AF4254" i="2"/>
  <c r="AK4254" i="2" s="1"/>
  <c r="AG4254" i="2"/>
  <c r="AH4254" i="2"/>
  <c r="AI4254" i="2"/>
  <c r="AJ4254" i="2"/>
  <c r="AF4255" i="2"/>
  <c r="AK4255" i="2"/>
  <c r="AG4255" i="2"/>
  <c r="AH4255" i="2"/>
  <c r="AI4255" i="2"/>
  <c r="AJ4255" i="2"/>
  <c r="AF4256" i="2"/>
  <c r="AK4256" i="2" s="1"/>
  <c r="AG4256" i="2"/>
  <c r="AH4256" i="2"/>
  <c r="AI4256" i="2"/>
  <c r="AJ4256" i="2"/>
  <c r="AF4257" i="2"/>
  <c r="AK4257" i="2" s="1"/>
  <c r="AG4257" i="2"/>
  <c r="AH4257" i="2"/>
  <c r="AI4257" i="2"/>
  <c r="AJ4257" i="2"/>
  <c r="AF4258" i="2"/>
  <c r="AK4258" i="2"/>
  <c r="AG4258" i="2"/>
  <c r="AH4258" i="2"/>
  <c r="AI4258" i="2"/>
  <c r="AJ4258" i="2"/>
  <c r="AF4259" i="2"/>
  <c r="AK4259" i="2"/>
  <c r="AG4259" i="2"/>
  <c r="AH4259" i="2"/>
  <c r="AI4259" i="2"/>
  <c r="AJ4259" i="2"/>
  <c r="AF4260" i="2"/>
  <c r="AK4260" i="2" s="1"/>
  <c r="AG4260" i="2"/>
  <c r="AL4260" i="2" s="1"/>
  <c r="AH4260" i="2"/>
  <c r="AI4260" i="2"/>
  <c r="AJ4260" i="2"/>
  <c r="AF4261" i="2"/>
  <c r="AK4261" i="2" s="1"/>
  <c r="AL4261" i="2" s="1"/>
  <c r="AG4261" i="2"/>
  <c r="AH4261" i="2"/>
  <c r="AI4261" i="2"/>
  <c r="AJ4261" i="2"/>
  <c r="AF4262" i="2"/>
  <c r="AK4262" i="2"/>
  <c r="AG4262" i="2"/>
  <c r="AH4262" i="2"/>
  <c r="AI4262" i="2"/>
  <c r="AJ4262" i="2"/>
  <c r="AF4263" i="2"/>
  <c r="AK4263" i="2" s="1"/>
  <c r="AG4263" i="2"/>
  <c r="AH4263" i="2"/>
  <c r="AI4263" i="2"/>
  <c r="AJ4263" i="2"/>
  <c r="AF4264" i="2"/>
  <c r="AK4264" i="2"/>
  <c r="AG4264" i="2"/>
  <c r="AH4264" i="2"/>
  <c r="AI4264" i="2"/>
  <c r="AJ4264" i="2"/>
  <c r="AF4265" i="2"/>
  <c r="AK4265" i="2" s="1"/>
  <c r="AG4265" i="2"/>
  <c r="AH4265" i="2"/>
  <c r="AI4265" i="2"/>
  <c r="AJ4265" i="2"/>
  <c r="AF4266" i="2"/>
  <c r="AK4266" i="2"/>
  <c r="AG4266" i="2"/>
  <c r="AH4266" i="2"/>
  <c r="AI4266" i="2"/>
  <c r="AJ4266" i="2"/>
  <c r="AF4267" i="2"/>
  <c r="AK4267" i="2" s="1"/>
  <c r="AG4267" i="2"/>
  <c r="AH4267" i="2"/>
  <c r="AI4267" i="2"/>
  <c r="AJ4267" i="2"/>
  <c r="AF4268" i="2"/>
  <c r="AK4268" i="2"/>
  <c r="AG4268" i="2"/>
  <c r="AH4268" i="2"/>
  <c r="AI4268" i="2"/>
  <c r="AJ4268" i="2"/>
  <c r="AF4269" i="2"/>
  <c r="AK4269" i="2" s="1"/>
  <c r="AG4269" i="2"/>
  <c r="AL4269" i="2"/>
  <c r="AH4269" i="2"/>
  <c r="AI4269" i="2"/>
  <c r="AJ4269" i="2"/>
  <c r="AF4270" i="2"/>
  <c r="AK4270" i="2" s="1"/>
  <c r="AG4270" i="2"/>
  <c r="AH4270" i="2"/>
  <c r="AI4270" i="2"/>
  <c r="AJ4270" i="2"/>
  <c r="AF4271" i="2"/>
  <c r="AK4271" i="2"/>
  <c r="AG4271" i="2"/>
  <c r="AL4271" i="2" s="1"/>
  <c r="AH4271" i="2"/>
  <c r="AI4271" i="2"/>
  <c r="AJ4271" i="2"/>
  <c r="AF4272" i="2"/>
  <c r="AK4272" i="2"/>
  <c r="AG4272" i="2"/>
  <c r="AH4272" i="2"/>
  <c r="AI4272" i="2"/>
  <c r="AJ4272" i="2"/>
  <c r="AF4273" i="2"/>
  <c r="AK4273" i="2"/>
  <c r="AG4273" i="2"/>
  <c r="AH4273" i="2"/>
  <c r="AI4273" i="2"/>
  <c r="AJ4273" i="2"/>
  <c r="AF4274" i="2"/>
  <c r="AK4274" i="2"/>
  <c r="AG4274" i="2"/>
  <c r="AL4274" i="2" s="1"/>
  <c r="AH4274" i="2"/>
  <c r="AI4274" i="2"/>
  <c r="AJ4274" i="2"/>
  <c r="AF4275" i="2"/>
  <c r="AK4275" i="2" s="1"/>
  <c r="AG4275" i="2"/>
  <c r="AH4275" i="2"/>
  <c r="AI4275" i="2"/>
  <c r="AJ4275" i="2"/>
  <c r="AF4276" i="2"/>
  <c r="AK4276" i="2"/>
  <c r="AG4276" i="2"/>
  <c r="AH4276" i="2"/>
  <c r="AI4276" i="2"/>
  <c r="AJ4276" i="2"/>
  <c r="AF4277" i="2"/>
  <c r="AK4277" i="2" s="1"/>
  <c r="AG4277" i="2"/>
  <c r="AH4277" i="2"/>
  <c r="AI4277" i="2"/>
  <c r="AJ4277" i="2"/>
  <c r="AF4278" i="2"/>
  <c r="AK4278" i="2"/>
  <c r="AG4278" i="2"/>
  <c r="AH4278" i="2"/>
  <c r="AI4278" i="2"/>
  <c r="AJ4278" i="2"/>
  <c r="AF4279" i="2"/>
  <c r="AK4279" i="2" s="1"/>
  <c r="AG4279" i="2"/>
  <c r="AH4279" i="2"/>
  <c r="AI4279" i="2"/>
  <c r="AJ4279" i="2"/>
  <c r="AF4280" i="2"/>
  <c r="AK4280" i="2"/>
  <c r="AG4280" i="2"/>
  <c r="AH4280" i="2"/>
  <c r="AI4280" i="2"/>
  <c r="AL4280" i="2"/>
  <c r="AJ4280" i="2"/>
  <c r="AF4281" i="2"/>
  <c r="AK4281" i="2"/>
  <c r="AG4281" i="2"/>
  <c r="AH4281" i="2"/>
  <c r="AI4281" i="2"/>
  <c r="AJ4281" i="2"/>
  <c r="AF4282" i="2"/>
  <c r="AK4282" i="2" s="1"/>
  <c r="AG4282" i="2"/>
  <c r="AH4282" i="2"/>
  <c r="AI4282" i="2"/>
  <c r="AJ4282" i="2"/>
  <c r="AF4283" i="2"/>
  <c r="AK4283" i="2"/>
  <c r="AG4283" i="2"/>
  <c r="AH4283" i="2"/>
  <c r="AI4283" i="2"/>
  <c r="AJ4283" i="2"/>
  <c r="AF4284" i="2"/>
  <c r="AK4284" i="2" s="1"/>
  <c r="AG4284" i="2"/>
  <c r="AH4284" i="2"/>
  <c r="AI4284" i="2"/>
  <c r="AJ4284" i="2"/>
  <c r="AF4285" i="2"/>
  <c r="AK4285" i="2"/>
  <c r="AG4285" i="2"/>
  <c r="AH4285" i="2"/>
  <c r="AI4285" i="2"/>
  <c r="AJ4285" i="2"/>
  <c r="AF4286" i="2"/>
  <c r="AK4286" i="2" s="1"/>
  <c r="AG4286" i="2"/>
  <c r="AH4286" i="2"/>
  <c r="AI4286" i="2"/>
  <c r="AJ4286" i="2"/>
  <c r="AF4287" i="2"/>
  <c r="AK4287" i="2"/>
  <c r="AG4287" i="2"/>
  <c r="AH4287" i="2"/>
  <c r="AI4287" i="2"/>
  <c r="AJ4287" i="2"/>
  <c r="AF4288" i="2"/>
  <c r="AK4288" i="2" s="1"/>
  <c r="AL4288" i="2" s="1"/>
  <c r="AG4288" i="2"/>
  <c r="AH4288" i="2"/>
  <c r="AI4288" i="2"/>
  <c r="AJ4288" i="2"/>
  <c r="AF4289" i="2"/>
  <c r="AK4289" i="2"/>
  <c r="AG4289" i="2"/>
  <c r="AL4289" i="2" s="1"/>
  <c r="AH4289" i="2"/>
  <c r="AI4289" i="2"/>
  <c r="AJ4289" i="2"/>
  <c r="AF4290" i="2"/>
  <c r="AK4290" i="2" s="1"/>
  <c r="AG4290" i="2"/>
  <c r="AH4290" i="2"/>
  <c r="AI4290" i="2"/>
  <c r="AJ4290" i="2"/>
  <c r="AF4291" i="2"/>
  <c r="AK4291" i="2"/>
  <c r="AG4291" i="2"/>
  <c r="AH4291" i="2"/>
  <c r="AI4291" i="2"/>
  <c r="AJ4291" i="2"/>
  <c r="AF4292" i="2"/>
  <c r="AK4292" i="2" s="1"/>
  <c r="AG4292" i="2"/>
  <c r="AH4292" i="2"/>
  <c r="AI4292" i="2"/>
  <c r="AJ4292" i="2"/>
  <c r="AF4293" i="2"/>
  <c r="AK4293" i="2"/>
  <c r="AG4293" i="2"/>
  <c r="AH4293" i="2"/>
  <c r="AI4293" i="2"/>
  <c r="AJ4293" i="2"/>
  <c r="AF4294" i="2"/>
  <c r="AK4294" i="2" s="1"/>
  <c r="AG4294" i="2"/>
  <c r="AL4294" i="2" s="1"/>
  <c r="AH4294" i="2"/>
  <c r="AI4294" i="2"/>
  <c r="AJ4294" i="2"/>
  <c r="AF4295" i="2"/>
  <c r="AK4295" i="2" s="1"/>
  <c r="AL4295" i="2" s="1"/>
  <c r="AG4295" i="2"/>
  <c r="AH4295" i="2"/>
  <c r="AI4295" i="2"/>
  <c r="AJ4295" i="2"/>
  <c r="AF4296" i="2"/>
  <c r="AK4296" i="2"/>
  <c r="AG4296" i="2"/>
  <c r="AH4296" i="2"/>
  <c r="AI4296" i="2"/>
  <c r="AL4296" i="2" s="1"/>
  <c r="AJ4296" i="2"/>
  <c r="AF4297" i="2"/>
  <c r="AK4297" i="2"/>
  <c r="AG4297" i="2"/>
  <c r="AH4297" i="2"/>
  <c r="AI4297" i="2"/>
  <c r="AJ4297" i="2"/>
  <c r="AF4298" i="2"/>
  <c r="AK4298" i="2" s="1"/>
  <c r="AG4298" i="2"/>
  <c r="AH4298" i="2"/>
  <c r="AI4298" i="2"/>
  <c r="AJ4298" i="2"/>
  <c r="AF4299" i="2"/>
  <c r="AK4299" i="2"/>
  <c r="AG4299" i="2"/>
  <c r="AH4299" i="2"/>
  <c r="AI4299" i="2"/>
  <c r="AJ4299" i="2"/>
  <c r="AF4300" i="2"/>
  <c r="AK4300" i="2" s="1"/>
  <c r="AG4300" i="2"/>
  <c r="AH4300" i="2"/>
  <c r="AI4300" i="2"/>
  <c r="AJ4300" i="2"/>
  <c r="AF4301" i="2"/>
  <c r="AK4301" i="2"/>
  <c r="AG4301" i="2"/>
  <c r="AL4301" i="2" s="1"/>
  <c r="AH4301" i="2"/>
  <c r="AI4301" i="2"/>
  <c r="AJ4301" i="2"/>
  <c r="AF4302" i="2"/>
  <c r="AK4302" i="2" s="1"/>
  <c r="AG4302" i="2"/>
  <c r="AH4302" i="2"/>
  <c r="AI4302" i="2"/>
  <c r="AJ4302" i="2"/>
  <c r="AF4303" i="2"/>
  <c r="AK4303" i="2"/>
  <c r="AG4303" i="2"/>
  <c r="AH4303" i="2"/>
  <c r="AI4303" i="2"/>
  <c r="AJ4303" i="2"/>
  <c r="AF4304" i="2"/>
  <c r="AK4304" i="2" s="1"/>
  <c r="AL4304" i="2" s="1"/>
  <c r="AG4304" i="2"/>
  <c r="AH4304" i="2"/>
  <c r="AI4304" i="2"/>
  <c r="AJ4304" i="2"/>
  <c r="AF4305" i="2"/>
  <c r="AK4305" i="2" s="1"/>
  <c r="AG4305" i="2"/>
  <c r="AH4305" i="2"/>
  <c r="AI4305" i="2"/>
  <c r="AJ4305" i="2"/>
  <c r="AF4306" i="2"/>
  <c r="AK4306" i="2"/>
  <c r="AG4306" i="2"/>
  <c r="AH4306" i="2"/>
  <c r="AI4306" i="2"/>
  <c r="AJ4306" i="2"/>
  <c r="AL4306" i="2" s="1"/>
  <c r="AF4307" i="2"/>
  <c r="AK4307" i="2" s="1"/>
  <c r="AG4307" i="2"/>
  <c r="AH4307" i="2"/>
  <c r="AI4307" i="2"/>
  <c r="AJ4307" i="2"/>
  <c r="AF4308" i="2"/>
  <c r="AK4308" i="2"/>
  <c r="AG4308" i="2"/>
  <c r="AH4308" i="2"/>
  <c r="AI4308" i="2"/>
  <c r="AJ4308" i="2"/>
  <c r="AF4309" i="2"/>
  <c r="AK4309" i="2" s="1"/>
  <c r="AG4309" i="2"/>
  <c r="AH4309" i="2"/>
  <c r="AI4309" i="2"/>
  <c r="AJ4309" i="2"/>
  <c r="AF4310" i="2"/>
  <c r="AK4310" i="2"/>
  <c r="AG4310" i="2"/>
  <c r="AH4310" i="2"/>
  <c r="AI4310" i="2"/>
  <c r="AJ4310" i="2"/>
  <c r="AF4311" i="2"/>
  <c r="AK4311" i="2" s="1"/>
  <c r="AG4311" i="2"/>
  <c r="AH4311" i="2"/>
  <c r="AL4311" i="2" s="1"/>
  <c r="AI4311" i="2"/>
  <c r="AJ4311" i="2"/>
  <c r="AF4312" i="2"/>
  <c r="AK4312" i="2"/>
  <c r="AG4312" i="2"/>
  <c r="AH4312" i="2"/>
  <c r="AI4312" i="2"/>
  <c r="AJ4312" i="2"/>
  <c r="AF4313" i="2"/>
  <c r="AK4313" i="2"/>
  <c r="AG4313" i="2"/>
  <c r="AH4313" i="2"/>
  <c r="AI4313" i="2"/>
  <c r="AJ4313" i="2"/>
  <c r="AF4314" i="2"/>
  <c r="AK4314" i="2"/>
  <c r="AG4314" i="2"/>
  <c r="AH4314" i="2"/>
  <c r="AI4314" i="2"/>
  <c r="AJ4314" i="2"/>
  <c r="AF4315" i="2"/>
  <c r="AK4315" i="2"/>
  <c r="AG4315" i="2"/>
  <c r="AH4315" i="2"/>
  <c r="AI4315" i="2"/>
  <c r="AJ4315" i="2"/>
  <c r="AF4316" i="2"/>
  <c r="AK4316" i="2"/>
  <c r="AG4316" i="2"/>
  <c r="AH4316" i="2"/>
  <c r="AI4316" i="2"/>
  <c r="AJ4316" i="2"/>
  <c r="AF4317" i="2"/>
  <c r="AK4317" i="2"/>
  <c r="AG4317" i="2"/>
  <c r="AH4317" i="2"/>
  <c r="AI4317" i="2"/>
  <c r="AJ4317" i="2"/>
  <c r="AF4318" i="2"/>
  <c r="AK4318" i="2"/>
  <c r="AG4318" i="2"/>
  <c r="AH4318" i="2"/>
  <c r="AI4318" i="2"/>
  <c r="AJ4318" i="2"/>
  <c r="AF4319" i="2"/>
  <c r="AK4319" i="2"/>
  <c r="AG4319" i="2"/>
  <c r="AH4319" i="2"/>
  <c r="AI4319" i="2"/>
  <c r="AJ4319" i="2"/>
  <c r="AF4320" i="2"/>
  <c r="AK4320" i="2" s="1"/>
  <c r="AG4320" i="2"/>
  <c r="AL4320" i="2"/>
  <c r="AH4320" i="2"/>
  <c r="AI4320" i="2"/>
  <c r="AJ4320" i="2"/>
  <c r="AF4321" i="2"/>
  <c r="AK4321" i="2" s="1"/>
  <c r="AG4321" i="2"/>
  <c r="AH4321" i="2"/>
  <c r="AI4321" i="2"/>
  <c r="AJ4321" i="2"/>
  <c r="AF4322" i="2"/>
  <c r="AK4322" i="2"/>
  <c r="AG4322" i="2"/>
  <c r="AL4322" i="2" s="1"/>
  <c r="AH4322" i="2"/>
  <c r="AI4322" i="2"/>
  <c r="AJ4322" i="2"/>
  <c r="AF4323" i="2"/>
  <c r="AK4323" i="2" s="1"/>
  <c r="AG4323" i="2"/>
  <c r="AH4323" i="2"/>
  <c r="AL4323" i="2" s="1"/>
  <c r="AI4323" i="2"/>
  <c r="AJ4323" i="2"/>
  <c r="AF4324" i="2"/>
  <c r="AK4324" i="2"/>
  <c r="AG4324" i="2"/>
  <c r="AH4324" i="2"/>
  <c r="AI4324" i="2"/>
  <c r="AJ4324" i="2"/>
  <c r="AF4325" i="2"/>
  <c r="AK4325" i="2"/>
  <c r="AG4325" i="2"/>
  <c r="AH4325" i="2"/>
  <c r="AI4325" i="2"/>
  <c r="AJ4325" i="2"/>
  <c r="AF4326" i="2"/>
  <c r="AK4326" i="2"/>
  <c r="AG4326" i="2"/>
  <c r="AH4326" i="2"/>
  <c r="AI4326" i="2"/>
  <c r="AJ4326" i="2"/>
  <c r="AF4327" i="2"/>
  <c r="AK4327" i="2"/>
  <c r="AG4327" i="2"/>
  <c r="AH4327" i="2"/>
  <c r="AI4327" i="2"/>
  <c r="AJ4327" i="2"/>
  <c r="AF4328" i="2"/>
  <c r="AK4328" i="2"/>
  <c r="AG4328" i="2"/>
  <c r="AH4328" i="2"/>
  <c r="AI4328" i="2"/>
  <c r="AJ4328" i="2"/>
  <c r="AF4329" i="2"/>
  <c r="AK4329" i="2"/>
  <c r="AG4329" i="2"/>
  <c r="AH4329" i="2"/>
  <c r="AI4329" i="2"/>
  <c r="AJ4329" i="2"/>
  <c r="AF4330" i="2"/>
  <c r="AK4330" i="2"/>
  <c r="AG4330" i="2"/>
  <c r="AH4330" i="2"/>
  <c r="AI4330" i="2"/>
  <c r="AJ4330" i="2"/>
  <c r="AF4331" i="2"/>
  <c r="AK4331" i="2"/>
  <c r="AG4331" i="2"/>
  <c r="AH4331" i="2"/>
  <c r="AI4331" i="2"/>
  <c r="AJ4331" i="2"/>
  <c r="AF4332" i="2"/>
  <c r="AK4332" i="2"/>
  <c r="AG4332" i="2"/>
  <c r="AH4332" i="2"/>
  <c r="AI4332" i="2"/>
  <c r="AJ4332" i="2"/>
  <c r="AF4333" i="2"/>
  <c r="AK4333" i="2"/>
  <c r="AG4333" i="2"/>
  <c r="AH4333" i="2"/>
  <c r="AI4333" i="2"/>
  <c r="AJ4333" i="2"/>
  <c r="AF4334" i="2"/>
  <c r="AK4334" i="2"/>
  <c r="AG4334" i="2"/>
  <c r="AH4334" i="2"/>
  <c r="AI4334" i="2"/>
  <c r="AJ4334" i="2"/>
  <c r="AF4335" i="2"/>
  <c r="AK4335" i="2"/>
  <c r="AG4335" i="2"/>
  <c r="AH4335" i="2"/>
  <c r="AI4335" i="2"/>
  <c r="AJ4335" i="2"/>
  <c r="AF4336" i="2"/>
  <c r="AK4336" i="2"/>
  <c r="AG4336" i="2"/>
  <c r="AH4336" i="2"/>
  <c r="AI4336" i="2"/>
  <c r="AJ4336" i="2"/>
  <c r="AF4337" i="2"/>
  <c r="AK4337" i="2"/>
  <c r="AG4337" i="2"/>
  <c r="AH4337" i="2"/>
  <c r="AI4337" i="2"/>
  <c r="AJ4337" i="2"/>
  <c r="AF4338" i="2"/>
  <c r="AK4338" i="2"/>
  <c r="AG4338" i="2"/>
  <c r="AH4338" i="2"/>
  <c r="AI4338" i="2"/>
  <c r="AJ4338" i="2"/>
  <c r="AF4339" i="2"/>
  <c r="AK4339" i="2"/>
  <c r="AG4339" i="2"/>
  <c r="AH4339" i="2"/>
  <c r="AI4339" i="2"/>
  <c r="AJ4339" i="2"/>
  <c r="AF4340" i="2"/>
  <c r="AK4340" i="2"/>
  <c r="AG4340" i="2"/>
  <c r="AH4340" i="2"/>
  <c r="AI4340" i="2"/>
  <c r="AJ4340" i="2"/>
  <c r="AF4341" i="2"/>
  <c r="AK4341" i="2"/>
  <c r="AG4341" i="2"/>
  <c r="AH4341" i="2"/>
  <c r="AI4341" i="2"/>
  <c r="AJ4341" i="2"/>
  <c r="AF4342" i="2"/>
  <c r="AK4342" i="2"/>
  <c r="AG4342" i="2"/>
  <c r="AH4342" i="2"/>
  <c r="AI4342" i="2"/>
  <c r="AJ4342" i="2"/>
  <c r="AF4343" i="2"/>
  <c r="AK4343" i="2"/>
  <c r="AG4343" i="2"/>
  <c r="AH4343" i="2"/>
  <c r="AI4343" i="2"/>
  <c r="AJ4343" i="2"/>
  <c r="AF4344" i="2"/>
  <c r="AK4344" i="2"/>
  <c r="AG4344" i="2"/>
  <c r="AH4344" i="2"/>
  <c r="AI4344" i="2"/>
  <c r="AJ4344" i="2"/>
  <c r="AF4345" i="2"/>
  <c r="AK4345" i="2"/>
  <c r="AG4345" i="2"/>
  <c r="AH4345" i="2"/>
  <c r="AI4345" i="2"/>
  <c r="AJ4345" i="2"/>
  <c r="AF4346" i="2"/>
  <c r="AK4346" i="2"/>
  <c r="AG4346" i="2"/>
  <c r="AH4346" i="2"/>
  <c r="AI4346" i="2"/>
  <c r="AJ4346" i="2"/>
  <c r="AF4347" i="2"/>
  <c r="AK4347" i="2"/>
  <c r="AG4347" i="2"/>
  <c r="AL4347" i="2"/>
  <c r="AH4347" i="2"/>
  <c r="AI4347" i="2"/>
  <c r="AJ4347" i="2"/>
  <c r="AF4348" i="2"/>
  <c r="AK4348" i="2" s="1"/>
  <c r="AG4348" i="2"/>
  <c r="AH4348" i="2"/>
  <c r="AI4348" i="2"/>
  <c r="AJ4348" i="2"/>
  <c r="AF4349" i="2"/>
  <c r="AK4349" i="2"/>
  <c r="AG4349" i="2"/>
  <c r="AH4349" i="2"/>
  <c r="AI4349" i="2"/>
  <c r="AJ4349" i="2"/>
  <c r="AF4350" i="2"/>
  <c r="AK4350" i="2" s="1"/>
  <c r="AG4350" i="2"/>
  <c r="AH4350" i="2"/>
  <c r="AI4350" i="2"/>
  <c r="AJ4350" i="2"/>
  <c r="AF4351" i="2"/>
  <c r="AK4351" i="2"/>
  <c r="AG4351" i="2"/>
  <c r="AH4351" i="2"/>
  <c r="AI4351" i="2"/>
  <c r="AJ4351" i="2"/>
  <c r="AF4352" i="2"/>
  <c r="AK4352" i="2" s="1"/>
  <c r="AG4352" i="2"/>
  <c r="AH4352" i="2"/>
  <c r="AI4352" i="2"/>
  <c r="AJ4352" i="2"/>
  <c r="AF4353" i="2"/>
  <c r="AK4353" i="2"/>
  <c r="AG4353" i="2"/>
  <c r="AH4353" i="2"/>
  <c r="AI4353" i="2"/>
  <c r="AJ4353" i="2"/>
  <c r="AF4354" i="2"/>
  <c r="AK4354" i="2" s="1"/>
  <c r="AG4354" i="2"/>
  <c r="AH4354" i="2"/>
  <c r="AI4354" i="2"/>
  <c r="AJ4354" i="2"/>
  <c r="AF4355" i="2"/>
  <c r="AK4355" i="2"/>
  <c r="AG4355" i="2"/>
  <c r="AH4355" i="2"/>
  <c r="AI4355" i="2"/>
  <c r="AJ4355" i="2"/>
  <c r="AF4356" i="2"/>
  <c r="AK4356" i="2"/>
  <c r="AG4356" i="2"/>
  <c r="AL4356" i="2"/>
  <c r="AH4356" i="2"/>
  <c r="AI4356" i="2"/>
  <c r="AJ4356" i="2"/>
  <c r="AF4357" i="2"/>
  <c r="AK4357" i="2" s="1"/>
  <c r="AG4357" i="2"/>
  <c r="AH4357" i="2"/>
  <c r="AI4357" i="2"/>
  <c r="AJ4357" i="2"/>
  <c r="AF4358" i="2"/>
  <c r="AK4358" i="2"/>
  <c r="AG4358" i="2"/>
  <c r="AH4358" i="2"/>
  <c r="AI4358" i="2"/>
  <c r="AJ4358" i="2"/>
  <c r="AF4359" i="2"/>
  <c r="AK4359" i="2" s="1"/>
  <c r="AG4359" i="2"/>
  <c r="AH4359" i="2"/>
  <c r="AI4359" i="2"/>
  <c r="AJ4359" i="2"/>
  <c r="AF4360" i="2"/>
  <c r="AK4360" i="2"/>
  <c r="AG4360" i="2"/>
  <c r="AH4360" i="2"/>
  <c r="AI4360" i="2"/>
  <c r="AJ4360" i="2"/>
  <c r="AF4361" i="2"/>
  <c r="AK4361" i="2"/>
  <c r="AG4361" i="2"/>
  <c r="AH4361" i="2"/>
  <c r="AI4361" i="2"/>
  <c r="AJ4361" i="2"/>
  <c r="AF4362" i="2"/>
  <c r="AK4362" i="2" s="1"/>
  <c r="AG4362" i="2"/>
  <c r="AH4362" i="2"/>
  <c r="AI4362" i="2"/>
  <c r="AJ4362" i="2"/>
  <c r="AF4363" i="2"/>
  <c r="AK4363" i="2"/>
  <c r="AG4363" i="2"/>
  <c r="AH4363" i="2"/>
  <c r="AI4363" i="2"/>
  <c r="AJ4363" i="2"/>
  <c r="AF4364" i="2"/>
  <c r="AK4364" i="2" s="1"/>
  <c r="AG4364" i="2"/>
  <c r="AH4364" i="2"/>
  <c r="AI4364" i="2"/>
  <c r="AJ4364" i="2"/>
  <c r="AF4365" i="2"/>
  <c r="AK4365" i="2"/>
  <c r="AG4365" i="2"/>
  <c r="AH4365" i="2"/>
  <c r="AI4365" i="2"/>
  <c r="AJ4365" i="2"/>
  <c r="AF4366" i="2"/>
  <c r="AK4366" i="2"/>
  <c r="AG4366" i="2"/>
  <c r="AH4366" i="2"/>
  <c r="AI4366" i="2"/>
  <c r="AJ4366" i="2"/>
  <c r="AF4367" i="2"/>
  <c r="AK4367" i="2"/>
  <c r="AG4367" i="2"/>
  <c r="AH4367" i="2"/>
  <c r="AI4367" i="2"/>
  <c r="AJ4367" i="2"/>
  <c r="AF4368" i="2"/>
  <c r="AK4368" i="2"/>
  <c r="AG4368" i="2"/>
  <c r="AH4368" i="2"/>
  <c r="AI4368" i="2"/>
  <c r="AJ4368" i="2"/>
  <c r="AF4369" i="2"/>
  <c r="AK4369" i="2"/>
  <c r="AG4369" i="2"/>
  <c r="AH4369" i="2"/>
  <c r="AI4369" i="2"/>
  <c r="AJ4369" i="2"/>
  <c r="AF4370" i="2"/>
  <c r="AK4370" i="2"/>
  <c r="AG4370" i="2"/>
  <c r="AH4370" i="2"/>
  <c r="AI4370" i="2"/>
  <c r="AJ4370" i="2"/>
  <c r="AF4371" i="2"/>
  <c r="AK4371" i="2"/>
  <c r="AG4371" i="2"/>
  <c r="AH4371" i="2"/>
  <c r="AI4371" i="2"/>
  <c r="AL4371" i="2" s="1"/>
  <c r="AJ4371" i="2"/>
  <c r="AF4372" i="2"/>
  <c r="AK4372" i="2"/>
  <c r="AG4372" i="2"/>
  <c r="AH4372" i="2"/>
  <c r="AI4372" i="2"/>
  <c r="AJ4372" i="2"/>
  <c r="AL4372" i="2" s="1"/>
  <c r="AF4373" i="2"/>
  <c r="AK4373" i="2"/>
  <c r="AG4373" i="2"/>
  <c r="AL4373" i="2" s="1"/>
  <c r="AH4373" i="2"/>
  <c r="AI4373" i="2"/>
  <c r="AJ4373" i="2"/>
  <c r="AF4374" i="2"/>
  <c r="AK4374" i="2" s="1"/>
  <c r="AG4374" i="2"/>
  <c r="AH4374" i="2"/>
  <c r="AI4374" i="2"/>
  <c r="AJ4374" i="2"/>
  <c r="AF4375" i="2"/>
  <c r="AK4375" i="2"/>
  <c r="AG4375" i="2"/>
  <c r="AH4375" i="2"/>
  <c r="AI4375" i="2"/>
  <c r="AJ4375" i="2"/>
  <c r="AF4376" i="2"/>
  <c r="AK4376" i="2" s="1"/>
  <c r="AG4376" i="2"/>
  <c r="AL4376" i="2" s="1"/>
  <c r="AH4376" i="2"/>
  <c r="AI4376" i="2"/>
  <c r="AJ4376" i="2"/>
  <c r="AF4377" i="2"/>
  <c r="AK4377" i="2" s="1"/>
  <c r="AG4377" i="2"/>
  <c r="AH4377" i="2"/>
  <c r="AI4377" i="2"/>
  <c r="AJ4377" i="2"/>
  <c r="AF4378" i="2"/>
  <c r="AK4378" i="2"/>
  <c r="AG4378" i="2"/>
  <c r="AH4378" i="2"/>
  <c r="AI4378" i="2"/>
  <c r="AJ4378" i="2"/>
  <c r="AF4379" i="2"/>
  <c r="AK4379" i="2" s="1"/>
  <c r="AG4379" i="2"/>
  <c r="AH4379" i="2"/>
  <c r="AI4379" i="2"/>
  <c r="AJ4379" i="2"/>
  <c r="AF4380" i="2"/>
  <c r="AK4380" i="2"/>
  <c r="AG4380" i="2"/>
  <c r="AL4380" i="2" s="1"/>
  <c r="AH4380" i="2"/>
  <c r="AI4380" i="2"/>
  <c r="AJ4380" i="2"/>
  <c r="AF4381" i="2"/>
  <c r="AK4381" i="2" s="1"/>
  <c r="AG4381" i="2"/>
  <c r="AH4381" i="2"/>
  <c r="AI4381" i="2"/>
  <c r="AJ4381" i="2"/>
  <c r="AF4382" i="2"/>
  <c r="AK4382" i="2"/>
  <c r="AG4382" i="2"/>
  <c r="AH4382" i="2"/>
  <c r="AI4382" i="2"/>
  <c r="AJ4382" i="2"/>
  <c r="AF4383" i="2"/>
  <c r="AK4383" i="2" s="1"/>
  <c r="AG4383" i="2"/>
  <c r="AH4383" i="2"/>
  <c r="AL4383" i="2" s="1"/>
  <c r="AI4383" i="2"/>
  <c r="AJ4383" i="2"/>
  <c r="AF4384" i="2"/>
  <c r="AK4384" i="2"/>
  <c r="AG4384" i="2"/>
  <c r="AH4384" i="2"/>
  <c r="AI4384" i="2"/>
  <c r="AJ4384" i="2"/>
  <c r="AF4385" i="2"/>
  <c r="AK4385" i="2"/>
  <c r="AG4385" i="2"/>
  <c r="AH4385" i="2"/>
  <c r="AI4385" i="2"/>
  <c r="AJ4385" i="2"/>
  <c r="AF4386" i="2"/>
  <c r="AK4386" i="2"/>
  <c r="AG4386" i="2"/>
  <c r="AH4386" i="2"/>
  <c r="AI4386" i="2"/>
  <c r="AJ4386" i="2"/>
  <c r="AF4387" i="2"/>
  <c r="AK4387" i="2"/>
  <c r="AG4387" i="2"/>
  <c r="AH4387" i="2"/>
  <c r="AI4387" i="2"/>
  <c r="AJ4387" i="2"/>
  <c r="AF4388" i="2"/>
  <c r="AK4388" i="2"/>
  <c r="AG4388" i="2"/>
  <c r="AH4388" i="2"/>
  <c r="AI4388" i="2"/>
  <c r="AJ4388" i="2"/>
  <c r="AF4389" i="2"/>
  <c r="AK4389" i="2"/>
  <c r="AG4389" i="2"/>
  <c r="AL4389" i="2"/>
  <c r="AH4389" i="2"/>
  <c r="AI4389" i="2"/>
  <c r="AJ4389" i="2"/>
  <c r="AF4390" i="2"/>
  <c r="AK4390" i="2" s="1"/>
  <c r="AL4390" i="2" s="1"/>
  <c r="AG4390" i="2"/>
  <c r="AH4390" i="2"/>
  <c r="AI4390" i="2"/>
  <c r="AJ4390" i="2"/>
  <c r="AF4391" i="2"/>
  <c r="AK4391" i="2" s="1"/>
  <c r="AG4391" i="2"/>
  <c r="AH4391" i="2"/>
  <c r="AI4391" i="2"/>
  <c r="AJ4391" i="2"/>
  <c r="AF4392" i="2"/>
  <c r="AK4392" i="2"/>
  <c r="AG4392" i="2"/>
  <c r="AH4392" i="2"/>
  <c r="AI4392" i="2"/>
  <c r="AJ4392" i="2"/>
  <c r="AF4393" i="2"/>
  <c r="AK4393" i="2" s="1"/>
  <c r="AG4393" i="2"/>
  <c r="AH4393" i="2"/>
  <c r="AI4393" i="2"/>
  <c r="AJ4393" i="2"/>
  <c r="AF4394" i="2"/>
  <c r="AK4394" i="2"/>
  <c r="AG4394" i="2"/>
  <c r="AH4394" i="2"/>
  <c r="AI4394" i="2"/>
  <c r="AJ4394" i="2"/>
  <c r="AF4395" i="2"/>
  <c r="AK4395" i="2" s="1"/>
  <c r="AG4395" i="2"/>
  <c r="AH4395" i="2"/>
  <c r="AI4395" i="2"/>
  <c r="AJ4395" i="2"/>
  <c r="AF4396" i="2"/>
  <c r="AK4396" i="2"/>
  <c r="AG4396" i="2"/>
  <c r="AH4396" i="2"/>
  <c r="AI4396" i="2"/>
  <c r="AJ4396" i="2"/>
  <c r="AF4397" i="2"/>
  <c r="AK4397" i="2" s="1"/>
  <c r="AG4397" i="2"/>
  <c r="AH4397" i="2"/>
  <c r="AI4397" i="2"/>
  <c r="AJ4397" i="2"/>
  <c r="AL4397" i="2" s="1"/>
  <c r="AF4398" i="2"/>
  <c r="AK4398" i="2" s="1"/>
  <c r="AG4398" i="2"/>
  <c r="AH4398" i="2"/>
  <c r="AI4398" i="2"/>
  <c r="AJ4398" i="2"/>
  <c r="AF4399" i="2"/>
  <c r="AK4399" i="2"/>
  <c r="AG4399" i="2"/>
  <c r="AH4399" i="2"/>
  <c r="AI4399" i="2"/>
  <c r="AJ4399" i="2"/>
  <c r="AF4400" i="2"/>
  <c r="AK4400" i="2" s="1"/>
  <c r="AL4400" i="2" s="1"/>
  <c r="AG4400" i="2"/>
  <c r="AH4400" i="2"/>
  <c r="AI4400" i="2"/>
  <c r="AJ4400" i="2"/>
  <c r="AF4401" i="2"/>
  <c r="AK4401" i="2"/>
  <c r="AG4401" i="2"/>
  <c r="AH4401" i="2"/>
  <c r="AI4401" i="2"/>
  <c r="AJ4401" i="2"/>
  <c r="AF4402" i="2"/>
  <c r="AK4402" i="2" s="1"/>
  <c r="AL4402" i="2" s="1"/>
  <c r="AG4402" i="2"/>
  <c r="AH4402" i="2"/>
  <c r="AI4402" i="2"/>
  <c r="AJ4402" i="2"/>
  <c r="AF4403" i="2"/>
  <c r="AK4403" i="2" s="1"/>
  <c r="AG4403" i="2"/>
  <c r="AH4403" i="2"/>
  <c r="AI4403" i="2"/>
  <c r="AJ4403" i="2"/>
  <c r="AF4404" i="2"/>
  <c r="AK4404" i="2"/>
  <c r="AG4404" i="2"/>
  <c r="AH4404" i="2"/>
  <c r="AI4404" i="2"/>
  <c r="AJ4404" i="2"/>
  <c r="AF4405" i="2"/>
  <c r="AK4405" i="2" s="1"/>
  <c r="AG4405" i="2"/>
  <c r="AH4405" i="2"/>
  <c r="AI4405" i="2"/>
  <c r="AJ4405" i="2"/>
  <c r="AF4406" i="2"/>
  <c r="AK4406" i="2" s="1"/>
  <c r="AL4406" i="2" s="1"/>
  <c r="AG4406" i="2"/>
  <c r="AH4406" i="2"/>
  <c r="AI4406" i="2"/>
  <c r="AJ4406" i="2"/>
  <c r="AF4407" i="2"/>
  <c r="AK4407" i="2"/>
  <c r="AG4407" i="2"/>
  <c r="AL4407" i="2" s="1"/>
  <c r="AH4407" i="2"/>
  <c r="AI4407" i="2"/>
  <c r="AJ4407" i="2"/>
  <c r="AF4408" i="2"/>
  <c r="AK4408" i="2" s="1"/>
  <c r="AG4408" i="2"/>
  <c r="AH4408" i="2"/>
  <c r="AL4408" i="2" s="1"/>
  <c r="AI4408" i="2"/>
  <c r="AJ4408" i="2"/>
  <c r="AF4409" i="2"/>
  <c r="AK4409" i="2"/>
  <c r="AG4409" i="2"/>
  <c r="AH4409" i="2"/>
  <c r="AI4409" i="2"/>
  <c r="AJ4409" i="2"/>
  <c r="AF4410" i="2"/>
  <c r="AK4410" i="2" s="1"/>
  <c r="AG4410" i="2"/>
  <c r="AH4410" i="2"/>
  <c r="AI4410" i="2"/>
  <c r="AJ4410" i="2"/>
  <c r="AF4411" i="2"/>
  <c r="AK4411" i="2" s="1"/>
  <c r="AG4411" i="2"/>
  <c r="AL4411" i="2" s="1"/>
  <c r="AH4411" i="2"/>
  <c r="AI4411" i="2"/>
  <c r="AJ4411" i="2"/>
  <c r="AF4412" i="2"/>
  <c r="AK4412" i="2" s="1"/>
  <c r="AL4412" i="2" s="1"/>
  <c r="AG4412" i="2"/>
  <c r="AH4412" i="2"/>
  <c r="AI4412" i="2"/>
  <c r="AJ4412" i="2"/>
  <c r="AF4413" i="2"/>
  <c r="AK4413" i="2" s="1"/>
  <c r="AG4413" i="2"/>
  <c r="AH4413" i="2"/>
  <c r="AI4413" i="2"/>
  <c r="AJ4413" i="2"/>
  <c r="AF4414" i="2"/>
  <c r="AK4414" i="2"/>
  <c r="AG4414" i="2"/>
  <c r="AH4414" i="2"/>
  <c r="AI4414" i="2"/>
  <c r="AJ4414" i="2"/>
  <c r="AF4415" i="2"/>
  <c r="AK4415" i="2" s="1"/>
  <c r="AG4415" i="2"/>
  <c r="AH4415" i="2"/>
  <c r="AI4415" i="2"/>
  <c r="AL4415" i="2" s="1"/>
  <c r="AJ4415" i="2"/>
  <c r="AF4416" i="2"/>
  <c r="AK4416" i="2"/>
  <c r="AG4416" i="2"/>
  <c r="AH4416" i="2"/>
  <c r="AI4416" i="2"/>
  <c r="AJ4416" i="2"/>
  <c r="AF4417" i="2"/>
  <c r="AK4417" i="2"/>
  <c r="AG4417" i="2"/>
  <c r="AH4417" i="2"/>
  <c r="AI4417" i="2"/>
  <c r="AJ4417" i="2"/>
  <c r="AF4418" i="2"/>
  <c r="AK4418" i="2"/>
  <c r="AG4418" i="2"/>
  <c r="AH4418" i="2"/>
  <c r="AI4418" i="2"/>
  <c r="AJ4418" i="2"/>
  <c r="AF4419" i="2"/>
  <c r="AK4419" i="2"/>
  <c r="AG4419" i="2"/>
  <c r="AH4419" i="2"/>
  <c r="AI4419" i="2"/>
  <c r="AJ4419" i="2"/>
  <c r="AF4420" i="2"/>
  <c r="AK4420" i="2"/>
  <c r="AG4420" i="2"/>
  <c r="AH4420" i="2"/>
  <c r="AI4420" i="2"/>
  <c r="AJ4420" i="2"/>
  <c r="AF4421" i="2"/>
  <c r="AK4421" i="2" s="1"/>
  <c r="AG4421" i="2"/>
  <c r="AH4421" i="2"/>
  <c r="AI4421" i="2"/>
  <c r="AJ4421" i="2"/>
  <c r="AL4421" i="2" s="1"/>
  <c r="AF4422" i="2"/>
  <c r="AK4422" i="2"/>
  <c r="AG4422" i="2"/>
  <c r="AL4422" i="2"/>
  <c r="AH4422" i="2"/>
  <c r="AI4422" i="2"/>
  <c r="AJ4422" i="2"/>
  <c r="AF4423" i="2"/>
  <c r="AK4423" i="2" s="1"/>
  <c r="AG4423" i="2"/>
  <c r="AH4423" i="2"/>
  <c r="AI4423" i="2"/>
  <c r="AJ4423" i="2"/>
  <c r="AF4424" i="2"/>
  <c r="AK4424" i="2" s="1"/>
  <c r="AL4424" i="2" s="1"/>
  <c r="AG4424" i="2"/>
  <c r="AH4424" i="2"/>
  <c r="AI4424" i="2"/>
  <c r="AJ4424" i="2"/>
  <c r="AF4425" i="2"/>
  <c r="AK4425" i="2" s="1"/>
  <c r="AG4425" i="2"/>
  <c r="AH4425" i="2"/>
  <c r="AI4425" i="2"/>
  <c r="AJ4425" i="2"/>
  <c r="AF4426" i="2"/>
  <c r="AK4426" i="2" s="1"/>
  <c r="AG4426" i="2"/>
  <c r="AL4426" i="2" s="1"/>
  <c r="AH4426" i="2"/>
  <c r="AI4426" i="2"/>
  <c r="AJ4426" i="2"/>
  <c r="AF4427" i="2"/>
  <c r="AK4427" i="2" s="1"/>
  <c r="AG4427" i="2"/>
  <c r="AH4427" i="2"/>
  <c r="AI4427" i="2"/>
  <c r="AJ4427" i="2"/>
  <c r="AF4428" i="2"/>
  <c r="AK4428" i="2"/>
  <c r="AG4428" i="2"/>
  <c r="AH4428" i="2"/>
  <c r="AI4428" i="2"/>
  <c r="AJ4428" i="2"/>
  <c r="AF4429" i="2"/>
  <c r="AK4429" i="2" s="1"/>
  <c r="AG4429" i="2"/>
  <c r="AH4429" i="2"/>
  <c r="AI4429" i="2"/>
  <c r="AJ4429" i="2"/>
  <c r="AF4430" i="2"/>
  <c r="AK4430" i="2"/>
  <c r="AG4430" i="2"/>
  <c r="AH4430" i="2"/>
  <c r="AI4430" i="2"/>
  <c r="AJ4430" i="2"/>
  <c r="AF4431" i="2"/>
  <c r="AK4431" i="2" s="1"/>
  <c r="AG4431" i="2"/>
  <c r="AH4431" i="2"/>
  <c r="AI4431" i="2"/>
  <c r="AJ4431" i="2"/>
  <c r="AF4432" i="2"/>
  <c r="AK4432" i="2" s="1"/>
  <c r="AG4432" i="2"/>
  <c r="AH4432" i="2"/>
  <c r="AI4432" i="2"/>
  <c r="AJ4432" i="2"/>
  <c r="AL4432" i="2" s="1"/>
  <c r="AF4433" i="2"/>
  <c r="AK4433" i="2"/>
  <c r="AG4433" i="2"/>
  <c r="AH4433" i="2"/>
  <c r="AI4433" i="2"/>
  <c r="AJ4433" i="2"/>
  <c r="AF4434" i="2"/>
  <c r="AK4434" i="2"/>
  <c r="AG4434" i="2"/>
  <c r="AH4434" i="2"/>
  <c r="AI4434" i="2"/>
  <c r="AJ4434" i="2"/>
  <c r="AL4434" i="2" s="1"/>
  <c r="AF4435" i="2"/>
  <c r="AK4435" i="2"/>
  <c r="AG4435" i="2"/>
  <c r="AH4435" i="2"/>
  <c r="AL4435" i="2" s="1"/>
  <c r="AI4435" i="2"/>
  <c r="AJ4435" i="2"/>
  <c r="AF4436" i="2"/>
  <c r="AK4436" i="2" s="1"/>
  <c r="AG4436" i="2"/>
  <c r="AH4436" i="2"/>
  <c r="AI4436" i="2"/>
  <c r="AJ4436" i="2"/>
  <c r="AF4437" i="2"/>
  <c r="AK4437" i="2" s="1"/>
  <c r="AG4437" i="2"/>
  <c r="AH4437" i="2"/>
  <c r="AI4437" i="2"/>
  <c r="AJ4437" i="2"/>
  <c r="AF4438" i="2"/>
  <c r="AK4438" i="2"/>
  <c r="AG4438" i="2"/>
  <c r="AL4438" i="2" s="1"/>
  <c r="AH4438" i="2"/>
  <c r="AI4438" i="2"/>
  <c r="AJ4438" i="2"/>
  <c r="AF4439" i="2"/>
  <c r="AK4439" i="2" s="1"/>
  <c r="AG4439" i="2"/>
  <c r="AH4439" i="2"/>
  <c r="AI4439" i="2"/>
  <c r="AJ4439" i="2"/>
  <c r="AF4440" i="2"/>
  <c r="AK4440" i="2" s="1"/>
  <c r="AL4440" i="2" s="1"/>
  <c r="AG4440" i="2"/>
  <c r="AH4440" i="2"/>
  <c r="AI4440" i="2"/>
  <c r="AJ4440" i="2"/>
  <c r="AF4441" i="2"/>
  <c r="AK4441" i="2" s="1"/>
  <c r="AG4441" i="2"/>
  <c r="AH4441" i="2"/>
  <c r="AI4441" i="2"/>
  <c r="AJ4441" i="2"/>
  <c r="AF4442" i="2"/>
  <c r="AK4442" i="2"/>
  <c r="AG4442" i="2"/>
  <c r="AH4442" i="2"/>
  <c r="AI4442" i="2"/>
  <c r="AJ4442" i="2"/>
  <c r="AF4443" i="2"/>
  <c r="AK4443" i="2" s="1"/>
  <c r="AG4443" i="2"/>
  <c r="AH4443" i="2"/>
  <c r="AI4443" i="2"/>
  <c r="AJ4443" i="2"/>
  <c r="AF4444" i="2"/>
  <c r="AK4444" i="2" s="1"/>
  <c r="AG4444" i="2"/>
  <c r="AL4444" i="2" s="1"/>
  <c r="AH4444" i="2"/>
  <c r="AI4444" i="2"/>
  <c r="AJ4444" i="2"/>
  <c r="AF4445" i="2"/>
  <c r="AK4445" i="2"/>
  <c r="AG4445" i="2"/>
  <c r="AH4445" i="2"/>
  <c r="AI4445" i="2"/>
  <c r="AJ4445" i="2"/>
  <c r="AF4446" i="2"/>
  <c r="AK4446" i="2" s="1"/>
  <c r="AL4446" i="2" s="1"/>
  <c r="AG4446" i="2"/>
  <c r="AH4446" i="2"/>
  <c r="AI4446" i="2"/>
  <c r="AJ4446" i="2"/>
  <c r="AF4447" i="2"/>
  <c r="AK4447" i="2"/>
  <c r="AG4447" i="2"/>
  <c r="AH4447" i="2"/>
  <c r="AI4447" i="2"/>
  <c r="AJ4447" i="2"/>
  <c r="AF4448" i="2"/>
  <c r="AK4448" i="2" s="1"/>
  <c r="AG4448" i="2"/>
  <c r="AL4448" i="2" s="1"/>
  <c r="AH4448" i="2"/>
  <c r="AI4448" i="2"/>
  <c r="AJ4448" i="2"/>
  <c r="AF4449" i="2"/>
  <c r="AK4449" i="2" s="1"/>
  <c r="AG4449" i="2"/>
  <c r="AH4449" i="2"/>
  <c r="AI4449" i="2"/>
  <c r="AJ4449" i="2"/>
  <c r="AF4450" i="2"/>
  <c r="AK4450" i="2" s="1"/>
  <c r="AG4450" i="2"/>
  <c r="AL4450" i="2"/>
  <c r="AH4450" i="2"/>
  <c r="AI4450" i="2"/>
  <c r="AJ4450" i="2"/>
  <c r="AF4451" i="2"/>
  <c r="AK4451" i="2" s="1"/>
  <c r="AG4451" i="2"/>
  <c r="AH4451" i="2"/>
  <c r="AI4451" i="2"/>
  <c r="AJ4451" i="2"/>
  <c r="AF4452" i="2"/>
  <c r="AK4452" i="2"/>
  <c r="AG4452" i="2"/>
  <c r="AH4452" i="2"/>
  <c r="AI4452" i="2"/>
  <c r="AJ4452" i="2"/>
  <c r="AF4453" i="2"/>
  <c r="AK4453" i="2" s="1"/>
  <c r="AG4453" i="2"/>
  <c r="AH4453" i="2"/>
  <c r="AI4453" i="2"/>
  <c r="AJ4453" i="2"/>
  <c r="AF4454" i="2"/>
  <c r="AK4454" i="2" s="1"/>
  <c r="AG4454" i="2"/>
  <c r="AL4454" i="2" s="1"/>
  <c r="AH4454" i="2"/>
  <c r="AI4454" i="2"/>
  <c r="AJ4454" i="2"/>
  <c r="AF4455" i="2"/>
  <c r="AK4455" i="2" s="1"/>
  <c r="AL4455" i="2" s="1"/>
  <c r="AG4455" i="2"/>
  <c r="AH4455" i="2"/>
  <c r="AI4455" i="2"/>
  <c r="AJ4455" i="2"/>
  <c r="AF4456" i="2"/>
  <c r="AK4456" i="2" s="1"/>
  <c r="AG4456" i="2"/>
  <c r="AH4456" i="2"/>
  <c r="AI4456" i="2"/>
  <c r="AJ4456" i="2"/>
  <c r="AF4457" i="2"/>
  <c r="AK4457" i="2" s="1"/>
  <c r="AG4457" i="2"/>
  <c r="AH4457" i="2"/>
  <c r="AI4457" i="2"/>
  <c r="AJ4457" i="2"/>
  <c r="AL4457" i="2"/>
  <c r="AF4458" i="2"/>
  <c r="AK4458" i="2" s="1"/>
  <c r="AG4458" i="2"/>
  <c r="AH4458" i="2"/>
  <c r="AI4458" i="2"/>
  <c r="AJ4458" i="2"/>
  <c r="AF4459" i="2"/>
  <c r="AK4459" i="2" s="1"/>
  <c r="AG4459" i="2"/>
  <c r="AH4459" i="2"/>
  <c r="AI4459" i="2"/>
  <c r="AL4459" i="2" s="1"/>
  <c r="AJ4459" i="2"/>
  <c r="AF4460" i="2"/>
  <c r="AK4460" i="2" s="1"/>
  <c r="AG4460" i="2"/>
  <c r="AH4460" i="2"/>
  <c r="AL4460" i="2" s="1"/>
  <c r="AI4460" i="2"/>
  <c r="AJ4460" i="2"/>
  <c r="AF4461" i="2"/>
  <c r="AK4461" i="2" s="1"/>
  <c r="AG4461" i="2"/>
  <c r="AH4461" i="2"/>
  <c r="AI4461" i="2"/>
  <c r="AJ4461" i="2"/>
  <c r="AF4462" i="2"/>
  <c r="AK4462" i="2"/>
  <c r="AG4462" i="2"/>
  <c r="AH4462" i="2"/>
  <c r="AI4462" i="2"/>
  <c r="AJ4462" i="2"/>
  <c r="AL4462" i="2"/>
  <c r="AF4463" i="2"/>
  <c r="AK4463" i="2" s="1"/>
  <c r="AG4463" i="2"/>
  <c r="AH4463" i="2"/>
  <c r="AL4463" i="2" s="1"/>
  <c r="AI4463" i="2"/>
  <c r="AJ4463" i="2"/>
  <c r="AF4464" i="2"/>
  <c r="AK4464" i="2"/>
  <c r="AG4464" i="2"/>
  <c r="AH4464" i="2"/>
  <c r="AI4464" i="2"/>
  <c r="AL4464" i="2" s="1"/>
  <c r="AJ4464" i="2"/>
  <c r="AF4465" i="2"/>
  <c r="AK4465" i="2" s="1"/>
  <c r="AG4465" i="2"/>
  <c r="AH4465" i="2"/>
  <c r="AI4465" i="2"/>
  <c r="AJ4465" i="2"/>
  <c r="AL4465" i="2"/>
  <c r="AF4466" i="2"/>
  <c r="AK4466" i="2"/>
  <c r="AG4466" i="2"/>
  <c r="AH4466" i="2"/>
  <c r="AI4466" i="2"/>
  <c r="AJ4466" i="2"/>
  <c r="AF4467" i="2"/>
  <c r="AK4467" i="2"/>
  <c r="AG4467" i="2"/>
  <c r="AH4467" i="2"/>
  <c r="AI4467" i="2"/>
  <c r="AJ4467" i="2"/>
  <c r="AF4468" i="2"/>
  <c r="AK4468" i="2" s="1"/>
  <c r="AG4468" i="2"/>
  <c r="AH4468" i="2"/>
  <c r="AI4468" i="2"/>
  <c r="AJ4468" i="2"/>
  <c r="AF4469" i="2"/>
  <c r="AK4469" i="2"/>
  <c r="AG4469" i="2"/>
  <c r="AH4469" i="2"/>
  <c r="AL4469" i="2" s="1"/>
  <c r="AI4469" i="2"/>
  <c r="AJ4469" i="2"/>
  <c r="AF4470" i="2"/>
  <c r="AK4470" i="2"/>
  <c r="AG4470" i="2"/>
  <c r="AH4470" i="2"/>
  <c r="AI4470" i="2"/>
  <c r="AJ4470" i="2"/>
  <c r="AL4470" i="2" s="1"/>
  <c r="AF4471" i="2"/>
  <c r="AK4471" i="2"/>
  <c r="AG4471" i="2"/>
  <c r="AL4471" i="2"/>
  <c r="AH4471" i="2"/>
  <c r="AI4471" i="2"/>
  <c r="AJ4471" i="2"/>
  <c r="AF4472" i="2"/>
  <c r="AK4472" i="2" s="1"/>
  <c r="AG4472" i="2"/>
  <c r="AH4472" i="2"/>
  <c r="AI4472" i="2"/>
  <c r="AJ4472" i="2"/>
  <c r="AF4473" i="2"/>
  <c r="AK4473" i="2" s="1"/>
  <c r="AG4473" i="2"/>
  <c r="AL4473" i="2" s="1"/>
  <c r="AH4473" i="2"/>
  <c r="AI4473" i="2"/>
  <c r="AJ4473" i="2"/>
  <c r="AF4474" i="2"/>
  <c r="AK4474" i="2" s="1"/>
  <c r="AG4474" i="2"/>
  <c r="AH4474" i="2"/>
  <c r="AI4474" i="2"/>
  <c r="AJ4474" i="2"/>
  <c r="AF4475" i="2"/>
  <c r="AK4475" i="2"/>
  <c r="AG4475" i="2"/>
  <c r="AH4475" i="2"/>
  <c r="AI4475" i="2"/>
  <c r="AJ4475" i="2"/>
  <c r="AF4476" i="2"/>
  <c r="AK4476" i="2" s="1"/>
  <c r="AG4476" i="2"/>
  <c r="AH4476" i="2"/>
  <c r="AI4476" i="2"/>
  <c r="AJ4476" i="2"/>
  <c r="AF4477" i="2"/>
  <c r="AK4477" i="2"/>
  <c r="AG4477" i="2"/>
  <c r="AH4477" i="2"/>
  <c r="AI4477" i="2"/>
  <c r="AL4477" i="2"/>
  <c r="AJ4477" i="2"/>
  <c r="AF4478" i="2"/>
  <c r="AK4478" i="2" s="1"/>
  <c r="AG4478" i="2"/>
  <c r="AH4478" i="2"/>
  <c r="AI4478" i="2"/>
  <c r="AJ4478" i="2"/>
  <c r="AF4479" i="2"/>
  <c r="AK4479" i="2" s="1"/>
  <c r="AG4479" i="2"/>
  <c r="AH4479" i="2"/>
  <c r="AI4479" i="2"/>
  <c r="AJ4479" i="2"/>
  <c r="AF4480" i="2"/>
  <c r="AK4480" i="2"/>
  <c r="AG4480" i="2"/>
  <c r="AH4480" i="2"/>
  <c r="AI4480" i="2"/>
  <c r="AJ4480" i="2"/>
  <c r="AF4481" i="2"/>
  <c r="AK4481" i="2"/>
  <c r="AG4481" i="2"/>
  <c r="AH4481" i="2"/>
  <c r="AI4481" i="2"/>
  <c r="AJ4481" i="2"/>
  <c r="AF4482" i="2"/>
  <c r="AK4482" i="2"/>
  <c r="AG4482" i="2"/>
  <c r="AH4482" i="2"/>
  <c r="AI4482" i="2"/>
  <c r="AJ4482" i="2"/>
  <c r="AF4483" i="2"/>
  <c r="AK4483" i="2"/>
  <c r="AG4483" i="2"/>
  <c r="AH4483" i="2"/>
  <c r="AI4483" i="2"/>
  <c r="AJ4483" i="2"/>
  <c r="AF4484" i="2"/>
  <c r="AK4484" i="2" s="1"/>
  <c r="AG4484" i="2"/>
  <c r="AH4484" i="2"/>
  <c r="AL4484" i="2" s="1"/>
  <c r="AI4484" i="2"/>
  <c r="AJ4484" i="2"/>
  <c r="AF4485" i="2"/>
  <c r="AK4485" i="2" s="1"/>
  <c r="AL4485" i="2" s="1"/>
  <c r="AG4485" i="2"/>
  <c r="AH4485" i="2"/>
  <c r="AI4485" i="2"/>
  <c r="AJ4485" i="2"/>
  <c r="AF4486" i="2"/>
  <c r="AK4486" i="2"/>
  <c r="AG4486" i="2"/>
  <c r="AH4486" i="2"/>
  <c r="AI4486" i="2"/>
  <c r="AJ4486" i="2"/>
  <c r="AF4487" i="2"/>
  <c r="AK4487" i="2" s="1"/>
  <c r="AG4487" i="2"/>
  <c r="AH4487" i="2"/>
  <c r="AI4487" i="2"/>
  <c r="AJ4487" i="2"/>
  <c r="AF4488" i="2"/>
  <c r="AK4488" i="2"/>
  <c r="AG4488" i="2"/>
  <c r="AH4488" i="2"/>
  <c r="AI4488" i="2"/>
  <c r="AJ4488" i="2"/>
  <c r="AL4488" i="2" s="1"/>
  <c r="AF4489" i="2"/>
  <c r="AK4489" i="2" s="1"/>
  <c r="AG4489" i="2"/>
  <c r="AH4489" i="2"/>
  <c r="AI4489" i="2"/>
  <c r="AJ4489" i="2"/>
  <c r="AF4490" i="2"/>
  <c r="AK4490" i="2" s="1"/>
  <c r="AG4490" i="2"/>
  <c r="AH4490" i="2"/>
  <c r="AI4490" i="2"/>
  <c r="AJ4490" i="2"/>
  <c r="AF4491" i="2"/>
  <c r="AK4491" i="2"/>
  <c r="AG4491" i="2"/>
  <c r="AL4491" i="2" s="1"/>
  <c r="AH4491" i="2"/>
  <c r="AI4491" i="2"/>
  <c r="AJ4491" i="2"/>
  <c r="AF4492" i="2"/>
  <c r="AK4492" i="2" s="1"/>
  <c r="AG4492" i="2"/>
  <c r="AL4492" i="2" s="1"/>
  <c r="AH4492" i="2"/>
  <c r="AI4492" i="2"/>
  <c r="AJ4492" i="2"/>
  <c r="AF4493" i="2"/>
  <c r="AK4493" i="2" s="1"/>
  <c r="AL4493" i="2" s="1"/>
  <c r="AG4493" i="2"/>
  <c r="AH4493" i="2"/>
  <c r="AI4493" i="2"/>
  <c r="AJ4493" i="2"/>
  <c r="AF4494" i="2"/>
  <c r="AK4494" i="2"/>
  <c r="AG4494" i="2"/>
  <c r="AH4494" i="2"/>
  <c r="AI4494" i="2"/>
  <c r="AJ4494" i="2"/>
  <c r="AF4495" i="2"/>
  <c r="AK4495" i="2" s="1"/>
  <c r="AG4495" i="2"/>
  <c r="AH4495" i="2"/>
  <c r="AI4495" i="2"/>
  <c r="AJ4495" i="2"/>
  <c r="AF4496" i="2"/>
  <c r="AK4496" i="2"/>
  <c r="AG4496" i="2"/>
  <c r="AH4496" i="2"/>
  <c r="AI4496" i="2"/>
  <c r="AJ4496" i="2"/>
  <c r="AF4497" i="2"/>
  <c r="AK4497" i="2" s="1"/>
  <c r="AG4497" i="2"/>
  <c r="AH4497" i="2"/>
  <c r="AI4497" i="2"/>
  <c r="AJ4497" i="2"/>
  <c r="AF4498" i="2"/>
  <c r="AK4498" i="2"/>
  <c r="AG4498" i="2"/>
  <c r="AH4498" i="2"/>
  <c r="AI4498" i="2"/>
  <c r="AJ4498" i="2"/>
  <c r="AF4499" i="2"/>
  <c r="AK4499" i="2"/>
  <c r="AG4499" i="2"/>
  <c r="AL4499" i="2" s="1"/>
  <c r="AH4499" i="2"/>
  <c r="AI4499" i="2"/>
  <c r="AJ4499" i="2"/>
  <c r="AF4500" i="2"/>
  <c r="AK4500" i="2" s="1"/>
  <c r="AG4500" i="2"/>
  <c r="AH4500" i="2"/>
  <c r="AI4500" i="2"/>
  <c r="AJ4500" i="2"/>
  <c r="AF4501" i="2"/>
  <c r="AK4501" i="2"/>
  <c r="AG4501" i="2"/>
  <c r="AH4501" i="2"/>
  <c r="AI4501" i="2"/>
  <c r="AJ4501" i="2"/>
  <c r="AF4502" i="2"/>
  <c r="AK4502" i="2" s="1"/>
  <c r="AG4502" i="2"/>
  <c r="AH4502" i="2"/>
  <c r="AI4502" i="2"/>
  <c r="AJ4502" i="2"/>
  <c r="AL4502" i="2" s="1"/>
  <c r="AF4503" i="2"/>
  <c r="AK4503" i="2"/>
  <c r="AG4503" i="2"/>
  <c r="AH4503" i="2"/>
  <c r="AI4503" i="2"/>
  <c r="AJ4503" i="2"/>
  <c r="AF4504" i="2"/>
  <c r="AK4504" i="2"/>
  <c r="AG4504" i="2"/>
  <c r="AH4504" i="2"/>
  <c r="AI4504" i="2"/>
  <c r="AJ4504" i="2"/>
  <c r="AF4505" i="2"/>
  <c r="AK4505" i="2"/>
  <c r="AG4505" i="2"/>
  <c r="AH4505" i="2"/>
  <c r="AI4505" i="2"/>
  <c r="AJ4505" i="2"/>
  <c r="AF4506" i="2"/>
  <c r="AK4506" i="2"/>
  <c r="AG4506" i="2"/>
  <c r="AH4506" i="2"/>
  <c r="AI4506" i="2"/>
  <c r="AJ4506" i="2"/>
  <c r="AF4507" i="2"/>
  <c r="AK4507" i="2" s="1"/>
  <c r="AG4507" i="2"/>
  <c r="AH4507" i="2"/>
  <c r="AI4507" i="2"/>
  <c r="AJ4507" i="2"/>
  <c r="AF4508" i="2"/>
  <c r="AK4508" i="2"/>
  <c r="AG4508" i="2"/>
  <c r="AH4508" i="2"/>
  <c r="AI4508" i="2"/>
  <c r="AJ4508" i="2"/>
  <c r="AF4509" i="2"/>
  <c r="AK4509" i="2"/>
  <c r="AG4509" i="2"/>
  <c r="AH4509" i="2"/>
  <c r="AI4509" i="2"/>
  <c r="AJ4509" i="2"/>
  <c r="AF4510" i="2"/>
  <c r="AK4510" i="2" s="1"/>
  <c r="AG4510" i="2"/>
  <c r="AL4510" i="2" s="1"/>
  <c r="AH4510" i="2"/>
  <c r="AI4510" i="2"/>
  <c r="AJ4510" i="2"/>
  <c r="AF4511" i="2"/>
  <c r="AK4511" i="2"/>
  <c r="AG4511" i="2"/>
  <c r="AH4511" i="2"/>
  <c r="AL4511" i="2" s="1"/>
  <c r="AI4511" i="2"/>
  <c r="AJ4511" i="2"/>
  <c r="AF4512" i="2"/>
  <c r="AK4512" i="2" s="1"/>
  <c r="AL4512" i="2" s="1"/>
  <c r="AG4512" i="2"/>
  <c r="AH4512" i="2"/>
  <c r="AI4512" i="2"/>
  <c r="AJ4512" i="2"/>
  <c r="AF4513" i="2"/>
  <c r="AK4513" i="2" s="1"/>
  <c r="AG4513" i="2"/>
  <c r="AL4513" i="2" s="1"/>
  <c r="AH4513" i="2"/>
  <c r="AI4513" i="2"/>
  <c r="AJ4513" i="2"/>
  <c r="AF4514" i="2"/>
  <c r="AK4514" i="2" s="1"/>
  <c r="AL4514" i="2" s="1"/>
  <c r="AG4514" i="2"/>
  <c r="AH4514" i="2"/>
  <c r="AI4514" i="2"/>
  <c r="AJ4514" i="2"/>
  <c r="AF4515" i="2"/>
  <c r="AK4515" i="2"/>
  <c r="AG4515" i="2"/>
  <c r="AH4515" i="2"/>
  <c r="AI4515" i="2"/>
  <c r="AJ4515" i="2"/>
  <c r="AF4516" i="2"/>
  <c r="AK4516" i="2" s="1"/>
  <c r="AG4516" i="2"/>
  <c r="AH4516" i="2"/>
  <c r="AI4516" i="2"/>
  <c r="AJ4516" i="2"/>
  <c r="AF4517" i="2"/>
  <c r="AK4517" i="2" s="1"/>
  <c r="AG4517" i="2"/>
  <c r="AL4517" i="2" s="1"/>
  <c r="AH4517" i="2"/>
  <c r="AI4517" i="2"/>
  <c r="AJ4517" i="2"/>
  <c r="AF4518" i="2"/>
  <c r="AK4518" i="2"/>
  <c r="AG4518" i="2"/>
  <c r="AH4518" i="2"/>
  <c r="AI4518" i="2"/>
  <c r="AJ4518" i="2"/>
  <c r="AF4519" i="2"/>
  <c r="AK4519" i="2"/>
  <c r="AG4519" i="2"/>
  <c r="AH4519" i="2"/>
  <c r="AI4519" i="2"/>
  <c r="AJ4519" i="2"/>
  <c r="AF4520" i="2"/>
  <c r="AK4520" i="2"/>
  <c r="AG4520" i="2"/>
  <c r="AH4520" i="2"/>
  <c r="AI4520" i="2"/>
  <c r="AJ4520" i="2"/>
  <c r="AF4521" i="2"/>
  <c r="AK4521" i="2"/>
  <c r="AG4521" i="2"/>
  <c r="AH4521" i="2"/>
  <c r="AI4521" i="2"/>
  <c r="AJ4521" i="2"/>
  <c r="AF4522" i="2"/>
  <c r="AK4522" i="2" s="1"/>
  <c r="AL4522" i="2" s="1"/>
  <c r="AG4522" i="2"/>
  <c r="AH4522" i="2"/>
  <c r="AI4522" i="2"/>
  <c r="AJ4522" i="2"/>
  <c r="AF4523" i="2"/>
  <c r="AK4523" i="2" s="1"/>
  <c r="AG4523" i="2"/>
  <c r="AH4523" i="2"/>
  <c r="AL4523" i="2" s="1"/>
  <c r="AI4523" i="2"/>
  <c r="AJ4523" i="2"/>
  <c r="AF4524" i="2"/>
  <c r="AK4524" i="2" s="1"/>
  <c r="AG4524" i="2"/>
  <c r="AH4524" i="2"/>
  <c r="AI4524" i="2"/>
  <c r="AJ4524" i="2"/>
  <c r="AF4525" i="2"/>
  <c r="AK4525" i="2"/>
  <c r="AG4525" i="2"/>
  <c r="AH4525" i="2"/>
  <c r="AI4525" i="2"/>
  <c r="AJ4525" i="2"/>
  <c r="AF4526" i="2"/>
  <c r="AK4526" i="2" s="1"/>
  <c r="AG4526" i="2"/>
  <c r="AH4526" i="2"/>
  <c r="AI4526" i="2"/>
  <c r="AJ4526" i="2"/>
  <c r="AF4527" i="2"/>
  <c r="AK4527" i="2" s="1"/>
  <c r="AG4527" i="2"/>
  <c r="AL4527" i="2" s="1"/>
  <c r="AH4527" i="2"/>
  <c r="AI4527" i="2"/>
  <c r="AJ4527" i="2"/>
  <c r="AF4528" i="2"/>
  <c r="AK4528" i="2"/>
  <c r="AG4528" i="2"/>
  <c r="AH4528" i="2"/>
  <c r="AI4528" i="2"/>
  <c r="AJ4528" i="2"/>
  <c r="AL4528" i="2" s="1"/>
  <c r="AF4529" i="2"/>
  <c r="AK4529" i="2"/>
  <c r="AG4529" i="2"/>
  <c r="AH4529" i="2"/>
  <c r="AL4529" i="2" s="1"/>
  <c r="AI4529" i="2"/>
  <c r="AJ4529" i="2"/>
  <c r="AF4530" i="2"/>
  <c r="AK4530" i="2"/>
  <c r="AG4530" i="2"/>
  <c r="AH4530" i="2"/>
  <c r="AI4530" i="2"/>
  <c r="AJ4530" i="2"/>
  <c r="AF4531" i="2"/>
  <c r="AK4531" i="2" s="1"/>
  <c r="AG4531" i="2"/>
  <c r="AH4531" i="2"/>
  <c r="AL4531" i="2" s="1"/>
  <c r="AI4531" i="2"/>
  <c r="AJ4531" i="2"/>
  <c r="AF4532" i="2"/>
  <c r="AK4532" i="2" s="1"/>
  <c r="AL4532" i="2" s="1"/>
  <c r="AG4532" i="2"/>
  <c r="AH4532" i="2"/>
  <c r="AI4532" i="2"/>
  <c r="AJ4532" i="2"/>
  <c r="AF4533" i="2"/>
  <c r="AK4533" i="2"/>
  <c r="AG4533" i="2"/>
  <c r="AH4533" i="2"/>
  <c r="AI4533" i="2"/>
  <c r="AJ4533" i="2"/>
  <c r="AF4534" i="2"/>
  <c r="AK4534" i="2" s="1"/>
  <c r="AG4534" i="2"/>
  <c r="AH4534" i="2"/>
  <c r="AI4534" i="2"/>
  <c r="AJ4534" i="2"/>
  <c r="AF4535" i="2"/>
  <c r="AK4535" i="2"/>
  <c r="AG4535" i="2"/>
  <c r="AH4535" i="2"/>
  <c r="AI4535" i="2"/>
  <c r="AJ4535" i="2"/>
  <c r="AF4536" i="2"/>
  <c r="AK4536" i="2"/>
  <c r="AG4536" i="2"/>
  <c r="AH4536" i="2"/>
  <c r="AI4536" i="2"/>
  <c r="AL4536" i="2"/>
  <c r="AJ4536" i="2"/>
  <c r="AF4537" i="2"/>
  <c r="AK4537" i="2"/>
  <c r="AG4537" i="2"/>
  <c r="AH4537" i="2"/>
  <c r="AI4537" i="2"/>
  <c r="AJ4537" i="2"/>
  <c r="AF4538" i="2"/>
  <c r="AK4538" i="2" s="1"/>
  <c r="AG4538" i="2"/>
  <c r="AH4538" i="2"/>
  <c r="AL4538" i="2" s="1"/>
  <c r="AI4538" i="2"/>
  <c r="AJ4538" i="2"/>
  <c r="AF4539" i="2"/>
  <c r="AK4539" i="2"/>
  <c r="AG4539" i="2"/>
  <c r="AH4539" i="2"/>
  <c r="AI4539" i="2"/>
  <c r="AJ4539" i="2"/>
  <c r="AF4540" i="2"/>
  <c r="AK4540" i="2"/>
  <c r="AG4540" i="2"/>
  <c r="AH4540" i="2"/>
  <c r="AI4540" i="2"/>
  <c r="AJ4540" i="2"/>
  <c r="AF4541" i="2"/>
  <c r="AK4541" i="2" s="1"/>
  <c r="AG4541" i="2"/>
  <c r="AH4541" i="2"/>
  <c r="AI4541" i="2"/>
  <c r="AJ4541" i="2"/>
  <c r="AF4542" i="2"/>
  <c r="AK4542" i="2"/>
  <c r="AG4542" i="2"/>
  <c r="AH4542" i="2"/>
  <c r="AI4542" i="2"/>
  <c r="AJ4542" i="2"/>
  <c r="AF4543" i="2"/>
  <c r="AK4543" i="2"/>
  <c r="AG4543" i="2"/>
  <c r="AL4543" i="2" s="1"/>
  <c r="AH4543" i="2"/>
  <c r="AI4543" i="2"/>
  <c r="AJ4543" i="2"/>
  <c r="AF4544" i="2"/>
  <c r="AK4544" i="2" s="1"/>
  <c r="AG4544" i="2"/>
  <c r="AH4544" i="2"/>
  <c r="AI4544" i="2"/>
  <c r="AJ4544" i="2"/>
  <c r="AF4545" i="2"/>
  <c r="AK4545" i="2" s="1"/>
  <c r="AG4545" i="2"/>
  <c r="AH4545" i="2"/>
  <c r="AI4545" i="2"/>
  <c r="AJ4545" i="2"/>
  <c r="AF4546" i="2"/>
  <c r="AK4546" i="2" s="1"/>
  <c r="AG4546" i="2"/>
  <c r="AL4546" i="2" s="1"/>
  <c r="AH4546" i="2"/>
  <c r="AI4546" i="2"/>
  <c r="AJ4546" i="2"/>
  <c r="AF4547" i="2"/>
  <c r="AK4547" i="2" s="1"/>
  <c r="AL4547" i="2" s="1"/>
  <c r="AG4547" i="2"/>
  <c r="AH4547" i="2"/>
  <c r="AI4547" i="2"/>
  <c r="AJ4547" i="2"/>
  <c r="AF4548" i="2"/>
  <c r="AK4548" i="2"/>
  <c r="AG4548" i="2"/>
  <c r="AH4548" i="2"/>
  <c r="AI4548" i="2"/>
  <c r="AJ4548" i="2"/>
  <c r="AF4549" i="2"/>
  <c r="AK4549" i="2" s="1"/>
  <c r="AG4549" i="2"/>
  <c r="AH4549" i="2"/>
  <c r="AI4549" i="2"/>
  <c r="AJ4549" i="2"/>
  <c r="AF4550" i="2"/>
  <c r="AK4550" i="2" s="1"/>
  <c r="AG4550" i="2"/>
  <c r="AH4550" i="2"/>
  <c r="AI4550" i="2"/>
  <c r="AJ4550" i="2"/>
  <c r="AF4551" i="2"/>
  <c r="AK4551" i="2" s="1"/>
  <c r="AG4551" i="2"/>
  <c r="AH4551" i="2"/>
  <c r="AI4551" i="2"/>
  <c r="AJ4551" i="2"/>
  <c r="AF4552" i="2"/>
  <c r="AK4552" i="2"/>
  <c r="AG4552" i="2"/>
  <c r="AH4552" i="2"/>
  <c r="AI4552" i="2"/>
  <c r="AJ4552" i="2"/>
  <c r="AF4553" i="2"/>
  <c r="AK4553" i="2" s="1"/>
  <c r="AG4553" i="2"/>
  <c r="AH4553" i="2"/>
  <c r="AI4553" i="2"/>
  <c r="AJ4553" i="2"/>
  <c r="AF4554" i="2"/>
  <c r="AK4554" i="2" s="1"/>
  <c r="AL4554" i="2" s="1"/>
  <c r="AG4554" i="2"/>
  <c r="AH4554" i="2"/>
  <c r="AI4554" i="2"/>
  <c r="AJ4554" i="2"/>
  <c r="AF4555" i="2"/>
  <c r="AK4555" i="2" s="1"/>
  <c r="AG4555" i="2"/>
  <c r="AH4555" i="2"/>
  <c r="AI4555" i="2"/>
  <c r="AJ4555" i="2"/>
  <c r="AF4556" i="2"/>
  <c r="AK4556" i="2"/>
  <c r="AG4556" i="2"/>
  <c r="AH4556" i="2"/>
  <c r="AI4556" i="2"/>
  <c r="AJ4556" i="2"/>
  <c r="AF4557" i="2"/>
  <c r="AK4557" i="2" s="1"/>
  <c r="AG4557" i="2"/>
  <c r="AH4557" i="2"/>
  <c r="AI4557" i="2"/>
  <c r="AJ4557" i="2"/>
  <c r="AF4558" i="2"/>
  <c r="AK4558" i="2"/>
  <c r="AG4558" i="2"/>
  <c r="AH4558" i="2"/>
  <c r="AL4558" i="2" s="1"/>
  <c r="AI4558" i="2"/>
  <c r="AJ4558" i="2"/>
  <c r="AF4559" i="2"/>
  <c r="AK4559" i="2"/>
  <c r="AG4559" i="2"/>
  <c r="AH4559" i="2"/>
  <c r="AI4559" i="2"/>
  <c r="AJ4559" i="2"/>
  <c r="AF4560" i="2"/>
  <c r="AK4560" i="2" s="1"/>
  <c r="AG4560" i="2"/>
  <c r="AL4560" i="2" s="1"/>
  <c r="AH4560" i="2"/>
  <c r="AI4560" i="2"/>
  <c r="AJ4560" i="2"/>
  <c r="AF4561" i="2"/>
  <c r="AK4561" i="2" s="1"/>
  <c r="AG4561" i="2"/>
  <c r="AH4561" i="2"/>
  <c r="AL4561" i="2" s="1"/>
  <c r="AI4561" i="2"/>
  <c r="AJ4561" i="2"/>
  <c r="AF4562" i="2"/>
  <c r="AK4562" i="2"/>
  <c r="AG4562" i="2"/>
  <c r="AH4562" i="2"/>
  <c r="AI4562" i="2"/>
  <c r="AJ4562" i="2"/>
  <c r="AF4563" i="2"/>
  <c r="AK4563" i="2"/>
  <c r="AG4563" i="2"/>
  <c r="AH4563" i="2"/>
  <c r="AI4563" i="2"/>
  <c r="AJ4563" i="2"/>
  <c r="AF4564" i="2"/>
  <c r="AK4564" i="2"/>
  <c r="AG4564" i="2"/>
  <c r="AH4564" i="2"/>
  <c r="AI4564" i="2"/>
  <c r="AJ4564" i="2"/>
  <c r="AF4565" i="2"/>
  <c r="AK4565" i="2" s="1"/>
  <c r="AG4565" i="2"/>
  <c r="AH4565" i="2"/>
  <c r="AI4565" i="2"/>
  <c r="AJ4565" i="2"/>
  <c r="AF4566" i="2"/>
  <c r="AK4566" i="2" s="1"/>
  <c r="AG4566" i="2"/>
  <c r="AH4566" i="2"/>
  <c r="AI4566" i="2"/>
  <c r="AJ4566" i="2"/>
  <c r="AF4567" i="2"/>
  <c r="AK4567" i="2"/>
  <c r="AG4567" i="2"/>
  <c r="AH4567" i="2"/>
  <c r="AI4567" i="2"/>
  <c r="AJ4567" i="2"/>
  <c r="AF4568" i="2"/>
  <c r="AK4568" i="2"/>
  <c r="AG4568" i="2"/>
  <c r="AL4568" i="2" s="1"/>
  <c r="AH4568" i="2"/>
  <c r="AI4568" i="2"/>
  <c r="AJ4568" i="2"/>
  <c r="AF4569" i="2"/>
  <c r="AK4569" i="2" s="1"/>
  <c r="AG4569" i="2"/>
  <c r="AL4569" i="2"/>
  <c r="AH4569" i="2"/>
  <c r="AI4569" i="2"/>
  <c r="AJ4569" i="2"/>
  <c r="AF4570" i="2"/>
  <c r="AK4570" i="2" s="1"/>
  <c r="AG4570" i="2"/>
  <c r="AH4570" i="2"/>
  <c r="AL4570" i="2" s="1"/>
  <c r="AI4570" i="2"/>
  <c r="AJ4570" i="2"/>
  <c r="AF4571" i="2"/>
  <c r="AK4571" i="2"/>
  <c r="AG4571" i="2"/>
  <c r="AH4571" i="2"/>
  <c r="AI4571" i="2"/>
  <c r="AJ4571" i="2"/>
  <c r="AF4572" i="2"/>
  <c r="AK4572" i="2" s="1"/>
  <c r="AG4572" i="2"/>
  <c r="AH4572" i="2"/>
  <c r="AI4572" i="2"/>
  <c r="AJ4572" i="2"/>
  <c r="AF4573" i="2"/>
  <c r="AK4573" i="2" s="1"/>
  <c r="AG4573" i="2"/>
  <c r="AH4573" i="2"/>
  <c r="AI4573" i="2"/>
  <c r="AJ4573" i="2"/>
  <c r="AF4574" i="2"/>
  <c r="AK4574" i="2" s="1"/>
  <c r="AG4574" i="2"/>
  <c r="AH4574" i="2"/>
  <c r="AI4574" i="2"/>
  <c r="AJ4574" i="2"/>
  <c r="AF4575" i="2"/>
  <c r="AK4575" i="2"/>
  <c r="AG4575" i="2"/>
  <c r="AH4575" i="2"/>
  <c r="AI4575" i="2"/>
  <c r="AJ4575" i="2"/>
  <c r="AF4576" i="2"/>
  <c r="AK4576" i="2" s="1"/>
  <c r="AG4576" i="2"/>
  <c r="AH4576" i="2"/>
  <c r="AI4576" i="2"/>
  <c r="AJ4576" i="2"/>
  <c r="AF4577" i="2"/>
  <c r="AK4577" i="2" s="1"/>
  <c r="AG4577" i="2"/>
  <c r="AH4577" i="2"/>
  <c r="AI4577" i="2"/>
  <c r="AJ4577" i="2"/>
  <c r="AF4578" i="2"/>
  <c r="AK4578" i="2" s="1"/>
  <c r="AG4578" i="2"/>
  <c r="AH4578" i="2"/>
  <c r="AL4578" i="2" s="1"/>
  <c r="AI4578" i="2"/>
  <c r="AJ4578" i="2"/>
  <c r="AF4579" i="2"/>
  <c r="AK4579" i="2" s="1"/>
  <c r="AL4579" i="2" s="1"/>
  <c r="AG4579" i="2"/>
  <c r="AH4579" i="2"/>
  <c r="AI4579" i="2"/>
  <c r="AJ4579" i="2"/>
  <c r="AF4580" i="2"/>
  <c r="AK4580" i="2"/>
  <c r="AG4580" i="2"/>
  <c r="AH4580" i="2"/>
  <c r="AI4580" i="2"/>
  <c r="AJ4580" i="2"/>
  <c r="AF4581" i="2"/>
  <c r="AK4581" i="2" s="1"/>
  <c r="AG4581" i="2"/>
  <c r="AH4581" i="2"/>
  <c r="AI4581" i="2"/>
  <c r="AJ4581" i="2"/>
  <c r="AF4582" i="2"/>
  <c r="AK4582" i="2"/>
  <c r="AG4582" i="2"/>
  <c r="AH4582" i="2"/>
  <c r="AI4582" i="2"/>
  <c r="AJ4582" i="2"/>
  <c r="AF4583" i="2"/>
  <c r="AK4583" i="2" s="1"/>
  <c r="AG4583" i="2"/>
  <c r="AH4583" i="2"/>
  <c r="AI4583" i="2"/>
  <c r="AJ4583" i="2"/>
  <c r="AF4584" i="2"/>
  <c r="AK4584" i="2"/>
  <c r="AG4584" i="2"/>
  <c r="AH4584" i="2"/>
  <c r="AI4584" i="2"/>
  <c r="AJ4584" i="2"/>
  <c r="AF4585" i="2"/>
  <c r="AK4585" i="2" s="1"/>
  <c r="AG4585" i="2"/>
  <c r="AH4585" i="2"/>
  <c r="AL4585" i="2" s="1"/>
  <c r="AI4585" i="2"/>
  <c r="AJ4585" i="2"/>
  <c r="AF4586" i="2"/>
  <c r="AK4586" i="2"/>
  <c r="AG4586" i="2"/>
  <c r="AH4586" i="2"/>
  <c r="AI4586" i="2"/>
  <c r="AJ4586" i="2"/>
  <c r="AF4587" i="2"/>
  <c r="AK4587" i="2"/>
  <c r="AG4587" i="2"/>
  <c r="AH4587" i="2"/>
  <c r="AI4587" i="2"/>
  <c r="AJ4587" i="2"/>
  <c r="AF4588" i="2"/>
  <c r="AK4588" i="2"/>
  <c r="AG4588" i="2"/>
  <c r="AH4588" i="2"/>
  <c r="AI4588" i="2"/>
  <c r="AJ4588" i="2"/>
  <c r="AF4589" i="2"/>
  <c r="AK4589" i="2"/>
  <c r="AG4589" i="2"/>
  <c r="AL4589" i="2" s="1"/>
  <c r="AH4589" i="2"/>
  <c r="AI4589" i="2"/>
  <c r="AJ4589" i="2"/>
  <c r="AF4590" i="2"/>
  <c r="AK4590" i="2" s="1"/>
  <c r="AL4590" i="2" s="1"/>
  <c r="AG4590" i="2"/>
  <c r="AH4590" i="2"/>
  <c r="AI4590" i="2"/>
  <c r="AJ4590" i="2"/>
  <c r="AF4591" i="2"/>
  <c r="AK4591" i="2" s="1"/>
  <c r="AG4591" i="2"/>
  <c r="AH4591" i="2"/>
  <c r="AI4591" i="2"/>
  <c r="AJ4591" i="2"/>
  <c r="AF4592" i="2"/>
  <c r="AK4592" i="2"/>
  <c r="AG4592" i="2"/>
  <c r="AH4592" i="2"/>
  <c r="AI4592" i="2"/>
  <c r="AJ4592" i="2"/>
  <c r="AF4593" i="2"/>
  <c r="AK4593" i="2" s="1"/>
  <c r="AG4593" i="2"/>
  <c r="AL4593" i="2" s="1"/>
  <c r="AH4593" i="2"/>
  <c r="AI4593" i="2"/>
  <c r="AJ4593" i="2"/>
  <c r="AF4594" i="2"/>
  <c r="AK4594" i="2" s="1"/>
  <c r="AG4594" i="2"/>
  <c r="AH4594" i="2"/>
  <c r="AI4594" i="2"/>
  <c r="AJ4594" i="2"/>
  <c r="AF4595" i="2"/>
  <c r="AK4595" i="2" s="1"/>
  <c r="AG4595" i="2"/>
  <c r="AH4595" i="2"/>
  <c r="AI4595" i="2"/>
  <c r="AJ4595" i="2"/>
  <c r="AF4596" i="2"/>
  <c r="AK4596" i="2"/>
  <c r="AG4596" i="2"/>
  <c r="AH4596" i="2"/>
  <c r="AI4596" i="2"/>
  <c r="AJ4596" i="2"/>
  <c r="AF4597" i="2"/>
  <c r="AK4597" i="2" s="1"/>
  <c r="AG4597" i="2"/>
  <c r="AL4597" i="2" s="1"/>
  <c r="AH4597" i="2"/>
  <c r="AI4597" i="2"/>
  <c r="AJ4597" i="2"/>
  <c r="AF4598" i="2"/>
  <c r="AK4598" i="2" s="1"/>
  <c r="AG4598" i="2"/>
  <c r="AH4598" i="2"/>
  <c r="AI4598" i="2"/>
  <c r="AJ4598" i="2"/>
  <c r="AF4599" i="2"/>
  <c r="AK4599" i="2"/>
  <c r="AG4599" i="2"/>
  <c r="AH4599" i="2"/>
  <c r="AL4599" i="2" s="1"/>
  <c r="AI4599" i="2"/>
  <c r="AJ4599" i="2"/>
  <c r="AF4600" i="2"/>
  <c r="AK4600" i="2"/>
  <c r="AG4600" i="2"/>
  <c r="AH4600" i="2"/>
  <c r="AI4600" i="2"/>
  <c r="AJ4600" i="2"/>
  <c r="AF4601" i="2"/>
  <c r="AK4601" i="2" s="1"/>
  <c r="AG4601" i="2"/>
  <c r="AH4601" i="2"/>
  <c r="AI4601" i="2"/>
  <c r="AJ4601" i="2"/>
  <c r="AF4602" i="2"/>
  <c r="AK4602" i="2"/>
  <c r="AG4602" i="2"/>
  <c r="AH4602" i="2"/>
  <c r="AI4602" i="2"/>
  <c r="AJ4602" i="2"/>
  <c r="AF4603" i="2"/>
  <c r="AK4603" i="2"/>
  <c r="AG4603" i="2"/>
  <c r="AH4603" i="2"/>
  <c r="AL4603" i="2" s="1"/>
  <c r="AI4603" i="2"/>
  <c r="AJ4603" i="2"/>
  <c r="AF4604" i="2"/>
  <c r="AK4604" i="2" s="1"/>
  <c r="AG4604" i="2"/>
  <c r="AH4604" i="2"/>
  <c r="AI4604" i="2"/>
  <c r="AJ4604" i="2"/>
  <c r="AF4605" i="2"/>
  <c r="AK4605" i="2"/>
  <c r="AG4605" i="2"/>
  <c r="AH4605" i="2"/>
  <c r="AI4605" i="2"/>
  <c r="AJ4605" i="2"/>
  <c r="AF4606" i="2"/>
  <c r="AK4606" i="2" s="1"/>
  <c r="AG4606" i="2"/>
  <c r="AL4606" i="2" s="1"/>
  <c r="AH4606" i="2"/>
  <c r="AI4606" i="2"/>
  <c r="AJ4606" i="2"/>
  <c r="AF4607" i="2"/>
  <c r="AK4607" i="2"/>
  <c r="AG4607" i="2"/>
  <c r="AL4607" i="2"/>
  <c r="AH4607" i="2"/>
  <c r="AI4607" i="2"/>
  <c r="AJ4607" i="2"/>
  <c r="AF4608" i="2"/>
  <c r="AK4608" i="2" s="1"/>
  <c r="AG4608" i="2"/>
  <c r="AH4608" i="2"/>
  <c r="AL4608" i="2"/>
  <c r="AI4608" i="2"/>
  <c r="AJ4608" i="2"/>
  <c r="AF4609" i="2"/>
  <c r="AK4609" i="2"/>
  <c r="AG4609" i="2"/>
  <c r="AH4609" i="2"/>
  <c r="AI4609" i="2"/>
  <c r="AJ4609" i="2"/>
  <c r="AL4609" i="2" s="1"/>
  <c r="AF4610" i="2"/>
  <c r="AK4610" i="2"/>
  <c r="AG4610" i="2"/>
  <c r="AL4610" i="2"/>
  <c r="AH4610" i="2"/>
  <c r="AI4610" i="2"/>
  <c r="AJ4610" i="2"/>
  <c r="AF4611" i="2"/>
  <c r="AK4611" i="2" s="1"/>
  <c r="AL4611" i="2" s="1"/>
  <c r="AG4611" i="2"/>
  <c r="AH4611" i="2"/>
  <c r="AI4611" i="2"/>
  <c r="AJ4611" i="2"/>
  <c r="AF4612" i="2"/>
  <c r="AK4612" i="2" s="1"/>
  <c r="AG4612" i="2"/>
  <c r="AL4612" i="2"/>
  <c r="AH4612" i="2"/>
  <c r="AI4612" i="2"/>
  <c r="AJ4612" i="2"/>
  <c r="AF4613" i="2"/>
  <c r="AK4613" i="2" s="1"/>
  <c r="AG4613" i="2"/>
  <c r="AH4613" i="2"/>
  <c r="AI4613" i="2"/>
  <c r="AJ4613" i="2"/>
  <c r="AF4614" i="2"/>
  <c r="AK4614" i="2" s="1"/>
  <c r="AG4614" i="2"/>
  <c r="AH4614" i="2"/>
  <c r="AI4614" i="2"/>
  <c r="AJ4614" i="2"/>
  <c r="AF4615" i="2"/>
  <c r="AK4615" i="2" s="1"/>
  <c r="AG4615" i="2"/>
  <c r="AH4615" i="2"/>
  <c r="AI4615" i="2"/>
  <c r="AL4615" i="2" s="1"/>
  <c r="AJ4615" i="2"/>
  <c r="AF4616" i="2"/>
  <c r="AK4616" i="2" s="1"/>
  <c r="AG4616" i="2"/>
  <c r="AL4616" i="2" s="1"/>
  <c r="AH4616" i="2"/>
  <c r="AI4616" i="2"/>
  <c r="AJ4616" i="2"/>
  <c r="AF4617" i="2"/>
  <c r="AK4617" i="2"/>
  <c r="AG4617" i="2"/>
  <c r="AH4617" i="2"/>
  <c r="AI4617" i="2"/>
  <c r="AJ4617" i="2"/>
  <c r="AF4618" i="2"/>
  <c r="AK4618" i="2"/>
  <c r="AG4618" i="2"/>
  <c r="AH4618" i="2"/>
  <c r="AL4618" i="2" s="1"/>
  <c r="AI4618" i="2"/>
  <c r="AJ4618" i="2"/>
  <c r="AF4619" i="2"/>
  <c r="AK4619" i="2" s="1"/>
  <c r="AG4619" i="2"/>
  <c r="AL4619" i="2" s="1"/>
  <c r="AH4619" i="2"/>
  <c r="AI4619" i="2"/>
  <c r="AJ4619" i="2"/>
  <c r="AF4620" i="2"/>
  <c r="AK4620" i="2" s="1"/>
  <c r="AL4620" i="2" s="1"/>
  <c r="AG4620" i="2"/>
  <c r="AH4620" i="2"/>
  <c r="AI4620" i="2"/>
  <c r="AJ4620" i="2"/>
  <c r="AF4621" i="2"/>
  <c r="AK4621" i="2"/>
  <c r="AG4621" i="2"/>
  <c r="AH4621" i="2"/>
  <c r="AI4621" i="2"/>
  <c r="AJ4621" i="2"/>
  <c r="AF4622" i="2"/>
  <c r="AK4622" i="2" s="1"/>
  <c r="AG4622" i="2"/>
  <c r="AH4622" i="2"/>
  <c r="AI4622" i="2"/>
  <c r="AJ4622" i="2"/>
  <c r="AF4623" i="2"/>
  <c r="AK4623" i="2"/>
  <c r="AG4623" i="2"/>
  <c r="AH4623" i="2"/>
  <c r="AL4623" i="2" s="1"/>
  <c r="AI4623" i="2"/>
  <c r="AJ4623" i="2"/>
  <c r="AF4624" i="2"/>
  <c r="AK4624" i="2"/>
  <c r="AG4624" i="2"/>
  <c r="AH4624" i="2"/>
  <c r="AI4624" i="2"/>
  <c r="AJ4624" i="2"/>
  <c r="AL4624" i="2" s="1"/>
  <c r="AF4625" i="2"/>
  <c r="AK4625" i="2"/>
  <c r="AG4625" i="2"/>
  <c r="AL4625" i="2"/>
  <c r="AH4625" i="2"/>
  <c r="AI4625" i="2"/>
  <c r="AJ4625" i="2"/>
  <c r="AF4626" i="2"/>
  <c r="AK4626" i="2" s="1"/>
  <c r="AL4626" i="2" s="1"/>
  <c r="AG4626" i="2"/>
  <c r="AH4626" i="2"/>
  <c r="AI4626" i="2"/>
  <c r="AJ4626" i="2"/>
  <c r="AF4627" i="2"/>
  <c r="AK4627" i="2"/>
  <c r="AG4627" i="2"/>
  <c r="AL4627" i="2" s="1"/>
  <c r="AH4627" i="2"/>
  <c r="AI4627" i="2"/>
  <c r="AJ4627" i="2"/>
  <c r="AF4628" i="2"/>
  <c r="AK4628" i="2" s="1"/>
  <c r="AG4628" i="2"/>
  <c r="AH4628" i="2"/>
  <c r="AI4628" i="2"/>
  <c r="AJ4628" i="2"/>
  <c r="AL4628" i="2" s="1"/>
  <c r="AF4629" i="2"/>
  <c r="AK4629" i="2"/>
  <c r="AG4629" i="2"/>
  <c r="AH4629" i="2"/>
  <c r="AI4629" i="2"/>
  <c r="AJ4629" i="2"/>
  <c r="AF4630" i="2"/>
  <c r="AK4630" i="2"/>
  <c r="AG4630" i="2"/>
  <c r="AH4630" i="2"/>
  <c r="AI4630" i="2"/>
  <c r="AL4630" i="2" s="1"/>
  <c r="AJ4630" i="2"/>
  <c r="AF4631" i="2"/>
  <c r="AK4631" i="2" s="1"/>
  <c r="AG4631" i="2"/>
  <c r="AL4631" i="2" s="1"/>
  <c r="AH4631" i="2"/>
  <c r="AI4631" i="2"/>
  <c r="AJ4631" i="2"/>
  <c r="AF4632" i="2"/>
  <c r="AK4632" i="2"/>
  <c r="AG4632" i="2"/>
  <c r="AH4632" i="2"/>
  <c r="AI4632" i="2"/>
  <c r="AJ4632" i="2"/>
  <c r="AF4633" i="2"/>
  <c r="AK4633" i="2"/>
  <c r="AG4633" i="2"/>
  <c r="AH4633" i="2"/>
  <c r="AI4633" i="2"/>
  <c r="AJ4633" i="2"/>
  <c r="AF4634" i="2"/>
  <c r="AK4634" i="2"/>
  <c r="AG4634" i="2"/>
  <c r="AH4634" i="2"/>
  <c r="AI4634" i="2"/>
  <c r="AJ4634" i="2"/>
  <c r="AF4635" i="2"/>
  <c r="AK4635" i="2" s="1"/>
  <c r="AG4635" i="2"/>
  <c r="AH4635" i="2"/>
  <c r="AI4635" i="2"/>
  <c r="AL4635" i="2" s="1"/>
  <c r="AJ4635" i="2"/>
  <c r="AF4636" i="2"/>
  <c r="AK4636" i="2" s="1"/>
  <c r="AG4636" i="2"/>
  <c r="AH4636" i="2"/>
  <c r="AI4636" i="2"/>
  <c r="AJ4636" i="2"/>
  <c r="AF4637" i="2"/>
  <c r="AK4637" i="2" s="1"/>
  <c r="AG4637" i="2"/>
  <c r="AL4637" i="2" s="1"/>
  <c r="AH4637" i="2"/>
  <c r="AI4637" i="2"/>
  <c r="AJ4637" i="2"/>
  <c r="AF4638" i="2"/>
  <c r="AK4638" i="2"/>
  <c r="AG4638" i="2"/>
  <c r="AH4638" i="2"/>
  <c r="AI4638" i="2"/>
  <c r="AJ4638" i="2"/>
  <c r="AF4639" i="2"/>
  <c r="AK4639" i="2"/>
  <c r="AG4639" i="2"/>
  <c r="AH4639" i="2"/>
  <c r="AL4639" i="2" s="1"/>
  <c r="AI4639" i="2"/>
  <c r="AJ4639" i="2"/>
  <c r="AF4640" i="2"/>
  <c r="AK4640" i="2" s="1"/>
  <c r="AG4640" i="2"/>
  <c r="AH4640" i="2"/>
  <c r="AI4640" i="2"/>
  <c r="AJ4640" i="2"/>
  <c r="AF4641" i="2"/>
  <c r="AK4641" i="2"/>
  <c r="AG4641" i="2"/>
  <c r="AL4641" i="2" s="1"/>
  <c r="AH4641" i="2"/>
  <c r="AI4641" i="2"/>
  <c r="AJ4641" i="2"/>
  <c r="AF4642" i="2"/>
  <c r="AK4642" i="2" s="1"/>
  <c r="AG4642" i="2"/>
  <c r="AL4642" i="2" s="1"/>
  <c r="AH4642" i="2"/>
  <c r="AI4642" i="2"/>
  <c r="AJ4642" i="2"/>
  <c r="AF4643" i="2"/>
  <c r="AK4643" i="2"/>
  <c r="AG4643" i="2"/>
  <c r="AH4643" i="2"/>
  <c r="AI4643" i="2"/>
  <c r="AJ4643" i="2"/>
  <c r="AF4644" i="2"/>
  <c r="AK4644" i="2"/>
  <c r="AG4644" i="2"/>
  <c r="AH4644" i="2"/>
  <c r="AI4644" i="2"/>
  <c r="AJ4644" i="2"/>
  <c r="AF4645" i="2"/>
  <c r="AK4645" i="2"/>
  <c r="AG4645" i="2"/>
  <c r="AH4645" i="2"/>
  <c r="AI4645" i="2"/>
  <c r="AJ4645" i="2"/>
  <c r="AF4646" i="2"/>
  <c r="AK4646" i="2"/>
  <c r="AG4646" i="2"/>
  <c r="AH4646" i="2"/>
  <c r="AI4646" i="2"/>
  <c r="AJ4646" i="2"/>
  <c r="AF4647" i="2"/>
  <c r="AK4647" i="2" s="1"/>
  <c r="AL4647" i="2" s="1"/>
  <c r="AG4647" i="2"/>
  <c r="AH4647" i="2"/>
  <c r="AI4647" i="2"/>
  <c r="AJ4647" i="2"/>
  <c r="AF4648" i="2"/>
  <c r="AK4648" i="2" s="1"/>
  <c r="AG4648" i="2"/>
  <c r="AH4648" i="2"/>
  <c r="AI4648" i="2"/>
  <c r="AL4648" i="2" s="1"/>
  <c r="AJ4648" i="2"/>
  <c r="AF4649" i="2"/>
  <c r="AK4649" i="2"/>
  <c r="AG4649" i="2"/>
  <c r="AH4649" i="2"/>
  <c r="AI4649" i="2"/>
  <c r="AJ4649" i="2"/>
  <c r="AF4650" i="2"/>
  <c r="AK4650" i="2"/>
  <c r="AG4650" i="2"/>
  <c r="AH4650" i="2"/>
  <c r="AI4650" i="2"/>
  <c r="AJ4650" i="2"/>
  <c r="AF4651" i="2"/>
  <c r="AK4651" i="2"/>
  <c r="AG4651" i="2"/>
  <c r="AL4651" i="2" s="1"/>
  <c r="AH4651" i="2"/>
  <c r="AI4651" i="2"/>
  <c r="AJ4651" i="2"/>
  <c r="AF4652" i="2"/>
  <c r="AK4652" i="2" s="1"/>
  <c r="AG4652" i="2"/>
  <c r="AH4652" i="2"/>
  <c r="AI4652" i="2"/>
  <c r="AJ4652" i="2"/>
  <c r="AF4653" i="2"/>
  <c r="AK4653" i="2"/>
  <c r="AG4653" i="2"/>
  <c r="AL4653" i="2"/>
  <c r="AH4653" i="2"/>
  <c r="AI4653" i="2"/>
  <c r="AJ4653" i="2"/>
  <c r="AF4654" i="2"/>
  <c r="AK4654" i="2" s="1"/>
  <c r="AG4654" i="2"/>
  <c r="AH4654" i="2"/>
  <c r="AI4654" i="2"/>
  <c r="AJ4654" i="2"/>
  <c r="AF4655" i="2"/>
  <c r="AK4655" i="2" s="1"/>
  <c r="AG4655" i="2"/>
  <c r="AH4655" i="2"/>
  <c r="AI4655" i="2"/>
  <c r="AJ4655" i="2"/>
  <c r="AL4655" i="2" s="1"/>
  <c r="AF4656" i="2"/>
  <c r="AK4656" i="2"/>
  <c r="AG4656" i="2"/>
  <c r="AH4656" i="2"/>
  <c r="AI4656" i="2"/>
  <c r="AJ4656" i="2"/>
  <c r="AF4657" i="2"/>
  <c r="AK4657" i="2"/>
  <c r="AG4657" i="2"/>
  <c r="AH4657" i="2"/>
  <c r="AI4657" i="2"/>
  <c r="AL4657" i="2"/>
  <c r="AJ4657" i="2"/>
  <c r="AF4658" i="2"/>
  <c r="AK4658" i="2" s="1"/>
  <c r="AL4658" i="2" s="1"/>
  <c r="AG4658" i="2"/>
  <c r="AH4658" i="2"/>
  <c r="AI4658" i="2"/>
  <c r="AJ4658" i="2"/>
  <c r="AF4659" i="2"/>
  <c r="AK4659" i="2" s="1"/>
  <c r="AG4659" i="2"/>
  <c r="AH4659" i="2"/>
  <c r="AI4659" i="2"/>
  <c r="AL4659" i="2" s="1"/>
  <c r="AJ4659" i="2"/>
  <c r="AF4660" i="2"/>
  <c r="AK4660" i="2" s="1"/>
  <c r="AG4660" i="2"/>
  <c r="AH4660" i="2"/>
  <c r="AI4660" i="2"/>
  <c r="AJ4660" i="2"/>
  <c r="AL4660" i="2" s="1"/>
  <c r="AF4661" i="2"/>
  <c r="AK4661" i="2"/>
  <c r="AG4661" i="2"/>
  <c r="AL4661" i="2" s="1"/>
  <c r="AH4661" i="2"/>
  <c r="AI4661" i="2"/>
  <c r="AJ4661" i="2"/>
  <c r="AF4662" i="2"/>
  <c r="AK4662" i="2" s="1"/>
  <c r="AG4662" i="2"/>
  <c r="AH4662" i="2"/>
  <c r="AL4662" i="2" s="1"/>
  <c r="AI4662" i="2"/>
  <c r="AJ4662" i="2"/>
  <c r="AF4663" i="2"/>
  <c r="AK4663" i="2"/>
  <c r="AG4663" i="2"/>
  <c r="AH4663" i="2"/>
  <c r="AI4663" i="2"/>
  <c r="AJ4663" i="2"/>
  <c r="AL4663" i="2" s="1"/>
  <c r="AF4664" i="2"/>
  <c r="AK4664" i="2"/>
  <c r="AG4664" i="2"/>
  <c r="AH4664" i="2"/>
  <c r="AL4664" i="2" s="1"/>
  <c r="AI4664" i="2"/>
  <c r="AJ4664" i="2"/>
  <c r="AF4665" i="2"/>
  <c r="AK4665" i="2"/>
  <c r="AG4665" i="2"/>
  <c r="AH4665" i="2"/>
  <c r="AI4665" i="2"/>
  <c r="AJ4665" i="2"/>
  <c r="AL4665" i="2" s="1"/>
  <c r="AF4666" i="2"/>
  <c r="AK4666" i="2"/>
  <c r="AG4666" i="2"/>
  <c r="AL4666" i="2"/>
  <c r="AH4666" i="2"/>
  <c r="AI4666" i="2"/>
  <c r="AJ4666" i="2"/>
  <c r="AF4667" i="2"/>
  <c r="AK4667" i="2" s="1"/>
  <c r="AG4667" i="2"/>
  <c r="AH4667" i="2"/>
  <c r="AI4667" i="2"/>
  <c r="AJ4667" i="2"/>
  <c r="AF4668" i="2"/>
  <c r="AK4668" i="2"/>
  <c r="AG4668" i="2"/>
  <c r="AH4668" i="2"/>
  <c r="AI4668" i="2"/>
  <c r="AJ4668" i="2"/>
  <c r="AF4669" i="2"/>
  <c r="AK4669" i="2"/>
  <c r="AG4669" i="2"/>
  <c r="AH4669" i="2"/>
  <c r="AI4669" i="2"/>
  <c r="AL4669" i="2" s="1"/>
  <c r="AJ4669" i="2"/>
  <c r="AF4670" i="2"/>
  <c r="AK4670" i="2" s="1"/>
  <c r="AG4670" i="2"/>
  <c r="AH4670" i="2"/>
  <c r="AI4670" i="2"/>
  <c r="AJ4670" i="2"/>
  <c r="AF4671" i="2"/>
  <c r="AK4671" i="2" s="1"/>
  <c r="AG4671" i="2"/>
  <c r="AL4671" i="2" s="1"/>
  <c r="AH4671" i="2"/>
  <c r="AI4671" i="2"/>
  <c r="AJ4671" i="2"/>
  <c r="AF4672" i="2"/>
  <c r="AK4672" i="2" s="1"/>
  <c r="AG4672" i="2"/>
  <c r="AH4672" i="2"/>
  <c r="AI4672" i="2"/>
  <c r="AL4672" i="2" s="1"/>
  <c r="AJ4672" i="2"/>
  <c r="AF4673" i="2"/>
  <c r="AK4673" i="2"/>
  <c r="AG4673" i="2"/>
  <c r="AH4673" i="2"/>
  <c r="AI4673" i="2"/>
  <c r="AL4673" i="2"/>
  <c r="AJ4673" i="2"/>
  <c r="AF4674" i="2"/>
  <c r="AK4674" i="2" s="1"/>
  <c r="AG4674" i="2"/>
  <c r="AH4674" i="2"/>
  <c r="AI4674" i="2"/>
  <c r="AJ4674" i="2"/>
  <c r="AF4675" i="2"/>
  <c r="AK4675" i="2"/>
  <c r="AG4675" i="2"/>
  <c r="AH4675" i="2"/>
  <c r="AI4675" i="2"/>
  <c r="AJ4675" i="2"/>
  <c r="AF4676" i="2"/>
  <c r="AK4676" i="2"/>
  <c r="AG4676" i="2"/>
  <c r="AL4676" i="2"/>
  <c r="AH4676" i="2"/>
  <c r="AI4676" i="2"/>
  <c r="AJ4676" i="2"/>
  <c r="AF4677" i="2"/>
  <c r="AK4677" i="2" s="1"/>
  <c r="AG4677" i="2"/>
  <c r="AL4677" i="2" s="1"/>
  <c r="AH4677" i="2"/>
  <c r="AI4677" i="2"/>
  <c r="AJ4677" i="2"/>
  <c r="AF4678" i="2"/>
  <c r="AK4678" i="2" s="1"/>
  <c r="AG4678" i="2"/>
  <c r="AH4678" i="2"/>
  <c r="AI4678" i="2"/>
  <c r="AJ4678" i="2"/>
  <c r="AF4679" i="2"/>
  <c r="AK4679" i="2" s="1"/>
  <c r="AG4679" i="2"/>
  <c r="AH4679" i="2"/>
  <c r="AI4679" i="2"/>
  <c r="AL4679" i="2" s="1"/>
  <c r="AJ4679" i="2"/>
  <c r="AF4680" i="2"/>
  <c r="AK4680" i="2" s="1"/>
  <c r="AG4680" i="2"/>
  <c r="AH4680" i="2"/>
  <c r="AI4680" i="2"/>
  <c r="AJ4680" i="2"/>
  <c r="AF4681" i="2"/>
  <c r="AK4681" i="2"/>
  <c r="AG4681" i="2"/>
  <c r="AH4681" i="2"/>
  <c r="AI4681" i="2"/>
  <c r="AJ4681" i="2"/>
  <c r="AF4682" i="2"/>
  <c r="AK4682" i="2" s="1"/>
  <c r="AG4682" i="2"/>
  <c r="AH4682" i="2"/>
  <c r="AI4682" i="2"/>
  <c r="AJ4682" i="2"/>
  <c r="AF4683" i="2"/>
  <c r="AK4683" i="2"/>
  <c r="AG4683" i="2"/>
  <c r="AH4683" i="2"/>
  <c r="AI4683" i="2"/>
  <c r="AL4683" i="2" s="1"/>
  <c r="AJ4683" i="2"/>
  <c r="AF4684" i="2"/>
  <c r="AK4684" i="2" s="1"/>
  <c r="AG4684" i="2"/>
  <c r="AH4684" i="2"/>
  <c r="AI4684" i="2"/>
  <c r="AL4684" i="2" s="1"/>
  <c r="AJ4684" i="2"/>
  <c r="AF4685" i="2"/>
  <c r="AK4685" i="2"/>
  <c r="AG4685" i="2"/>
  <c r="AH4685" i="2"/>
  <c r="AI4685" i="2"/>
  <c r="AJ4685" i="2"/>
  <c r="AL4685" i="2" s="1"/>
  <c r="AF4686" i="2"/>
  <c r="AK4686" i="2"/>
  <c r="AG4686" i="2"/>
  <c r="AH4686" i="2"/>
  <c r="AL4686" i="2" s="1"/>
  <c r="AI4686" i="2"/>
  <c r="AJ4686" i="2"/>
  <c r="AF4687" i="2"/>
  <c r="AK4687" i="2"/>
  <c r="AG4687" i="2"/>
  <c r="AH4687" i="2"/>
  <c r="AI4687" i="2"/>
  <c r="AL4687" i="2"/>
  <c r="AJ4687" i="2"/>
  <c r="AF4688" i="2"/>
  <c r="AK4688" i="2"/>
  <c r="AG4688" i="2"/>
  <c r="AL4688" i="2" s="1"/>
  <c r="AH4688" i="2"/>
  <c r="AI4688" i="2"/>
  <c r="AJ4688" i="2"/>
  <c r="AF4689" i="2"/>
  <c r="AK4689" i="2" s="1"/>
  <c r="AL4689" i="2" s="1"/>
  <c r="AG4689" i="2"/>
  <c r="AH4689" i="2"/>
  <c r="AI4689" i="2"/>
  <c r="AJ4689" i="2"/>
  <c r="AF4690" i="2"/>
  <c r="AK4690" i="2"/>
  <c r="AG4690" i="2"/>
  <c r="AL4690" i="2" s="1"/>
  <c r="AH4690" i="2"/>
  <c r="AI4690" i="2"/>
  <c r="AJ4690" i="2"/>
  <c r="AF4691" i="2"/>
  <c r="AK4691" i="2"/>
  <c r="AG4691" i="2"/>
  <c r="AL4691" i="2" s="1"/>
  <c r="AH4691" i="2"/>
  <c r="AI4691" i="2"/>
  <c r="AJ4691" i="2"/>
  <c r="AF4692" i="2"/>
  <c r="AK4692" i="2" s="1"/>
  <c r="AG4692" i="2"/>
  <c r="AL4692" i="2" s="1"/>
  <c r="AH4692" i="2"/>
  <c r="AI4692" i="2"/>
  <c r="AJ4692" i="2"/>
  <c r="AF4693" i="2"/>
  <c r="AG4693" i="2"/>
  <c r="AH4693" i="2"/>
  <c r="AI4693" i="2"/>
  <c r="AJ4693" i="2"/>
  <c r="AK4693" i="2"/>
  <c r="AF4694" i="2"/>
  <c r="AK4694" i="2"/>
  <c r="AG4694" i="2"/>
  <c r="AH4694" i="2"/>
  <c r="AI4694" i="2"/>
  <c r="AL4694" i="2" s="1"/>
  <c r="AJ4694" i="2"/>
  <c r="AF4695" i="2"/>
  <c r="AK4695" i="2"/>
  <c r="AG4695" i="2"/>
  <c r="AH4695" i="2"/>
  <c r="AI4695" i="2"/>
  <c r="AJ4695" i="2"/>
  <c r="AL4695" i="2" s="1"/>
  <c r="AF4696" i="2"/>
  <c r="AK4696" i="2" s="1"/>
  <c r="AG4696" i="2"/>
  <c r="AH4696" i="2"/>
  <c r="AL4696" i="2" s="1"/>
  <c r="AI4696" i="2"/>
  <c r="AJ4696" i="2"/>
  <c r="AF4697" i="2"/>
  <c r="AK4697" i="2"/>
  <c r="AG4697" i="2"/>
  <c r="AH4697" i="2"/>
  <c r="AI4697" i="2"/>
  <c r="AJ4697" i="2"/>
  <c r="AL4697" i="2" s="1"/>
  <c r="AF4698" i="2"/>
  <c r="AK4698" i="2"/>
  <c r="AG4698" i="2"/>
  <c r="AH4698" i="2"/>
  <c r="AL4698" i="2" s="1"/>
  <c r="AI4698" i="2"/>
  <c r="AJ4698" i="2"/>
  <c r="AF4699" i="2"/>
  <c r="AK4699" i="2"/>
  <c r="AG4699" i="2"/>
  <c r="AH4699" i="2"/>
  <c r="AL4699" i="2" s="1"/>
  <c r="AI4699" i="2"/>
  <c r="AJ4699" i="2"/>
  <c r="AF4700" i="2"/>
  <c r="AK4700" i="2" s="1"/>
  <c r="AG4700" i="2"/>
  <c r="AH4700" i="2"/>
  <c r="AI4700" i="2"/>
  <c r="AJ4700" i="2"/>
  <c r="AL4700" i="2" s="1"/>
  <c r="AF4701" i="2"/>
  <c r="AK4701" i="2"/>
  <c r="AG4701" i="2"/>
  <c r="AL4701" i="2" s="1"/>
  <c r="AH4701" i="2"/>
  <c r="AI4701" i="2"/>
  <c r="AJ4701" i="2"/>
  <c r="AF4702" i="2"/>
  <c r="AK4702" i="2" s="1"/>
  <c r="AL4702" i="2" s="1"/>
  <c r="AG4702" i="2"/>
  <c r="AH4702" i="2"/>
  <c r="AI4702" i="2"/>
  <c r="AJ4702" i="2"/>
  <c r="AF4703" i="2"/>
  <c r="AK4703" i="2" s="1"/>
  <c r="AG4703" i="2"/>
  <c r="AH4703" i="2"/>
  <c r="AI4703" i="2"/>
  <c r="AJ4703" i="2"/>
  <c r="AF4704" i="2"/>
  <c r="AK4704" i="2"/>
  <c r="AG4704" i="2"/>
  <c r="AH4704" i="2"/>
  <c r="AI4704" i="2"/>
  <c r="AJ4704" i="2"/>
  <c r="AF4705" i="2"/>
  <c r="AK4705" i="2" s="1"/>
  <c r="AG4705" i="2"/>
  <c r="AH4705" i="2"/>
  <c r="AI4705" i="2"/>
  <c r="AJ4705" i="2"/>
  <c r="AL4705" i="2" s="1"/>
  <c r="AF4706" i="2"/>
  <c r="AK4706" i="2"/>
  <c r="AG4706" i="2"/>
  <c r="AH4706" i="2"/>
  <c r="AI4706" i="2"/>
  <c r="AJ4706" i="2"/>
  <c r="AF4707" i="2"/>
  <c r="AK4707" i="2"/>
  <c r="AG4707" i="2"/>
  <c r="AH4707" i="2"/>
  <c r="AI4707" i="2"/>
  <c r="AL4707" i="2" s="1"/>
  <c r="AJ4707" i="2"/>
  <c r="AF4708" i="2"/>
  <c r="AK4708" i="2" s="1"/>
  <c r="AG4708" i="2"/>
  <c r="AL4708" i="2" s="1"/>
  <c r="AH4708" i="2"/>
  <c r="AI4708" i="2"/>
  <c r="AJ4708" i="2"/>
  <c r="AF4709" i="2"/>
  <c r="AK4709" i="2" s="1"/>
  <c r="AG4709" i="2"/>
  <c r="AH4709" i="2"/>
  <c r="AL4709" i="2" s="1"/>
  <c r="AI4709" i="2"/>
  <c r="AJ4709" i="2"/>
  <c r="AF4710" i="2"/>
  <c r="AK4710" i="2"/>
  <c r="AG4710" i="2"/>
  <c r="AH4710" i="2"/>
  <c r="AI4710" i="2"/>
  <c r="AJ4710" i="2"/>
  <c r="AF4711" i="2"/>
  <c r="AG4711" i="2"/>
  <c r="AH4711" i="2"/>
  <c r="AI4711" i="2"/>
  <c r="AJ4711" i="2"/>
  <c r="AK4711" i="2"/>
  <c r="AF4712" i="2"/>
  <c r="AK4712" i="2"/>
  <c r="AG4712" i="2"/>
  <c r="AH4712" i="2"/>
  <c r="AI4712" i="2"/>
  <c r="AJ4712" i="2"/>
  <c r="AF4713" i="2"/>
  <c r="AK4713" i="2"/>
  <c r="AG4713" i="2"/>
  <c r="AH4713" i="2"/>
  <c r="AI4713" i="2"/>
  <c r="AJ4713" i="2"/>
  <c r="AF4714" i="2"/>
  <c r="AK4714" i="2"/>
  <c r="AL4714" i="2" s="1"/>
  <c r="AG4714" i="2"/>
  <c r="AH4714" i="2"/>
  <c r="AI4714" i="2"/>
  <c r="AJ4714" i="2"/>
  <c r="AF4715" i="2"/>
  <c r="AK4715" i="2" s="1"/>
  <c r="AG4715" i="2"/>
  <c r="AL4715" i="2"/>
  <c r="AH4715" i="2"/>
  <c r="AI4715" i="2"/>
  <c r="AJ4715" i="2"/>
  <c r="AF4716" i="2"/>
  <c r="AK4716" i="2" s="1"/>
  <c r="AG4716" i="2"/>
  <c r="AH4716" i="2"/>
  <c r="AI4716" i="2"/>
  <c r="AJ4716" i="2"/>
  <c r="AF4717" i="2"/>
  <c r="AK4717" i="2"/>
  <c r="AG4717" i="2"/>
  <c r="AL4717" i="2" s="1"/>
  <c r="AH4717" i="2"/>
  <c r="AI4717" i="2"/>
  <c r="AJ4717" i="2"/>
  <c r="AF4718" i="2"/>
  <c r="AK4718" i="2" s="1"/>
  <c r="AG4718" i="2"/>
  <c r="AL4718" i="2" s="1"/>
  <c r="AH4718" i="2"/>
  <c r="AI4718" i="2"/>
  <c r="AJ4718" i="2"/>
  <c r="AF4719" i="2"/>
  <c r="AK4719" i="2"/>
  <c r="AG4719" i="2"/>
  <c r="AH4719" i="2"/>
  <c r="AI4719" i="2"/>
  <c r="AJ4719" i="2"/>
  <c r="AL4719" i="2" s="1"/>
  <c r="AF4720" i="2"/>
  <c r="AK4720" i="2"/>
  <c r="AG4720" i="2"/>
  <c r="AH4720" i="2"/>
  <c r="AL4720" i="2" s="1"/>
  <c r="AI4720" i="2"/>
  <c r="AJ4720" i="2"/>
  <c r="AF4721" i="2"/>
  <c r="AK4721" i="2"/>
  <c r="AG4721" i="2"/>
  <c r="AH4721" i="2"/>
  <c r="AL4721" i="2" s="1"/>
  <c r="AI4721" i="2"/>
  <c r="AJ4721" i="2"/>
  <c r="AF4722" i="2"/>
  <c r="AK4722" i="2" s="1"/>
  <c r="AG4722" i="2"/>
  <c r="AH4722" i="2"/>
  <c r="AI4722" i="2"/>
  <c r="AJ4722" i="2"/>
  <c r="AF4723" i="2"/>
  <c r="AK4723" i="2"/>
  <c r="AG4723" i="2"/>
  <c r="AH4723" i="2"/>
  <c r="AL4723" i="2" s="1"/>
  <c r="AI4723" i="2"/>
  <c r="AJ4723" i="2"/>
  <c r="AF4724" i="2"/>
  <c r="AK4724" i="2"/>
  <c r="AG4724" i="2"/>
  <c r="AH4724" i="2"/>
  <c r="AI4724" i="2"/>
  <c r="AJ4724" i="2"/>
  <c r="AL4724" i="2" s="1"/>
  <c r="AF4725" i="2"/>
  <c r="AK4725" i="2"/>
  <c r="AG4725" i="2"/>
  <c r="AL4725" i="2"/>
  <c r="AH4725" i="2"/>
  <c r="AI4725" i="2"/>
  <c r="AJ4725" i="2"/>
  <c r="AF4726" i="2"/>
  <c r="AK4726" i="2" s="1"/>
  <c r="AG4726" i="2"/>
  <c r="AH4726" i="2"/>
  <c r="AL4726" i="2" s="1"/>
  <c r="AI4726" i="2"/>
  <c r="AJ4726" i="2"/>
  <c r="AF4727" i="2"/>
  <c r="AK4727" i="2" s="1"/>
  <c r="AL4727" i="2" s="1"/>
  <c r="AG4727" i="2"/>
  <c r="AH4727" i="2"/>
  <c r="AI4727" i="2"/>
  <c r="AJ4727" i="2"/>
  <c r="AF4728" i="2"/>
  <c r="AK4728" i="2"/>
  <c r="AG4728" i="2"/>
  <c r="AH4728" i="2"/>
  <c r="AI4728" i="2"/>
  <c r="AL4728" i="2" s="1"/>
  <c r="AJ4728" i="2"/>
  <c r="AF4729" i="2"/>
  <c r="AK4729" i="2"/>
  <c r="AG4729" i="2"/>
  <c r="AH4729" i="2"/>
  <c r="AI4729" i="2"/>
  <c r="AJ4729" i="2"/>
  <c r="AL4729" i="2" s="1"/>
  <c r="AF4730" i="2"/>
  <c r="AK4730" i="2" s="1"/>
  <c r="AG4730" i="2"/>
  <c r="AL4730" i="2" s="1"/>
  <c r="AH4730" i="2"/>
  <c r="AI4730" i="2"/>
  <c r="AJ4730" i="2"/>
  <c r="AF4731" i="2"/>
  <c r="AK4731" i="2" s="1"/>
  <c r="AG4731" i="2"/>
  <c r="AH4731" i="2"/>
  <c r="AI4731" i="2"/>
  <c r="AJ4731" i="2"/>
  <c r="AF4732" i="2"/>
  <c r="AK4732" i="2"/>
  <c r="AG4732" i="2"/>
  <c r="AH4732" i="2"/>
  <c r="AI4732" i="2"/>
  <c r="AJ4732" i="2"/>
  <c r="AF4733" i="2"/>
  <c r="AK4733" i="2" s="1"/>
  <c r="AG4733" i="2"/>
  <c r="AH4733" i="2"/>
  <c r="AI4733" i="2"/>
  <c r="AL4733" i="2" s="1"/>
  <c r="AJ4733" i="2"/>
  <c r="AF4734" i="2"/>
  <c r="AK4734" i="2" s="1"/>
  <c r="AG4734" i="2"/>
  <c r="AL4734" i="2" s="1"/>
  <c r="AH4734" i="2"/>
  <c r="AI4734" i="2"/>
  <c r="AJ4734" i="2"/>
  <c r="AF4735" i="2"/>
  <c r="AK4735" i="2" s="1"/>
  <c r="AL4735" i="2" s="1"/>
  <c r="AG4735" i="2"/>
  <c r="AH4735" i="2"/>
  <c r="AI4735" i="2"/>
  <c r="AJ4735" i="2"/>
  <c r="AF4736" i="2"/>
  <c r="AK4736" i="2" s="1"/>
  <c r="AL4736" i="2" s="1"/>
  <c r="AG4736" i="2"/>
  <c r="AH4736" i="2"/>
  <c r="AI4736" i="2"/>
  <c r="AJ4736" i="2"/>
  <c r="AF4737" i="2"/>
  <c r="AK4737" i="2"/>
  <c r="AG4737" i="2"/>
  <c r="AL4737" i="2" s="1"/>
  <c r="AH4737" i="2"/>
  <c r="AI4737" i="2"/>
  <c r="AJ4737" i="2"/>
  <c r="AF4738" i="2"/>
  <c r="AK4738" i="2" s="1"/>
  <c r="AG4738" i="2"/>
  <c r="AH4738" i="2"/>
  <c r="AI4738" i="2"/>
  <c r="AJ4738" i="2"/>
  <c r="AF4739" i="2"/>
  <c r="AK4739" i="2" s="1"/>
  <c r="AG4739" i="2"/>
  <c r="AH4739" i="2"/>
  <c r="AI4739" i="2"/>
  <c r="AJ4739" i="2"/>
  <c r="AF4740" i="2"/>
  <c r="AK4740" i="2"/>
  <c r="AG4740" i="2"/>
  <c r="AL4740" i="2" s="1"/>
  <c r="AH4740" i="2"/>
  <c r="AI4740" i="2"/>
  <c r="AJ4740" i="2"/>
  <c r="AF4741" i="2"/>
  <c r="AK4741" i="2" s="1"/>
  <c r="AG4741" i="2"/>
  <c r="AL4741" i="2" s="1"/>
  <c r="AH4741" i="2"/>
  <c r="AI4741" i="2"/>
  <c r="AJ4741" i="2"/>
  <c r="AF4742" i="2"/>
  <c r="AK4742" i="2"/>
  <c r="AG4742" i="2"/>
  <c r="AH4742" i="2"/>
  <c r="AI4742" i="2"/>
  <c r="AL4742" i="2" s="1"/>
  <c r="AJ4742" i="2"/>
  <c r="AF4743" i="2"/>
  <c r="AK4743" i="2" s="1"/>
  <c r="AL4743" i="2" s="1"/>
  <c r="AG4743" i="2"/>
  <c r="AH4743" i="2"/>
  <c r="AI4743" i="2"/>
  <c r="AJ4743" i="2"/>
  <c r="AF4744" i="2"/>
  <c r="AK4744" i="2"/>
  <c r="AG4744" i="2"/>
  <c r="AH4744" i="2"/>
  <c r="AI4744" i="2"/>
  <c r="AJ4744" i="2"/>
  <c r="AF4745" i="2"/>
  <c r="AK4745" i="2" s="1"/>
  <c r="AG4745" i="2"/>
  <c r="AH4745" i="2"/>
  <c r="AI4745" i="2"/>
  <c r="AJ4745" i="2"/>
  <c r="AL4745" i="2" s="1"/>
  <c r="AF4746" i="2"/>
  <c r="AK4746" i="2"/>
  <c r="AG4746" i="2"/>
  <c r="AH4746" i="2"/>
  <c r="AI4746" i="2"/>
  <c r="AJ4746" i="2"/>
  <c r="AF4747" i="2"/>
  <c r="AK4747" i="2"/>
  <c r="AG4747" i="2"/>
  <c r="AH4747" i="2"/>
  <c r="AL4747" i="2" s="1"/>
  <c r="AI4747" i="2"/>
  <c r="AJ4747" i="2"/>
  <c r="AF4748" i="2"/>
  <c r="AK4748" i="2"/>
  <c r="AG4748" i="2"/>
  <c r="AL4748" i="2" s="1"/>
  <c r="AH4748" i="2"/>
  <c r="AI4748" i="2"/>
  <c r="AJ4748" i="2"/>
  <c r="AF4749" i="2"/>
  <c r="AK4749" i="2" s="1"/>
  <c r="AG4749" i="2"/>
  <c r="AH4749" i="2"/>
  <c r="AL4749" i="2" s="1"/>
  <c r="AI4749" i="2"/>
  <c r="AJ4749" i="2"/>
  <c r="AF4750" i="2"/>
  <c r="AK4750" i="2"/>
  <c r="AG4750" i="2"/>
  <c r="AH4750" i="2"/>
  <c r="AI4750" i="2"/>
  <c r="AJ4750" i="2"/>
  <c r="AL4750" i="2" s="1"/>
  <c r="AF4751" i="2"/>
  <c r="AK4751" i="2" s="1"/>
  <c r="AG4751" i="2"/>
  <c r="AH4751" i="2"/>
  <c r="AI4751" i="2"/>
  <c r="AJ4751" i="2"/>
  <c r="AF4752" i="2"/>
  <c r="AK4752" i="2"/>
  <c r="AG4752" i="2"/>
  <c r="AL4752" i="2" s="1"/>
  <c r="AH4752" i="2"/>
  <c r="AI4752" i="2"/>
  <c r="AJ4752" i="2"/>
  <c r="AF4753" i="2"/>
  <c r="AK4753" i="2" s="1"/>
  <c r="AG4753" i="2"/>
  <c r="AH4753" i="2"/>
  <c r="AL4753" i="2" s="1"/>
  <c r="AI4753" i="2"/>
  <c r="AJ4753" i="2"/>
  <c r="AF4754" i="2"/>
  <c r="AK4754" i="2"/>
  <c r="AG4754" i="2"/>
  <c r="AH4754" i="2"/>
  <c r="AI4754" i="2"/>
  <c r="AJ4754" i="2"/>
  <c r="AF4755" i="2"/>
  <c r="AK4755" i="2" s="1"/>
  <c r="AL4755" i="2" s="1"/>
  <c r="AG4755" i="2"/>
  <c r="AH4755" i="2"/>
  <c r="AI4755" i="2"/>
  <c r="AJ4755" i="2"/>
  <c r="AF4756" i="2"/>
  <c r="AK4756" i="2"/>
  <c r="AG4756" i="2"/>
  <c r="AH4756" i="2"/>
  <c r="AI4756" i="2"/>
  <c r="AJ4756" i="2"/>
  <c r="AL4756" i="2" s="1"/>
  <c r="AF4757" i="2"/>
  <c r="AK4757" i="2"/>
  <c r="AG4757" i="2"/>
  <c r="AH4757" i="2"/>
  <c r="AI4757" i="2"/>
  <c r="AJ4757" i="2"/>
  <c r="AF4758" i="2"/>
  <c r="AK4758" i="2"/>
  <c r="AG4758" i="2"/>
  <c r="AH4758" i="2"/>
  <c r="AI4758" i="2"/>
  <c r="AJ4758" i="2"/>
  <c r="AL4758" i="2" s="1"/>
  <c r="AF4759" i="2"/>
  <c r="AK4759" i="2" s="1"/>
  <c r="AG4759" i="2"/>
  <c r="AH4759" i="2"/>
  <c r="AI4759" i="2"/>
  <c r="AL4759" i="2" s="1"/>
  <c r="AJ4759" i="2"/>
  <c r="AF4760" i="2"/>
  <c r="AK4760" i="2"/>
  <c r="AG4760" i="2"/>
  <c r="AL4760" i="2" s="1"/>
  <c r="AH4760" i="2"/>
  <c r="AI4760" i="2"/>
  <c r="AJ4760" i="2"/>
  <c r="AF4761" i="2"/>
  <c r="AK4761" i="2"/>
  <c r="AG4761" i="2"/>
  <c r="AL4761" i="2"/>
  <c r="AH4761" i="2"/>
  <c r="AI4761" i="2"/>
  <c r="AJ4761" i="2"/>
  <c r="AF4762" i="2"/>
  <c r="AK4762" i="2" s="1"/>
  <c r="AG4762" i="2"/>
  <c r="AL4762" i="2" s="1"/>
  <c r="AH4762" i="2"/>
  <c r="AI4762" i="2"/>
  <c r="AJ4762" i="2"/>
  <c r="AF4763" i="2"/>
  <c r="AK4763" i="2"/>
  <c r="AG4763" i="2"/>
  <c r="AH4763" i="2"/>
  <c r="AI4763" i="2"/>
  <c r="AJ4763" i="2"/>
  <c r="AF4764" i="2"/>
  <c r="AK4764" i="2"/>
  <c r="AG4764" i="2"/>
  <c r="AH4764" i="2"/>
  <c r="AI4764" i="2"/>
  <c r="AJ4764" i="2"/>
  <c r="AF4765" i="2"/>
  <c r="AK4765" i="2"/>
  <c r="AG4765" i="2"/>
  <c r="AL4765" i="2"/>
  <c r="AH4765" i="2"/>
  <c r="AI4765" i="2"/>
  <c r="AJ4765" i="2"/>
  <c r="AF4766" i="2"/>
  <c r="AK4766" i="2" s="1"/>
  <c r="AL4766" i="2" s="1"/>
  <c r="AG4766" i="2"/>
  <c r="AH4766" i="2"/>
  <c r="AI4766" i="2"/>
  <c r="AJ4766" i="2"/>
  <c r="AF4767" i="2"/>
  <c r="AK4767" i="2"/>
  <c r="AG4767" i="2"/>
  <c r="AL4767" i="2" s="1"/>
  <c r="AH4767" i="2"/>
  <c r="AI4767" i="2"/>
  <c r="AJ4767" i="2"/>
  <c r="AF4768" i="2"/>
  <c r="AK4768" i="2"/>
  <c r="AG4768" i="2"/>
  <c r="AL4768" i="2" s="1"/>
  <c r="AH4768" i="2"/>
  <c r="AI4768" i="2"/>
  <c r="AJ4768" i="2"/>
  <c r="AF4769" i="2"/>
  <c r="AK4769" i="2" s="1"/>
  <c r="AG4769" i="2"/>
  <c r="AH4769" i="2"/>
  <c r="AI4769" i="2"/>
  <c r="AJ4769" i="2"/>
  <c r="AL4769" i="2" s="1"/>
  <c r="AF4770" i="2"/>
  <c r="AK4770" i="2"/>
  <c r="AG4770" i="2"/>
  <c r="AH4770" i="2"/>
  <c r="AL4770" i="2" s="1"/>
  <c r="AI4770" i="2"/>
  <c r="AJ4770" i="2"/>
  <c r="AF4771" i="2"/>
  <c r="AK4771" i="2"/>
  <c r="AG4771" i="2"/>
  <c r="AH4771" i="2"/>
  <c r="AI4771" i="2"/>
  <c r="AJ4771" i="2"/>
  <c r="AL4771" i="2" s="1"/>
  <c r="AF4772" i="2"/>
  <c r="AK4772" i="2"/>
  <c r="AG4772" i="2"/>
  <c r="AH4772" i="2"/>
  <c r="AL4772" i="2" s="1"/>
  <c r="AI4772" i="2"/>
  <c r="AJ4772" i="2"/>
  <c r="AF4773" i="2"/>
  <c r="AK4773" i="2"/>
  <c r="AG4773" i="2"/>
  <c r="AH4773" i="2"/>
  <c r="AL4773" i="2" s="1"/>
  <c r="AI4773" i="2"/>
  <c r="AJ4773" i="2"/>
  <c r="AF4774" i="2"/>
  <c r="AK4774" i="2" s="1"/>
  <c r="AG4774" i="2"/>
  <c r="AL4774" i="2" s="1"/>
  <c r="AH4774" i="2"/>
  <c r="AI4774" i="2"/>
  <c r="AJ4774" i="2"/>
  <c r="AF4775" i="2"/>
  <c r="AK4775" i="2" s="1"/>
  <c r="AG4775" i="2"/>
  <c r="AH4775" i="2"/>
  <c r="AI4775" i="2"/>
  <c r="AJ4775" i="2"/>
  <c r="AF4776" i="2"/>
  <c r="AK4776" i="2" s="1"/>
  <c r="AG4776" i="2"/>
  <c r="AH4776" i="2"/>
  <c r="AI4776" i="2"/>
  <c r="AJ4776" i="2"/>
  <c r="AL4776" i="2" s="1"/>
  <c r="AF4777" i="2"/>
  <c r="AK4777" i="2"/>
  <c r="AG4777" i="2"/>
  <c r="AL4777" i="2" s="1"/>
  <c r="AH4777" i="2"/>
  <c r="AI4777" i="2"/>
  <c r="AJ4777" i="2"/>
  <c r="AF4778" i="2"/>
  <c r="AK4778" i="2" s="1"/>
  <c r="AG4778" i="2"/>
  <c r="AH4778" i="2"/>
  <c r="AI4778" i="2"/>
  <c r="AJ4778" i="2"/>
  <c r="AF4779" i="2"/>
  <c r="AK4779" i="2"/>
  <c r="AG4779" i="2"/>
  <c r="AH4779" i="2"/>
  <c r="AI4779" i="2"/>
  <c r="AJ4779" i="2"/>
  <c r="AF4780" i="2"/>
  <c r="AK4780" i="2" s="1"/>
  <c r="AG4780" i="2"/>
  <c r="AH4780" i="2"/>
  <c r="AI4780" i="2"/>
  <c r="AJ4780" i="2"/>
  <c r="AF4781" i="2"/>
  <c r="AK4781" i="2" s="1"/>
  <c r="AL4781" i="2" s="1"/>
  <c r="AG4781" i="2"/>
  <c r="AH4781" i="2"/>
  <c r="AI4781" i="2"/>
  <c r="AJ4781" i="2"/>
  <c r="AF4782" i="2"/>
  <c r="AK4782" i="2"/>
  <c r="AG4782" i="2"/>
  <c r="AL4782" i="2" s="1"/>
  <c r="AH4782" i="2"/>
  <c r="AI4782" i="2"/>
  <c r="AJ4782" i="2"/>
  <c r="AF4783" i="2"/>
  <c r="AK4783" i="2" s="1"/>
  <c r="AG4783" i="2"/>
  <c r="AL4783" i="2"/>
  <c r="AH4783" i="2"/>
  <c r="AI4783" i="2"/>
  <c r="AJ4783" i="2"/>
  <c r="AF4784" i="2"/>
  <c r="AK4784" i="2" s="1"/>
  <c r="AG4784" i="2"/>
  <c r="AH4784" i="2"/>
  <c r="AI4784" i="2"/>
  <c r="AJ4784" i="2"/>
  <c r="AF4785" i="2"/>
  <c r="AK4785" i="2"/>
  <c r="AG4785" i="2"/>
  <c r="AH4785" i="2"/>
  <c r="AI4785" i="2"/>
  <c r="AJ4785" i="2"/>
  <c r="AL4785" i="2" s="1"/>
  <c r="AF4786" i="2"/>
  <c r="AK4786" i="2" s="1"/>
  <c r="AG4786" i="2"/>
  <c r="AH4786" i="2"/>
  <c r="AI4786" i="2"/>
  <c r="AL4786" i="2" s="1"/>
  <c r="AJ4786" i="2"/>
  <c r="AF4787" i="2"/>
  <c r="AK4787" i="2" s="1"/>
  <c r="AG4787" i="2"/>
  <c r="AH4787" i="2"/>
  <c r="AI4787" i="2"/>
  <c r="AJ4787" i="2"/>
  <c r="AL4787" i="2" s="1"/>
  <c r="AF4788" i="2"/>
  <c r="AK4788" i="2"/>
  <c r="AG4788" i="2"/>
  <c r="AH4788" i="2"/>
  <c r="AI4788" i="2"/>
  <c r="AJ4788" i="2"/>
  <c r="AF4789" i="2"/>
  <c r="AK4789" i="2" s="1"/>
  <c r="AG4789" i="2"/>
  <c r="AL4789" i="2" s="1"/>
  <c r="AH4789" i="2"/>
  <c r="AI4789" i="2"/>
  <c r="AJ4789" i="2"/>
  <c r="AF4790" i="2"/>
  <c r="AK4790" i="2" s="1"/>
  <c r="AG4790" i="2"/>
  <c r="AH4790" i="2"/>
  <c r="AI4790" i="2"/>
  <c r="AJ4790" i="2"/>
  <c r="AF4791" i="2"/>
  <c r="AK4791" i="2"/>
  <c r="AG4791" i="2"/>
  <c r="AL4791" i="2" s="1"/>
  <c r="AH4791" i="2"/>
  <c r="AI4791" i="2"/>
  <c r="AJ4791" i="2"/>
  <c r="AF4792" i="2"/>
  <c r="AK4792" i="2" s="1"/>
  <c r="AG4792" i="2"/>
  <c r="AH4792" i="2"/>
  <c r="AL4792" i="2" s="1"/>
  <c r="AI4792" i="2"/>
  <c r="AJ4792" i="2"/>
  <c r="AF4793" i="2"/>
  <c r="AK4793" i="2"/>
  <c r="AG4793" i="2"/>
  <c r="AH4793" i="2"/>
  <c r="AI4793" i="2"/>
  <c r="AJ4793" i="2"/>
  <c r="AF4794" i="2"/>
  <c r="AK4794" i="2"/>
  <c r="AG4794" i="2"/>
  <c r="AH4794" i="2"/>
  <c r="AI4794" i="2"/>
  <c r="AJ4794" i="2"/>
  <c r="AF4795" i="2"/>
  <c r="AK4795" i="2" s="1"/>
  <c r="AG4795" i="2"/>
  <c r="AL4795" i="2" s="1"/>
  <c r="AH4795" i="2"/>
  <c r="AI4795" i="2"/>
  <c r="AJ4795" i="2"/>
  <c r="AF4796" i="2"/>
  <c r="AK4796" i="2" s="1"/>
  <c r="AG4796" i="2"/>
  <c r="AH4796" i="2"/>
  <c r="AI4796" i="2"/>
  <c r="AJ4796" i="2"/>
  <c r="AF4797" i="2"/>
  <c r="AK4797" i="2"/>
  <c r="AG4797" i="2"/>
  <c r="AH4797" i="2"/>
  <c r="AI4797" i="2"/>
  <c r="AJ4797" i="2"/>
  <c r="AF4798" i="2"/>
  <c r="AK4798" i="2" s="1"/>
  <c r="AG4798" i="2"/>
  <c r="AH4798" i="2"/>
  <c r="AI4798" i="2"/>
  <c r="AJ4798" i="2"/>
  <c r="AF4799" i="2"/>
  <c r="AK4799" i="2"/>
  <c r="AG4799" i="2"/>
  <c r="AH4799" i="2"/>
  <c r="AI4799" i="2"/>
  <c r="AJ4799" i="2"/>
  <c r="AF4800" i="2"/>
  <c r="AK4800" i="2" s="1"/>
  <c r="AG4800" i="2"/>
  <c r="AH4800" i="2"/>
  <c r="AI4800" i="2"/>
  <c r="AJ4800" i="2"/>
  <c r="AF4801" i="2"/>
  <c r="AK4801" i="2"/>
  <c r="AG4801" i="2"/>
  <c r="AL4801" i="2" s="1"/>
  <c r="AH4801" i="2"/>
  <c r="AI4801" i="2"/>
  <c r="AJ4801" i="2"/>
  <c r="AF4802" i="2"/>
  <c r="AK4802" i="2"/>
  <c r="AG4802" i="2"/>
  <c r="AH4802" i="2"/>
  <c r="AL4802" i="2" s="1"/>
  <c r="AI4802" i="2"/>
  <c r="AJ4802" i="2"/>
  <c r="AF4803" i="2"/>
  <c r="AK4803" i="2"/>
  <c r="AG4803" i="2"/>
  <c r="AH4803" i="2"/>
  <c r="AI4803" i="2"/>
  <c r="AJ4803" i="2"/>
  <c r="AF4804" i="2"/>
  <c r="AK4804" i="2"/>
  <c r="AG4804" i="2"/>
  <c r="AH4804" i="2"/>
  <c r="AI4804" i="2"/>
  <c r="AJ4804" i="2"/>
  <c r="AF4805" i="2"/>
  <c r="AK4805" i="2" s="1"/>
  <c r="AG4805" i="2"/>
  <c r="AL4805" i="2" s="1"/>
  <c r="AH4805" i="2"/>
  <c r="AI4805" i="2"/>
  <c r="AJ4805" i="2"/>
  <c r="AF4806" i="2"/>
  <c r="AK4806" i="2" s="1"/>
  <c r="AL4806" i="2" s="1"/>
  <c r="AG4806" i="2"/>
  <c r="AH4806" i="2"/>
  <c r="AI4806" i="2"/>
  <c r="AJ4806" i="2"/>
  <c r="AF4807" i="2"/>
  <c r="AK4807" i="2"/>
  <c r="AG4807" i="2"/>
  <c r="AL4807" i="2" s="1"/>
  <c r="AH4807" i="2"/>
  <c r="AI4807" i="2"/>
  <c r="AJ4807" i="2"/>
  <c r="AF4808" i="2"/>
  <c r="AK4808" i="2" s="1"/>
  <c r="AG4808" i="2"/>
  <c r="AH4808" i="2"/>
  <c r="AI4808" i="2"/>
  <c r="AJ4808" i="2"/>
  <c r="AF4809" i="2"/>
  <c r="AK4809" i="2"/>
  <c r="AG4809" i="2"/>
  <c r="AH4809" i="2"/>
  <c r="AI4809" i="2"/>
  <c r="AJ4809" i="2"/>
  <c r="AF4810" i="2"/>
  <c r="AK4810" i="2"/>
  <c r="AG4810" i="2"/>
  <c r="AL4810" i="2"/>
  <c r="AH4810" i="2"/>
  <c r="AI4810" i="2"/>
  <c r="AJ4810" i="2"/>
  <c r="AF4811" i="2"/>
  <c r="AK4811" i="2" s="1"/>
  <c r="AL4811" i="2" s="1"/>
  <c r="AG4811" i="2"/>
  <c r="AH4811" i="2"/>
  <c r="AI4811" i="2"/>
  <c r="AJ4811" i="2"/>
  <c r="AF4812" i="2"/>
  <c r="AK4812" i="2"/>
  <c r="AG4812" i="2"/>
  <c r="AL4812" i="2" s="1"/>
  <c r="AH4812" i="2"/>
  <c r="AI4812" i="2"/>
  <c r="AJ4812" i="2"/>
  <c r="AF4813" i="2"/>
  <c r="AK4813" i="2"/>
  <c r="AG4813" i="2"/>
  <c r="AH4813" i="2"/>
  <c r="AI4813" i="2"/>
  <c r="AJ4813" i="2"/>
  <c r="AF4814" i="2"/>
  <c r="AK4814" i="2"/>
  <c r="AG4814" i="2"/>
  <c r="AL4814" i="2" s="1"/>
  <c r="AH4814" i="2"/>
  <c r="AI4814" i="2"/>
  <c r="AJ4814" i="2"/>
  <c r="AF4815" i="2"/>
  <c r="AK4815" i="2" s="1"/>
  <c r="AG4815" i="2"/>
  <c r="AH4815" i="2"/>
  <c r="AI4815" i="2"/>
  <c r="AJ4815" i="2"/>
  <c r="AF4816" i="2"/>
  <c r="AK4816" i="2"/>
  <c r="AG4816" i="2"/>
  <c r="AH4816" i="2"/>
  <c r="AI4816" i="2"/>
  <c r="AJ4816" i="2"/>
  <c r="AF4817" i="2"/>
  <c r="AK4817" i="2"/>
  <c r="AG4817" i="2"/>
  <c r="AH4817" i="2"/>
  <c r="AL4817" i="2" s="1"/>
  <c r="AI4817" i="2"/>
  <c r="AJ4817" i="2"/>
  <c r="AF4818" i="2"/>
  <c r="AK4818" i="2"/>
  <c r="AG4818" i="2"/>
  <c r="AH4818" i="2"/>
  <c r="AI4818" i="2"/>
  <c r="AJ4818" i="2"/>
  <c r="AL4818" i="2" s="1"/>
  <c r="AF4819" i="2"/>
  <c r="AK4819" i="2"/>
  <c r="AG4819" i="2"/>
  <c r="AH4819" i="2"/>
  <c r="AI4819" i="2"/>
  <c r="AJ4819" i="2"/>
  <c r="AF4820" i="2"/>
  <c r="AK4820" i="2"/>
  <c r="AG4820" i="2"/>
  <c r="AH4820" i="2"/>
  <c r="AI4820" i="2"/>
  <c r="AL4820" i="2" s="1"/>
  <c r="AJ4820" i="2"/>
  <c r="AF4821" i="2"/>
  <c r="AK4821" i="2" s="1"/>
  <c r="AG4821" i="2"/>
  <c r="AH4821" i="2"/>
  <c r="AL4821" i="2" s="1"/>
  <c r="AI4821" i="2"/>
  <c r="AJ4821" i="2"/>
  <c r="AF4822" i="2"/>
  <c r="AK4822" i="2"/>
  <c r="AG4822" i="2"/>
  <c r="AH4822" i="2"/>
  <c r="AI4822" i="2"/>
  <c r="AJ4822" i="2"/>
  <c r="AF4823" i="2"/>
  <c r="AK4823" i="2"/>
  <c r="AG4823" i="2"/>
  <c r="AL4823" i="2"/>
  <c r="AH4823" i="2"/>
  <c r="AI4823" i="2"/>
  <c r="AJ4823" i="2"/>
  <c r="AF4824" i="2"/>
  <c r="AK4824" i="2" s="1"/>
  <c r="AL4824" i="2" s="1"/>
  <c r="AG4824" i="2"/>
  <c r="AH4824" i="2"/>
  <c r="AI4824" i="2"/>
  <c r="AJ4824" i="2"/>
  <c r="AF4825" i="2"/>
  <c r="AK4825" i="2"/>
  <c r="AG4825" i="2"/>
  <c r="AH4825" i="2"/>
  <c r="AI4825" i="2"/>
  <c r="AJ4825" i="2"/>
  <c r="AF4826" i="2"/>
  <c r="AK4826" i="2" s="1"/>
  <c r="AG4826" i="2"/>
  <c r="AL4826" i="2" s="1"/>
  <c r="AH4826" i="2"/>
  <c r="AI4826" i="2"/>
  <c r="AJ4826" i="2"/>
  <c r="AF4827" i="2"/>
  <c r="AK4827" i="2"/>
  <c r="AG4827" i="2"/>
  <c r="AH4827" i="2"/>
  <c r="AL4827" i="2" s="1"/>
  <c r="AI4827" i="2"/>
  <c r="AJ4827" i="2"/>
  <c r="AF4828" i="2"/>
  <c r="AK4828" i="2" s="1"/>
  <c r="AL4828" i="2" s="1"/>
  <c r="AG4828" i="2"/>
  <c r="AH4828" i="2"/>
  <c r="AI4828" i="2"/>
  <c r="AJ4828" i="2"/>
  <c r="AF4829" i="2"/>
  <c r="AK4829" i="2"/>
  <c r="AG4829" i="2"/>
  <c r="AH4829" i="2"/>
  <c r="AI4829" i="2"/>
  <c r="AJ4829" i="2"/>
  <c r="AL4829" i="2" s="1"/>
  <c r="AF4830" i="2"/>
  <c r="AK4830" i="2"/>
  <c r="AG4830" i="2"/>
  <c r="AL4830" i="2"/>
  <c r="AH4830" i="2"/>
  <c r="AI4830" i="2"/>
  <c r="AJ4830" i="2"/>
  <c r="AF4831" i="2"/>
  <c r="AK4831" i="2" s="1"/>
  <c r="AG4831" i="2"/>
  <c r="AH4831" i="2"/>
  <c r="AI4831" i="2"/>
  <c r="AJ4831" i="2"/>
  <c r="AF4832" i="2"/>
  <c r="AK4832" i="2"/>
  <c r="AG4832" i="2"/>
  <c r="AL4832" i="2" s="1"/>
  <c r="AH4832" i="2"/>
  <c r="AI4832" i="2"/>
  <c r="AJ4832" i="2"/>
  <c r="AF4833" i="2"/>
  <c r="AK4833" i="2" s="1"/>
  <c r="AG4833" i="2"/>
  <c r="AL4833" i="2" s="1"/>
  <c r="AH4833" i="2"/>
  <c r="AI4833" i="2"/>
  <c r="AJ4833" i="2"/>
  <c r="AF4834" i="2"/>
  <c r="AK4834" i="2"/>
  <c r="AG4834" i="2"/>
  <c r="AH4834" i="2"/>
  <c r="AI4834" i="2"/>
  <c r="AJ4834" i="2"/>
  <c r="AF4835" i="2"/>
  <c r="AK4835" i="2"/>
  <c r="AG4835" i="2"/>
  <c r="AH4835" i="2"/>
  <c r="AI4835" i="2"/>
  <c r="AJ4835" i="2"/>
  <c r="AF4836" i="2"/>
  <c r="AK4836" i="2" s="1"/>
  <c r="AG4836" i="2"/>
  <c r="AL4836" i="2" s="1"/>
  <c r="AH4836" i="2"/>
  <c r="AI4836" i="2"/>
  <c r="AJ4836" i="2"/>
  <c r="AF4837" i="2"/>
  <c r="AK4837" i="2" s="1"/>
  <c r="AG4837" i="2"/>
  <c r="AH4837" i="2"/>
  <c r="AI4837" i="2"/>
  <c r="AJ4837" i="2"/>
  <c r="AF4838" i="2"/>
  <c r="AK4838" i="2" s="1"/>
  <c r="AG4838" i="2"/>
  <c r="AL4838" i="2"/>
  <c r="AH4838" i="2"/>
  <c r="AI4838" i="2"/>
  <c r="AJ4838" i="2"/>
  <c r="AF4839" i="2"/>
  <c r="AK4839" i="2" s="1"/>
  <c r="AL4839" i="2" s="1"/>
  <c r="AG4839" i="2"/>
  <c r="AH4839" i="2"/>
  <c r="AI4839" i="2"/>
  <c r="AJ4839" i="2"/>
  <c r="AF4840" i="2"/>
  <c r="AK4840" i="2"/>
  <c r="AG4840" i="2"/>
  <c r="AH4840" i="2"/>
  <c r="AI4840" i="2"/>
  <c r="AJ4840" i="2"/>
  <c r="AL4840" i="2" s="1"/>
  <c r="AF4841" i="2"/>
  <c r="AK4841" i="2" s="1"/>
  <c r="AG4841" i="2"/>
  <c r="AH4841" i="2"/>
  <c r="AL4841" i="2"/>
  <c r="AI4841" i="2"/>
  <c r="AJ4841" i="2"/>
  <c r="AF4842" i="2"/>
  <c r="AK4842" i="2"/>
  <c r="AL4842" i="2" s="1"/>
  <c r="AG4842" i="2"/>
  <c r="AH4842" i="2"/>
  <c r="AI4842" i="2"/>
  <c r="AJ4842" i="2"/>
  <c r="AF4843" i="2"/>
  <c r="AK4843" i="2" s="1"/>
  <c r="AG4843" i="2"/>
  <c r="AH4843" i="2"/>
  <c r="AI4843" i="2"/>
  <c r="AJ4843" i="2"/>
  <c r="AF4844" i="2"/>
  <c r="AK4844" i="2" s="1"/>
  <c r="AL4844" i="2" s="1"/>
  <c r="AG4844" i="2"/>
  <c r="AH4844" i="2"/>
  <c r="AI4844" i="2"/>
  <c r="AJ4844" i="2"/>
  <c r="AF4845" i="2"/>
  <c r="AK4845" i="2" s="1"/>
  <c r="AG4845" i="2"/>
  <c r="AH4845" i="2"/>
  <c r="AL4845" i="2" s="1"/>
  <c r="AI4845" i="2"/>
  <c r="AJ4845" i="2"/>
  <c r="AF4846" i="2"/>
  <c r="AK4846" i="2"/>
  <c r="AG4846" i="2"/>
  <c r="AH4846" i="2"/>
  <c r="AI4846" i="2"/>
  <c r="AJ4846" i="2"/>
  <c r="AL4846" i="2" s="1"/>
  <c r="AF4847" i="2"/>
  <c r="AK4847" i="2"/>
  <c r="AG4847" i="2"/>
  <c r="AH4847" i="2"/>
  <c r="AI4847" i="2"/>
  <c r="AJ4847" i="2"/>
  <c r="AF4848" i="2"/>
  <c r="AK4848" i="2" s="1"/>
  <c r="AG4848" i="2"/>
  <c r="AH4848" i="2"/>
  <c r="AL4848" i="2" s="1"/>
  <c r="AI4848" i="2"/>
  <c r="AJ4848" i="2"/>
  <c r="AF4849" i="2"/>
  <c r="AK4849" i="2"/>
  <c r="AG4849" i="2"/>
  <c r="AH4849" i="2"/>
  <c r="AL4849" i="2" s="1"/>
  <c r="AI4849" i="2"/>
  <c r="AJ4849" i="2"/>
  <c r="AF4850" i="2"/>
  <c r="AK4850" i="2"/>
  <c r="AG4850" i="2"/>
  <c r="AL4850" i="2" s="1"/>
  <c r="AH4850" i="2"/>
  <c r="AI4850" i="2"/>
  <c r="AJ4850" i="2"/>
  <c r="AF4851" i="2"/>
  <c r="AK4851" i="2" s="1"/>
  <c r="AG4851" i="2"/>
  <c r="AH4851" i="2"/>
  <c r="AI4851" i="2"/>
  <c r="AJ4851" i="2"/>
  <c r="AF4852" i="2"/>
  <c r="AK4852" i="2"/>
  <c r="AG4852" i="2"/>
  <c r="AH4852" i="2"/>
  <c r="AI4852" i="2"/>
  <c r="AL4852" i="2" s="1"/>
  <c r="AJ4852" i="2"/>
  <c r="AF4853" i="2"/>
  <c r="AK4853" i="2"/>
  <c r="AG4853" i="2"/>
  <c r="AL4853" i="2" s="1"/>
  <c r="AH4853" i="2"/>
  <c r="AI4853" i="2"/>
  <c r="AJ4853" i="2"/>
  <c r="AF4854" i="2"/>
  <c r="AK4854" i="2" s="1"/>
  <c r="AG4854" i="2"/>
  <c r="AH4854" i="2"/>
  <c r="AL4854" i="2" s="1"/>
  <c r="AI4854" i="2"/>
  <c r="AJ4854" i="2"/>
  <c r="AF4855" i="2"/>
  <c r="AK4855" i="2"/>
  <c r="AG4855" i="2"/>
  <c r="AH4855" i="2"/>
  <c r="AI4855" i="2"/>
  <c r="AJ4855" i="2"/>
  <c r="AF4856" i="2"/>
  <c r="AK4856" i="2"/>
  <c r="AG4856" i="2"/>
  <c r="AH4856" i="2"/>
  <c r="AL4856" i="2" s="1"/>
  <c r="AI4856" i="2"/>
  <c r="AJ4856" i="2"/>
  <c r="AF4857" i="2"/>
  <c r="AK4857" i="2"/>
  <c r="AG4857" i="2"/>
  <c r="AH4857" i="2"/>
  <c r="AL4857" i="2" s="1"/>
  <c r="AI4857" i="2"/>
  <c r="AJ4857" i="2"/>
  <c r="AF4858" i="2"/>
  <c r="AK4858" i="2"/>
  <c r="AG4858" i="2"/>
  <c r="AH4858" i="2"/>
  <c r="AI4858" i="2"/>
  <c r="AJ4858" i="2"/>
  <c r="AF4859" i="2"/>
  <c r="AK4859" i="2" s="1"/>
  <c r="AG4859" i="2"/>
  <c r="AH4859" i="2"/>
  <c r="AL4859" i="2" s="1"/>
  <c r="AI4859" i="2"/>
  <c r="AJ4859" i="2"/>
  <c r="AF4860" i="2"/>
  <c r="AK4860" i="2"/>
  <c r="AG4860" i="2"/>
  <c r="AH4860" i="2"/>
  <c r="AI4860" i="2"/>
  <c r="AJ4860" i="2"/>
  <c r="AF4861" i="2"/>
  <c r="AK4861" i="2"/>
  <c r="AG4861" i="2"/>
  <c r="AL4861" i="2" s="1"/>
  <c r="AH4861" i="2"/>
  <c r="AI4861" i="2"/>
  <c r="AJ4861" i="2"/>
  <c r="AF4862" i="2"/>
  <c r="AK4862" i="2" s="1"/>
  <c r="AG4862" i="2"/>
  <c r="AH4862" i="2"/>
  <c r="AI4862" i="2"/>
  <c r="AJ4862" i="2"/>
  <c r="AF4863" i="2"/>
  <c r="AK4863" i="2"/>
  <c r="AG4863" i="2"/>
  <c r="AH4863" i="2"/>
  <c r="AI4863" i="2"/>
  <c r="AL4863" i="2" s="1"/>
  <c r="AJ4863" i="2"/>
  <c r="AF4864" i="2"/>
  <c r="AK4864" i="2"/>
  <c r="AG4864" i="2"/>
  <c r="AL4864" i="2" s="1"/>
  <c r="AH4864" i="2"/>
  <c r="AI4864" i="2"/>
  <c r="AJ4864" i="2"/>
  <c r="AF4865" i="2"/>
  <c r="AK4865" i="2"/>
  <c r="AG4865" i="2"/>
  <c r="AH4865" i="2"/>
  <c r="AL4865" i="2" s="1"/>
  <c r="AI4865" i="2"/>
  <c r="AJ4865" i="2"/>
  <c r="AF4866" i="2"/>
  <c r="AK4866" i="2" s="1"/>
  <c r="AG4866" i="2"/>
  <c r="AH4866" i="2"/>
  <c r="AL4866" i="2" s="1"/>
  <c r="AI4866" i="2"/>
  <c r="AJ4866" i="2"/>
  <c r="AF4867" i="2"/>
  <c r="AK4867" i="2"/>
  <c r="AG4867" i="2"/>
  <c r="AL4867" i="2" s="1"/>
  <c r="AH4867" i="2"/>
  <c r="AI4867" i="2"/>
  <c r="AJ4867" i="2"/>
  <c r="AF4868" i="2"/>
  <c r="AK4868" i="2"/>
  <c r="AG4868" i="2"/>
  <c r="AL4868" i="2" s="1"/>
  <c r="AH4868" i="2"/>
  <c r="AI4868" i="2"/>
  <c r="AJ4868" i="2"/>
  <c r="AF4869" i="2"/>
  <c r="AK4869" i="2"/>
  <c r="AG4869" i="2"/>
  <c r="AL4869" i="2"/>
  <c r="AH4869" i="2"/>
  <c r="AI4869" i="2"/>
  <c r="AJ4869" i="2"/>
  <c r="AF4870" i="2"/>
  <c r="AK4870" i="2" s="1"/>
  <c r="AL4870" i="2" s="1"/>
  <c r="AG4870" i="2"/>
  <c r="AH4870" i="2"/>
  <c r="AI4870" i="2"/>
  <c r="AJ4870" i="2"/>
  <c r="AF4871" i="2"/>
  <c r="AK4871" i="2"/>
  <c r="AG4871" i="2"/>
  <c r="AH4871" i="2"/>
  <c r="AI4871" i="2"/>
  <c r="AJ4871" i="2"/>
  <c r="AL4871" i="2" s="1"/>
  <c r="AF4872" i="2"/>
  <c r="AK4872" i="2"/>
  <c r="AG4872" i="2"/>
  <c r="AH4872" i="2"/>
  <c r="AL4872" i="2" s="1"/>
  <c r="AI4872" i="2"/>
  <c r="AJ4872" i="2"/>
  <c r="AF4873" i="2"/>
  <c r="AK4873" i="2"/>
  <c r="AG4873" i="2"/>
  <c r="AH4873" i="2"/>
  <c r="AL4873" i="2" s="1"/>
  <c r="AI4873" i="2"/>
  <c r="AJ4873" i="2"/>
  <c r="AF4874" i="2"/>
  <c r="AK4874" i="2"/>
  <c r="AG4874" i="2"/>
  <c r="AL4874" i="2" s="1"/>
  <c r="AH4874" i="2"/>
  <c r="AI4874" i="2"/>
  <c r="AJ4874" i="2"/>
  <c r="AF4875" i="2"/>
  <c r="AK4875" i="2" s="1"/>
  <c r="AG4875" i="2"/>
  <c r="AH4875" i="2"/>
  <c r="AI4875" i="2"/>
  <c r="AJ4875" i="2"/>
  <c r="AF4876" i="2"/>
  <c r="AK4876" i="2"/>
  <c r="AG4876" i="2"/>
  <c r="AL4876" i="2" s="1"/>
  <c r="AH4876" i="2"/>
  <c r="AI4876" i="2"/>
  <c r="AJ4876" i="2"/>
  <c r="AF4877" i="2"/>
  <c r="AG4877" i="2"/>
  <c r="AH4877" i="2"/>
  <c r="AI4877" i="2"/>
  <c r="AJ4877" i="2"/>
  <c r="AK4877" i="2"/>
  <c r="AF4878" i="2"/>
  <c r="AK4878" i="2"/>
  <c r="AG4878" i="2"/>
  <c r="AH4878" i="2"/>
  <c r="AI4878" i="2"/>
  <c r="AL4878" i="2" s="1"/>
  <c r="AJ4878" i="2"/>
  <c r="AF4879" i="2"/>
  <c r="AK4879" i="2"/>
  <c r="AG4879" i="2"/>
  <c r="AL4879" i="2" s="1"/>
  <c r="AH4879" i="2"/>
  <c r="AI4879" i="2"/>
  <c r="AJ4879" i="2"/>
  <c r="AF4880" i="2"/>
  <c r="AK4880" i="2" s="1"/>
  <c r="AG4880" i="2"/>
  <c r="AH4880" i="2"/>
  <c r="AI4880" i="2"/>
  <c r="AJ4880" i="2"/>
  <c r="AF4881" i="2"/>
  <c r="AK4881" i="2"/>
  <c r="AG4881" i="2"/>
  <c r="AL4881" i="2" s="1"/>
  <c r="AH4881" i="2"/>
  <c r="AI4881" i="2"/>
  <c r="AJ4881" i="2"/>
  <c r="AF4882" i="2"/>
  <c r="AK4882" i="2"/>
  <c r="AG4882" i="2"/>
  <c r="AH4882" i="2"/>
  <c r="AI4882" i="2"/>
  <c r="AJ4882" i="2"/>
  <c r="AL4882" i="2" s="1"/>
  <c r="AF4883" i="2"/>
  <c r="AK4883" i="2"/>
  <c r="AG4883" i="2"/>
  <c r="AL4883" i="2" s="1"/>
  <c r="AH4883" i="2"/>
  <c r="AI4883" i="2"/>
  <c r="AJ4883" i="2"/>
  <c r="AF4884" i="2"/>
  <c r="AK4884" i="2" s="1"/>
  <c r="AG4884" i="2"/>
  <c r="AH4884" i="2"/>
  <c r="AI4884" i="2"/>
  <c r="AJ4884" i="2"/>
  <c r="AF4885" i="2"/>
  <c r="AK4885" i="2"/>
  <c r="AG4885" i="2"/>
  <c r="AH4885" i="2"/>
  <c r="AI4885" i="2"/>
  <c r="AJ4885" i="2"/>
  <c r="AF4886" i="2"/>
  <c r="AK4886" i="2" s="1"/>
  <c r="AG4886" i="2"/>
  <c r="AH4886" i="2"/>
  <c r="AL4886" i="2" s="1"/>
  <c r="AI4886" i="2"/>
  <c r="AJ4886" i="2"/>
  <c r="AF4887" i="2"/>
  <c r="AK4887" i="2"/>
  <c r="AG4887" i="2"/>
  <c r="AL4887" i="2" s="1"/>
  <c r="AH4887" i="2"/>
  <c r="AI4887" i="2"/>
  <c r="AJ4887" i="2"/>
  <c r="AF4888" i="2"/>
  <c r="AK4888" i="2"/>
  <c r="AG4888" i="2"/>
  <c r="AL4888" i="2" s="1"/>
  <c r="AH4888" i="2"/>
  <c r="AI4888" i="2"/>
  <c r="AJ4888" i="2"/>
  <c r="AF4889" i="2"/>
  <c r="AK4889" i="2"/>
  <c r="AG4889" i="2"/>
  <c r="AL4889" i="2" s="1"/>
  <c r="AH4889" i="2"/>
  <c r="AI4889" i="2"/>
  <c r="AJ4889" i="2"/>
  <c r="AF4890" i="2"/>
  <c r="AK4890" i="2" s="1"/>
  <c r="AG4890" i="2"/>
  <c r="AH4890" i="2"/>
  <c r="AI4890" i="2"/>
  <c r="AL4890" i="2" s="1"/>
  <c r="AJ4890" i="2"/>
  <c r="AF4891" i="2"/>
  <c r="AK4891" i="2"/>
  <c r="AG4891" i="2"/>
  <c r="AH4891" i="2"/>
  <c r="AI4891" i="2"/>
  <c r="AJ4891" i="2"/>
  <c r="AL4891" i="2" s="1"/>
  <c r="AF4892" i="2"/>
  <c r="AK4892" i="2"/>
  <c r="AG4892" i="2"/>
  <c r="AH4892" i="2"/>
  <c r="AL4892" i="2" s="1"/>
  <c r="AI4892" i="2"/>
  <c r="AJ4892" i="2"/>
  <c r="AF4893" i="2"/>
  <c r="AK4893" i="2"/>
  <c r="AG4893" i="2"/>
  <c r="AH4893" i="2"/>
  <c r="AL4893" i="2" s="1"/>
  <c r="AI4893" i="2"/>
  <c r="AJ4893" i="2"/>
  <c r="AF4894" i="2"/>
  <c r="AK4894" i="2"/>
  <c r="AG4894" i="2"/>
  <c r="AL4894" i="2" s="1"/>
  <c r="AH4894" i="2"/>
  <c r="AI4894" i="2"/>
  <c r="AJ4894" i="2"/>
  <c r="AF4895" i="2"/>
  <c r="AK4895" i="2" s="1"/>
  <c r="AL4895" i="2" s="1"/>
  <c r="AG4895" i="2"/>
  <c r="AH4895" i="2"/>
  <c r="AI4895" i="2"/>
  <c r="AJ4895" i="2"/>
  <c r="AF4896" i="2"/>
  <c r="AK4896" i="2"/>
  <c r="AG4896" i="2"/>
  <c r="AL4896" i="2" s="1"/>
  <c r="AH4896" i="2"/>
  <c r="AI4896" i="2"/>
  <c r="AJ4896" i="2"/>
  <c r="AF4897" i="2"/>
  <c r="AK4897" i="2" s="1"/>
  <c r="AG4897" i="2"/>
  <c r="AH4897" i="2"/>
  <c r="AL4897" i="2" s="1"/>
  <c r="AI4897" i="2"/>
  <c r="AJ4897" i="2"/>
  <c r="AF4898" i="2"/>
  <c r="AK4898" i="2"/>
  <c r="AG4898" i="2"/>
  <c r="AH4898" i="2"/>
  <c r="AL4898" i="2" s="1"/>
  <c r="AI4898" i="2"/>
  <c r="AJ4898" i="2"/>
  <c r="AF4899" i="2"/>
  <c r="AK4899" i="2"/>
  <c r="AG4899" i="2"/>
  <c r="AL4899" i="2" s="1"/>
  <c r="AH4899" i="2"/>
  <c r="AI4899" i="2"/>
  <c r="AJ4899" i="2"/>
  <c r="AF4900" i="2"/>
  <c r="AK4900" i="2"/>
  <c r="AG4900" i="2"/>
  <c r="AH4900" i="2"/>
  <c r="AL4900" i="2" s="1"/>
  <c r="AI4900" i="2"/>
  <c r="AJ4900" i="2"/>
  <c r="AF4901" i="2"/>
  <c r="AK4901" i="2"/>
  <c r="AG4901" i="2"/>
  <c r="AL4901" i="2" s="1"/>
  <c r="AH4901" i="2"/>
  <c r="AI4901" i="2"/>
  <c r="AJ4901" i="2"/>
  <c r="AF4902" i="2"/>
  <c r="AK4902" i="2"/>
  <c r="AG4902" i="2"/>
  <c r="AL4902" i="2" s="1"/>
  <c r="AH4902" i="2"/>
  <c r="AI4902" i="2"/>
  <c r="AJ4902" i="2"/>
  <c r="AF4903" i="2"/>
  <c r="AK4903" i="2"/>
  <c r="AG4903" i="2"/>
  <c r="AH4903" i="2"/>
  <c r="AI4903" i="2"/>
  <c r="AJ4903" i="2"/>
  <c r="AF4904" i="2"/>
  <c r="AK4904" i="2"/>
  <c r="AG4904" i="2"/>
  <c r="AH4904" i="2"/>
  <c r="AI4904" i="2"/>
  <c r="AJ4904" i="2"/>
  <c r="AL4904" i="2" s="1"/>
  <c r="AF4905" i="2"/>
  <c r="AK4905" i="2"/>
  <c r="AG4905" i="2"/>
  <c r="AH4905" i="2"/>
  <c r="AL4905" i="2" s="1"/>
  <c r="AI4905" i="2"/>
  <c r="AJ4905" i="2"/>
  <c r="AF4906" i="2"/>
  <c r="AK4906" i="2"/>
  <c r="AG4906" i="2"/>
  <c r="AH4906" i="2"/>
  <c r="AI4906" i="2"/>
  <c r="AJ4906" i="2"/>
  <c r="AL4906" i="2" s="1"/>
  <c r="AF4907" i="2"/>
  <c r="AK4907" i="2"/>
  <c r="AG4907" i="2"/>
  <c r="AL4907" i="2" s="1"/>
  <c r="AH4907" i="2"/>
  <c r="AI4907" i="2"/>
  <c r="AJ4907" i="2"/>
  <c r="AF4908" i="2"/>
  <c r="AK4908" i="2" s="1"/>
  <c r="AG4908" i="2"/>
  <c r="AH4908" i="2"/>
  <c r="AI4908" i="2"/>
  <c r="AJ4908" i="2"/>
  <c r="AF4909" i="2"/>
  <c r="AK4909" i="2"/>
  <c r="AG4909" i="2"/>
  <c r="AH4909" i="2"/>
  <c r="AI4909" i="2"/>
  <c r="AJ4909" i="2"/>
  <c r="AL4909" i="2" s="1"/>
  <c r="AF4910" i="2"/>
  <c r="AK4910" i="2"/>
  <c r="AG4910" i="2"/>
  <c r="AH4910" i="2"/>
  <c r="AI4910" i="2"/>
  <c r="AJ4910" i="2"/>
  <c r="AF4911" i="2"/>
  <c r="AK4911" i="2"/>
  <c r="AG4911" i="2"/>
  <c r="AH4911" i="2"/>
  <c r="AI4911" i="2"/>
  <c r="AJ4911" i="2"/>
  <c r="AL4911" i="2" s="1"/>
  <c r="AF4912" i="2"/>
  <c r="AK4912" i="2"/>
  <c r="AG4912" i="2"/>
  <c r="AH4912" i="2"/>
  <c r="AL4912" i="2" s="1"/>
  <c r="AI4912" i="2"/>
  <c r="AJ4912" i="2"/>
  <c r="AF4913" i="2"/>
  <c r="AK4913" i="2"/>
  <c r="AG4913" i="2"/>
  <c r="AH4913" i="2"/>
  <c r="AI4913" i="2"/>
  <c r="AJ4913" i="2"/>
  <c r="AF4914" i="2"/>
  <c r="AK4914" i="2"/>
  <c r="AG4914" i="2"/>
  <c r="AH4914" i="2"/>
  <c r="AL4914" i="2" s="1"/>
  <c r="AI4914" i="2"/>
  <c r="AJ4914" i="2"/>
  <c r="AF4915" i="2"/>
  <c r="AK4915" i="2"/>
  <c r="AG4915" i="2"/>
  <c r="AH4915" i="2"/>
  <c r="AL4915" i="2" s="1"/>
  <c r="AI4915" i="2"/>
  <c r="AJ4915" i="2"/>
  <c r="AF4916" i="2"/>
  <c r="AK4916" i="2" s="1"/>
  <c r="AG4916" i="2"/>
  <c r="AL4916" i="2" s="1"/>
  <c r="AH4916" i="2"/>
  <c r="AI4916" i="2"/>
  <c r="AJ4916" i="2"/>
  <c r="AF4917" i="2"/>
  <c r="AK4917" i="2" s="1"/>
  <c r="AG4917" i="2"/>
  <c r="AH4917" i="2"/>
  <c r="AI4917" i="2"/>
  <c r="AJ4917" i="2"/>
  <c r="AF4918" i="2"/>
  <c r="AK4918" i="2" s="1"/>
  <c r="AG4918" i="2"/>
  <c r="AL4918" i="2" s="1"/>
  <c r="AH4918" i="2"/>
  <c r="AI4918" i="2"/>
  <c r="AJ4918" i="2"/>
  <c r="AF4919" i="2"/>
  <c r="AK4919" i="2"/>
  <c r="AG4919" i="2"/>
  <c r="AL4919" i="2" s="1"/>
  <c r="AH4919" i="2"/>
  <c r="AI4919" i="2"/>
  <c r="AJ4919" i="2"/>
  <c r="AF4920" i="2"/>
  <c r="AK4920" i="2" s="1"/>
  <c r="AL4920" i="2" s="1"/>
  <c r="AG4920" i="2"/>
  <c r="AH4920" i="2"/>
  <c r="AI4920" i="2"/>
  <c r="AJ4920" i="2"/>
  <c r="AF4921" i="2"/>
  <c r="AK4921" i="2" s="1"/>
  <c r="AL4921" i="2" s="1"/>
  <c r="AG4921" i="2"/>
  <c r="AH4921" i="2"/>
  <c r="AI4921" i="2"/>
  <c r="AJ4921" i="2"/>
  <c r="AF4922" i="2"/>
  <c r="AK4922" i="2" s="1"/>
  <c r="AG4922" i="2"/>
  <c r="AH4922" i="2"/>
  <c r="AI4922" i="2"/>
  <c r="AJ4922" i="2"/>
  <c r="AF4923" i="2"/>
  <c r="AK4923" i="2"/>
  <c r="AG4923" i="2"/>
  <c r="AH4923" i="2"/>
  <c r="AI4923" i="2"/>
  <c r="AJ4923" i="2"/>
  <c r="AL4923" i="2" s="1"/>
  <c r="AF4924" i="2"/>
  <c r="AK4924" i="2"/>
  <c r="AG4924" i="2"/>
  <c r="AL4924" i="2" s="1"/>
  <c r="AH4924" i="2"/>
  <c r="AI4924" i="2"/>
  <c r="AJ4924" i="2"/>
  <c r="AF4925" i="2"/>
  <c r="AK4925" i="2" s="1"/>
  <c r="AG4925" i="2"/>
  <c r="AH4925" i="2"/>
  <c r="AI4925" i="2"/>
  <c r="AL4925" i="2" s="1"/>
  <c r="AJ4925" i="2"/>
  <c r="AF4926" i="2"/>
  <c r="AK4926" i="2" s="1"/>
  <c r="AG4926" i="2"/>
  <c r="AH4926" i="2"/>
  <c r="AI4926" i="2"/>
  <c r="AJ4926" i="2"/>
  <c r="AF4927" i="2"/>
  <c r="AK4927" i="2" s="1"/>
  <c r="AG4927" i="2"/>
  <c r="AL4927" i="2" s="1"/>
  <c r="AH4927" i="2"/>
  <c r="AI4927" i="2"/>
  <c r="AJ4927" i="2"/>
  <c r="AF4928" i="2"/>
  <c r="AK4928" i="2"/>
  <c r="AG4928" i="2"/>
  <c r="AL4928" i="2" s="1"/>
  <c r="AH4928" i="2"/>
  <c r="AI4928" i="2"/>
  <c r="AJ4928" i="2"/>
  <c r="AF4929" i="2"/>
  <c r="AK4929" i="2" s="1"/>
  <c r="AL4929" i="2" s="1"/>
  <c r="AG4929" i="2"/>
  <c r="AH4929" i="2"/>
  <c r="AI4929" i="2"/>
  <c r="AJ4929" i="2"/>
  <c r="AF4930" i="2"/>
  <c r="AK4930" i="2" s="1"/>
  <c r="AG4930" i="2"/>
  <c r="AH4930" i="2"/>
  <c r="AI4930" i="2"/>
  <c r="AJ4930" i="2"/>
  <c r="AF4931" i="2"/>
  <c r="AK4931" i="2"/>
  <c r="AG4931" i="2"/>
  <c r="AH4931" i="2"/>
  <c r="AI4931" i="2"/>
  <c r="AJ4931" i="2"/>
  <c r="AF4932" i="2"/>
  <c r="AK4932" i="2"/>
  <c r="AG4932" i="2"/>
  <c r="AL4932" i="2"/>
  <c r="AH4932" i="2"/>
  <c r="AI4932" i="2"/>
  <c r="AJ4932" i="2"/>
  <c r="AF4933" i="2"/>
  <c r="AK4933" i="2" s="1"/>
  <c r="AL4933" i="2" s="1"/>
  <c r="AG4933" i="2"/>
  <c r="AH4933" i="2"/>
  <c r="AI4933" i="2"/>
  <c r="AJ4933" i="2"/>
  <c r="AF4934" i="2"/>
  <c r="AK4934" i="2" s="1"/>
  <c r="AG4934" i="2"/>
  <c r="AH4934" i="2"/>
  <c r="AI4934" i="2"/>
  <c r="AJ4934" i="2"/>
  <c r="AF4935" i="2"/>
  <c r="AK4935" i="2"/>
  <c r="AG4935" i="2"/>
  <c r="AH4935" i="2"/>
  <c r="AL4935" i="2" s="1"/>
  <c r="AI4935" i="2"/>
  <c r="AJ4935" i="2"/>
  <c r="AF4936" i="2"/>
  <c r="AK4936" i="2"/>
  <c r="AG4936" i="2"/>
  <c r="AH4936" i="2"/>
  <c r="AI4936" i="2"/>
  <c r="AJ4936" i="2"/>
  <c r="AL4936" i="2" s="1"/>
  <c r="AF4937" i="2"/>
  <c r="AK4937" i="2"/>
  <c r="AG4937" i="2"/>
  <c r="AH4937" i="2"/>
  <c r="AL4937" i="2" s="1"/>
  <c r="AI4937" i="2"/>
  <c r="AJ4937" i="2"/>
  <c r="AF4938" i="2"/>
  <c r="AK4938" i="2"/>
  <c r="AG4938" i="2"/>
  <c r="AH4938" i="2"/>
  <c r="AI4938" i="2"/>
  <c r="AJ4938" i="2"/>
  <c r="AL4938" i="2" s="1"/>
  <c r="AF4939" i="2"/>
  <c r="AK4939" i="2"/>
  <c r="AG4939" i="2"/>
  <c r="AH4939" i="2"/>
  <c r="AL4939" i="2" s="1"/>
  <c r="AI4939" i="2"/>
  <c r="AJ4939" i="2"/>
  <c r="AF4940" i="2"/>
  <c r="AK4940" i="2"/>
  <c r="AG4940" i="2"/>
  <c r="AH4940" i="2"/>
  <c r="AL4940" i="2" s="1"/>
  <c r="AI4940" i="2"/>
  <c r="AJ4940" i="2"/>
  <c r="AF4941" i="2"/>
  <c r="AK4941" i="2" s="1"/>
  <c r="AG4941" i="2"/>
  <c r="AL4941" i="2" s="1"/>
  <c r="AH4941" i="2"/>
  <c r="AI4941" i="2"/>
  <c r="AJ4941" i="2"/>
  <c r="AF4942" i="2"/>
  <c r="AK4942" i="2"/>
  <c r="AG4942" i="2"/>
  <c r="AL4942" i="2"/>
  <c r="AH4942" i="2"/>
  <c r="AI4942" i="2"/>
  <c r="AJ4942" i="2"/>
  <c r="AF4943" i="2"/>
  <c r="AK4943" i="2" s="1"/>
  <c r="AG4943" i="2"/>
  <c r="AH4943" i="2"/>
  <c r="AI4943" i="2"/>
  <c r="AL4943" i="2" s="1"/>
  <c r="AJ4943" i="2"/>
  <c r="AF4944" i="2"/>
  <c r="AK4944" i="2" s="1"/>
  <c r="AG4944" i="2"/>
  <c r="AH4944" i="2"/>
  <c r="AI4944" i="2"/>
  <c r="AJ4944" i="2"/>
  <c r="AF4945" i="2"/>
  <c r="AK4945" i="2" s="1"/>
  <c r="AG4945" i="2"/>
  <c r="AL4945" i="2" s="1"/>
  <c r="AH4945" i="2"/>
  <c r="AI4945" i="2"/>
  <c r="AJ4945" i="2"/>
  <c r="AF4946" i="2"/>
  <c r="AK4946" i="2"/>
  <c r="AG4946" i="2"/>
  <c r="AH4946" i="2"/>
  <c r="AI4946" i="2"/>
  <c r="AL4946" i="2" s="1"/>
  <c r="AJ4946" i="2"/>
  <c r="AF4947" i="2"/>
  <c r="AK4947" i="2" s="1"/>
  <c r="AG4947" i="2"/>
  <c r="AH4947" i="2"/>
  <c r="AI4947" i="2"/>
  <c r="AJ4947" i="2"/>
  <c r="AF4948" i="2"/>
  <c r="AK4948" i="2"/>
  <c r="AG4948" i="2"/>
  <c r="AH4948" i="2"/>
  <c r="AL4948" i="2" s="1"/>
  <c r="AI4948" i="2"/>
  <c r="AJ4948" i="2"/>
  <c r="AF4949" i="2"/>
  <c r="AK4949" i="2"/>
  <c r="AG4949" i="2"/>
  <c r="AH4949" i="2"/>
  <c r="AI4949" i="2"/>
  <c r="AJ4949" i="2"/>
  <c r="AL4949" i="2" s="1"/>
  <c r="AF4950" i="2"/>
  <c r="AK4950" i="2"/>
  <c r="AG4950" i="2"/>
  <c r="AH4950" i="2"/>
  <c r="AL4950" i="2" s="1"/>
  <c r="AI4950" i="2"/>
  <c r="AJ4950" i="2"/>
  <c r="AF4951" i="2"/>
  <c r="AK4951" i="2" s="1"/>
  <c r="AL4951" i="2" s="1"/>
  <c r="AG4951" i="2"/>
  <c r="AH4951" i="2"/>
  <c r="AI4951" i="2"/>
  <c r="AJ4951" i="2"/>
  <c r="AF4952" i="2"/>
  <c r="AK4952" i="2" s="1"/>
  <c r="AG4952" i="2"/>
  <c r="AH4952" i="2"/>
  <c r="AI4952" i="2"/>
  <c r="AJ4952" i="2"/>
  <c r="AF4953" i="2"/>
  <c r="AK4953" i="2" s="1"/>
  <c r="AG4953" i="2"/>
  <c r="AH4953" i="2"/>
  <c r="AI4953" i="2"/>
  <c r="AL4953" i="2" s="1"/>
  <c r="AJ4953" i="2"/>
  <c r="AF4954" i="2"/>
  <c r="AK4954" i="2" s="1"/>
  <c r="AL4954" i="2" s="1"/>
  <c r="AG4954" i="2"/>
  <c r="AH4954" i="2"/>
  <c r="AI4954" i="2"/>
  <c r="AJ4954" i="2"/>
  <c r="AF4955" i="2"/>
  <c r="AK4955" i="2"/>
  <c r="AG4955" i="2"/>
  <c r="AH4955" i="2"/>
  <c r="AL4955" i="2" s="1"/>
  <c r="AI4955" i="2"/>
  <c r="AJ4955" i="2"/>
  <c r="AF4956" i="2"/>
  <c r="AK4956" i="2"/>
  <c r="AG4956" i="2"/>
  <c r="AH4956" i="2"/>
  <c r="AI4956" i="2"/>
  <c r="AJ4956" i="2"/>
  <c r="AL4956" i="2" s="1"/>
  <c r="AF4957" i="2"/>
  <c r="AK4957" i="2"/>
  <c r="AG4957" i="2"/>
  <c r="AL4957" i="2"/>
  <c r="AH4957" i="2"/>
  <c r="AI4957" i="2"/>
  <c r="AJ4957" i="2"/>
  <c r="AF4958" i="2"/>
  <c r="AK4958" i="2" s="1"/>
  <c r="AL4958" i="2" s="1"/>
  <c r="AG4958" i="2"/>
  <c r="AH4958" i="2"/>
  <c r="AI4958" i="2"/>
  <c r="AJ4958" i="2"/>
  <c r="AF4959" i="2"/>
  <c r="AK4959" i="2" s="1"/>
  <c r="AG4959" i="2"/>
  <c r="AL4959" i="2" s="1"/>
  <c r="AH4959" i="2"/>
  <c r="AI4959" i="2"/>
  <c r="AJ4959" i="2"/>
  <c r="AF4960" i="2"/>
  <c r="AK4960" i="2" s="1"/>
  <c r="AG4960" i="2"/>
  <c r="AH4960" i="2"/>
  <c r="AI4960" i="2"/>
  <c r="AJ4960" i="2"/>
  <c r="AF4961" i="2"/>
  <c r="AK4961" i="2" s="1"/>
  <c r="AG4961" i="2"/>
  <c r="AL4961" i="2" s="1"/>
  <c r="AH4961" i="2"/>
  <c r="AI4961" i="2"/>
  <c r="AJ4961" i="2"/>
  <c r="AF4962" i="2"/>
  <c r="AK4962" i="2" s="1"/>
  <c r="AL4962" i="2" s="1"/>
  <c r="AG4962" i="2"/>
  <c r="AH4962" i="2"/>
  <c r="AI4962" i="2"/>
  <c r="AJ4962" i="2"/>
  <c r="AF4963" i="2"/>
  <c r="AK4963" i="2"/>
  <c r="AG4963" i="2"/>
  <c r="AH4963" i="2"/>
  <c r="AL4963" i="2" s="1"/>
  <c r="AI4963" i="2"/>
  <c r="AJ4963" i="2"/>
  <c r="AF4964" i="2"/>
  <c r="AK4964" i="2" s="1"/>
  <c r="AG4964" i="2"/>
  <c r="AL4964" i="2" s="1"/>
  <c r="AH4964" i="2"/>
  <c r="AI4964" i="2"/>
  <c r="AJ4964" i="2"/>
  <c r="AF4965" i="2"/>
  <c r="AK4965" i="2" s="1"/>
  <c r="AG4965" i="2"/>
  <c r="AH4965" i="2"/>
  <c r="AI4965" i="2"/>
  <c r="AJ4965" i="2"/>
  <c r="AF4966" i="2"/>
  <c r="AK4966" i="2"/>
  <c r="AG4966" i="2"/>
  <c r="AH4966" i="2"/>
  <c r="AI4966" i="2"/>
  <c r="AJ4966" i="2"/>
  <c r="AL4966" i="2" s="1"/>
  <c r="AF4967" i="2"/>
  <c r="AK4967" i="2"/>
  <c r="AG4967" i="2"/>
  <c r="AL4967" i="2" s="1"/>
  <c r="AH4967" i="2"/>
  <c r="AI4967" i="2"/>
  <c r="AJ4967" i="2"/>
  <c r="AF4968" i="2"/>
  <c r="AK4968" i="2" s="1"/>
  <c r="AG4968" i="2"/>
  <c r="AL4968" i="2" s="1"/>
  <c r="AH4968" i="2"/>
  <c r="AI4968" i="2"/>
  <c r="AJ4968" i="2"/>
  <c r="AF4969" i="2"/>
  <c r="AK4969" i="2"/>
  <c r="AG4969" i="2"/>
  <c r="AH4969" i="2"/>
  <c r="AI4969" i="2"/>
  <c r="AJ4969" i="2"/>
  <c r="AF4970" i="2"/>
  <c r="AK4970" i="2"/>
  <c r="AG4970" i="2"/>
  <c r="AL4970" i="2"/>
  <c r="AH4970" i="2"/>
  <c r="AI4970" i="2"/>
  <c r="AJ4970" i="2"/>
  <c r="AF4971" i="2"/>
  <c r="AK4971" i="2" s="1"/>
  <c r="AL4971" i="2" s="1"/>
  <c r="AG4971" i="2"/>
  <c r="AH4971" i="2"/>
  <c r="AI4971" i="2"/>
  <c r="AJ4971" i="2"/>
  <c r="AF4972" i="2"/>
  <c r="AK4972" i="2"/>
  <c r="AG4972" i="2"/>
  <c r="AL4972" i="2" s="1"/>
  <c r="AH4972" i="2"/>
  <c r="AI4972" i="2"/>
  <c r="AJ4972" i="2"/>
  <c r="AF4973" i="2"/>
  <c r="AK4973" i="2" s="1"/>
  <c r="AL4973" i="2" s="1"/>
  <c r="AG4973" i="2"/>
  <c r="AH4973" i="2"/>
  <c r="AI4973" i="2"/>
  <c r="AJ4973" i="2"/>
  <c r="AF4974" i="2"/>
  <c r="AK4974" i="2" s="1"/>
  <c r="AG4974" i="2"/>
  <c r="AH4974" i="2"/>
  <c r="AI4974" i="2"/>
  <c r="AL4974" i="2" s="1"/>
  <c r="AJ4974" i="2"/>
  <c r="AF4975" i="2"/>
  <c r="AK4975" i="2" s="1"/>
  <c r="AG4975" i="2"/>
  <c r="AH4975" i="2"/>
  <c r="AI4975" i="2"/>
  <c r="AJ4975" i="2"/>
  <c r="AF4976" i="2"/>
  <c r="AK4976" i="2"/>
  <c r="AG4976" i="2"/>
  <c r="AH4976" i="2"/>
  <c r="AL4976" i="2" s="1"/>
  <c r="AI4976" i="2"/>
  <c r="AJ4976" i="2"/>
  <c r="AF4977" i="2"/>
  <c r="AK4977" i="2"/>
  <c r="AG4977" i="2"/>
  <c r="AH4977" i="2"/>
  <c r="AL4977" i="2" s="1"/>
  <c r="AI4977" i="2"/>
  <c r="AJ4977" i="2"/>
  <c r="AF4978" i="2"/>
  <c r="AK4978" i="2" s="1"/>
  <c r="AG4978" i="2"/>
  <c r="AH4978" i="2"/>
  <c r="AI4978" i="2"/>
  <c r="AJ4978" i="2"/>
  <c r="AL4978" i="2" s="1"/>
  <c r="AF4979" i="2"/>
  <c r="AK4979" i="2"/>
  <c r="AG4979" i="2"/>
  <c r="AH4979" i="2"/>
  <c r="AL4979" i="2" s="1"/>
  <c r="AI4979" i="2"/>
  <c r="AJ4979" i="2"/>
  <c r="AF4980" i="2"/>
  <c r="AK4980" i="2"/>
  <c r="AG4980" i="2"/>
  <c r="AH4980" i="2"/>
  <c r="AI4980" i="2"/>
  <c r="AJ4980" i="2"/>
  <c r="AF4981" i="2"/>
  <c r="AK4981" i="2"/>
  <c r="AG4981" i="2"/>
  <c r="AH4981" i="2"/>
  <c r="AL4981" i="2" s="1"/>
  <c r="AI4981" i="2"/>
  <c r="AJ4981" i="2"/>
  <c r="AF4982" i="2"/>
  <c r="AK4982" i="2"/>
  <c r="AG4982" i="2"/>
  <c r="AL4982" i="2" s="1"/>
  <c r="AH4982" i="2"/>
  <c r="AI4982" i="2"/>
  <c r="AJ4982" i="2"/>
  <c r="AF4983" i="2"/>
  <c r="AK4983" i="2" s="1"/>
  <c r="AG4983" i="2"/>
  <c r="AH4983" i="2"/>
  <c r="AI4983" i="2"/>
  <c r="AJ4983" i="2"/>
  <c r="AF4984" i="2"/>
  <c r="AK4984" i="2"/>
  <c r="AG4984" i="2"/>
  <c r="AL4984" i="2"/>
  <c r="AH4984" i="2"/>
  <c r="AI4984" i="2"/>
  <c r="AJ4984" i="2"/>
  <c r="AF4985" i="2"/>
  <c r="AK4985" i="2" s="1"/>
  <c r="AG4985" i="2"/>
  <c r="AH4985" i="2"/>
  <c r="AI4985" i="2"/>
  <c r="AJ4985" i="2"/>
  <c r="AF4986" i="2"/>
  <c r="AK4986" i="2" s="1"/>
  <c r="AG4986" i="2"/>
  <c r="AL4986" i="2" s="1"/>
  <c r="AH4986" i="2"/>
  <c r="AI4986" i="2"/>
  <c r="AJ4986" i="2"/>
  <c r="AF4987" i="2"/>
  <c r="AK4987" i="2"/>
  <c r="AG4987" i="2"/>
  <c r="AH4987" i="2"/>
  <c r="AL4987" i="2" s="1"/>
  <c r="AI4987" i="2"/>
  <c r="AJ4987" i="2"/>
  <c r="AF4988" i="2"/>
  <c r="AK4988" i="2" s="1"/>
  <c r="AL4988" i="2" s="1"/>
  <c r="AG4988" i="2"/>
  <c r="AH4988" i="2"/>
  <c r="AI4988" i="2"/>
  <c r="AJ4988" i="2"/>
  <c r="AF4989" i="2"/>
  <c r="AK4989" i="2"/>
  <c r="AG4989" i="2"/>
  <c r="AH4989" i="2"/>
  <c r="AI4989" i="2"/>
  <c r="AJ4989" i="2"/>
  <c r="AL4989" i="2" s="1"/>
  <c r="AF4990" i="2"/>
  <c r="AK4990" i="2"/>
  <c r="AG4990" i="2"/>
  <c r="AL4990" i="2" s="1"/>
  <c r="AH4990" i="2"/>
  <c r="AI4990" i="2"/>
  <c r="AJ4990" i="2"/>
  <c r="AF4991" i="2"/>
  <c r="AK4991" i="2" s="1"/>
  <c r="AG4991" i="2"/>
  <c r="AH4991" i="2"/>
  <c r="AL4991" i="2" s="1"/>
  <c r="AI4991" i="2"/>
  <c r="AJ4991" i="2"/>
  <c r="AF4992" i="2"/>
  <c r="AK4992" i="2"/>
  <c r="AG4992" i="2"/>
  <c r="AH4992" i="2"/>
  <c r="AI4992" i="2"/>
  <c r="AJ4992" i="2"/>
  <c r="AL4992" i="2" s="1"/>
  <c r="AF4993" i="2"/>
  <c r="AK4993" i="2"/>
  <c r="AG4993" i="2"/>
  <c r="AH4993" i="2"/>
  <c r="AL4993" i="2" s="1"/>
  <c r="AI4993" i="2"/>
  <c r="AJ4993" i="2"/>
  <c r="AF4994" i="2"/>
  <c r="AK4994" i="2" s="1"/>
  <c r="AL4994" i="2" s="1"/>
  <c r="AG4994" i="2"/>
  <c r="AH4994" i="2"/>
  <c r="AI4994" i="2"/>
  <c r="AJ4994" i="2"/>
  <c r="AF4995" i="2"/>
  <c r="AK4995" i="2" s="1"/>
  <c r="AG4995" i="2"/>
  <c r="AH4995" i="2"/>
  <c r="AI4995" i="2"/>
  <c r="AJ4995" i="2"/>
  <c r="AL4995" i="2" s="1"/>
  <c r="AF4996" i="2"/>
  <c r="AK4996" i="2"/>
  <c r="AG4996" i="2"/>
  <c r="AL4996" i="2" s="1"/>
  <c r="AH4996" i="2"/>
  <c r="AI4996" i="2"/>
  <c r="AJ4996" i="2"/>
  <c r="AF4997" i="2"/>
  <c r="AK4997" i="2" s="1"/>
  <c r="AG4997" i="2"/>
  <c r="AH4997" i="2"/>
  <c r="AI4997" i="2"/>
  <c r="AJ4997" i="2"/>
  <c r="AF4998" i="2"/>
  <c r="AK4998" i="2" s="1"/>
  <c r="AG4998" i="2"/>
  <c r="AL4998" i="2" s="1"/>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722" i="2"/>
  <c r="AL3705" i="2"/>
  <c r="AL3634" i="2"/>
  <c r="AL3595" i="2"/>
  <c r="AL3557" i="2"/>
  <c r="AL3426" i="2"/>
  <c r="AL3653" i="2"/>
  <c r="AL2072" i="2"/>
  <c r="AL3773" i="2"/>
  <c r="AL3602" i="2"/>
  <c r="AL3187" i="2"/>
  <c r="AL3696" i="2"/>
  <c r="AL3664" i="2"/>
  <c r="AL3651" i="2"/>
  <c r="AL3632" i="2"/>
  <c r="AL3600" i="2"/>
  <c r="AL3587" i="2"/>
  <c r="AL3568" i="2"/>
  <c r="AL3536" i="2"/>
  <c r="AL3512" i="2"/>
  <c r="AL3459" i="2"/>
  <c r="AL3448" i="2"/>
  <c r="AL3395" i="2"/>
  <c r="AL3384" i="2"/>
  <c r="AL3331" i="2"/>
  <c r="AL3267" i="2"/>
  <c r="AL3256" i="2"/>
  <c r="AL3203" i="2"/>
  <c r="AL3192" i="2"/>
  <c r="AL3671" i="2"/>
  <c r="AL3639" i="2"/>
  <c r="AL3607" i="2"/>
  <c r="AL3575" i="2"/>
  <c r="AL3543" i="2"/>
  <c r="AL3495" i="2"/>
  <c r="AL3483" i="2"/>
  <c r="AL3472" i="2"/>
  <c r="AL3466" i="2"/>
  <c r="AL3431" i="2"/>
  <c r="AL3419" i="2"/>
  <c r="AL3408" i="2"/>
  <c r="AL3402" i="2"/>
  <c r="AL3367" i="2"/>
  <c r="AL3338" i="2"/>
  <c r="AL3303" i="2"/>
  <c r="AL3291" i="2"/>
  <c r="AL3280" i="2"/>
  <c r="AL3274" i="2"/>
  <c r="AL3239" i="2"/>
  <c r="AL3227" i="2"/>
  <c r="AL3216" i="2"/>
  <c r="AL3210" i="2"/>
  <c r="AL3176" i="2"/>
  <c r="AL3170" i="2"/>
  <c r="AL2346" i="2"/>
  <c r="AL3520" i="2"/>
  <c r="AL3351"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39" i="2"/>
  <c r="AL3503" i="2"/>
  <c r="AL3491" i="2"/>
  <c r="AL3427" i="2"/>
  <c r="AL3375" i="2"/>
  <c r="AL3352" i="2"/>
  <c r="AL3311"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69" i="2"/>
  <c r="AL3656" i="2"/>
  <c r="AL3650" i="2"/>
  <c r="AL3643" i="2"/>
  <c r="AL3637" i="2"/>
  <c r="AL3624" i="2"/>
  <c r="AL3618" i="2"/>
  <c r="AL3605" i="2"/>
  <c r="AL3592" i="2"/>
  <c r="AL3586" i="2"/>
  <c r="AL3573" i="2"/>
  <c r="AL3560" i="2"/>
  <c r="AL3554" i="2"/>
  <c r="AL3547" i="2"/>
  <c r="AL3541" i="2"/>
  <c r="AL3528" i="2"/>
  <c r="AL3522" i="2"/>
  <c r="AL3487" i="2"/>
  <c r="AL3475" i="2"/>
  <c r="AL3458" i="2"/>
  <c r="AL3423" i="2"/>
  <c r="AL3411" i="2"/>
  <c r="AL3394"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41" i="2"/>
  <c r="AL3633" i="2"/>
  <c r="AL3625" i="2"/>
  <c r="AL3617" i="2"/>
  <c r="AL3609" i="2"/>
  <c r="AL3601" i="2"/>
  <c r="AL3593" i="2"/>
  <c r="AL3585" i="2"/>
  <c r="AL3577" i="2"/>
  <c r="AL3569" i="2"/>
  <c r="AL3561" i="2"/>
  <c r="AL3553" i="2"/>
  <c r="AL3545" i="2"/>
  <c r="AL3537" i="2"/>
  <c r="AL3529" i="2"/>
  <c r="AL3505" i="2"/>
  <c r="AL3489" i="2"/>
  <c r="AL3473" i="2"/>
  <c r="AL3457" i="2"/>
  <c r="AL3449" i="2"/>
  <c r="AL3441" i="2"/>
  <c r="AL3433" i="2"/>
  <c r="AL3425" i="2"/>
  <c r="AL3417" i="2"/>
  <c r="AL3409" i="2"/>
  <c r="AL3401" i="2"/>
  <c r="AL3393" i="2"/>
  <c r="AL3377" i="2"/>
  <c r="AL3369" i="2"/>
  <c r="AL3361" i="2"/>
  <c r="AL3345" i="2"/>
  <c r="AL3337" i="2"/>
  <c r="AL3329" i="2"/>
  <c r="AL3313"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92" i="2"/>
  <c r="AL3684" i="2"/>
  <c r="AL3668" i="2"/>
  <c r="AL3660" i="2"/>
  <c r="AL3652" i="2"/>
  <c r="AL3644" i="2"/>
  <c r="AL3636" i="2"/>
  <c r="AL3620" i="2"/>
  <c r="AL3612" i="2"/>
  <c r="AL3604" i="2"/>
  <c r="AL3596" i="2"/>
  <c r="AL3588" i="2"/>
  <c r="AL3580" i="2"/>
  <c r="AL3572" i="2"/>
  <c r="AL3556" i="2"/>
  <c r="AL3540" i="2"/>
  <c r="AL3516" i="2"/>
  <c r="AL3508" i="2"/>
  <c r="AL3500" i="2"/>
  <c r="AL3484" i="2"/>
  <c r="AL3476" i="2"/>
  <c r="AL3460" i="2"/>
  <c r="AL3452" i="2"/>
  <c r="AL3444" i="2"/>
  <c r="AL3436" i="2"/>
  <c r="AL3428"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81" i="2"/>
  <c r="AL3373" i="2"/>
  <c r="AL3365" i="2"/>
  <c r="AL3357" i="2"/>
  <c r="AL3349" i="2"/>
  <c r="AL3341" i="2"/>
  <c r="AL3325" i="2"/>
  <c r="AL3301" i="2"/>
  <c r="AL3293" i="2"/>
  <c r="AL3277" i="2"/>
  <c r="AL3269" i="2"/>
  <c r="AL3261"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22" i="2"/>
  <c r="AL3614" i="2"/>
  <c r="AL3606" i="2"/>
  <c r="AL3598" i="2"/>
  <c r="AL3590" i="2"/>
  <c r="AL3582" i="2"/>
  <c r="AL3574" i="2"/>
  <c r="AL3566" i="2"/>
  <c r="AL3558" i="2"/>
  <c r="AL3550" i="2"/>
  <c r="AL3542" i="2"/>
  <c r="AL3534" i="2"/>
  <c r="AL3518" i="2"/>
  <c r="AL3510" i="2"/>
  <c r="AL3502" i="2"/>
  <c r="AL3486" i="2"/>
  <c r="AL3470" i="2"/>
  <c r="AL3462" i="2"/>
  <c r="AL3454" i="2"/>
  <c r="AL3446" i="2"/>
  <c r="AL3438" i="2"/>
  <c r="AL3422" i="2"/>
  <c r="AL3406" i="2"/>
  <c r="AL3398" i="2"/>
  <c r="AL3390" i="2"/>
  <c r="AL3374"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M164" i="2" s="1"/>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2" i="2"/>
  <c r="AM172" i="2" s="1"/>
  <c r="AL162" i="2"/>
  <c r="AM162" i="2" s="1"/>
  <c r="AL280" i="2"/>
  <c r="AL272" i="2"/>
  <c r="AL264" i="2"/>
  <c r="AL256" i="2"/>
  <c r="AL248" i="2"/>
  <c r="AL240" i="2"/>
  <c r="AL233" i="2"/>
  <c r="AL226" i="2"/>
  <c r="AL156" i="2"/>
  <c r="AM156" i="2" s="1"/>
  <c r="AL152" i="2"/>
  <c r="AM152" i="2" s="1"/>
  <c r="AL148" i="2"/>
  <c r="AM148" i="2" s="1"/>
  <c r="AL136" i="2"/>
  <c r="AM136" i="2" s="1"/>
  <c r="AL132" i="2"/>
  <c r="AM132" i="2" s="1"/>
  <c r="AL128" i="2"/>
  <c r="AM128" i="2" s="1"/>
  <c r="AL124" i="2"/>
  <c r="AM124" i="2" s="1"/>
  <c r="AL120" i="2"/>
  <c r="AM120" i="2" s="1"/>
  <c r="AL116" i="2"/>
  <c r="AM116" i="2" s="1"/>
  <c r="AL158" i="2"/>
  <c r="AM158" i="2" s="1"/>
  <c r="AL154" i="2"/>
  <c r="AM154" i="2" s="1"/>
  <c r="AL150" i="2"/>
  <c r="AM150" i="2" s="1"/>
  <c r="AL138" i="2"/>
  <c r="AM138" i="2" s="1"/>
  <c r="AL134" i="2"/>
  <c r="AM134" i="2" s="1"/>
  <c r="AL130" i="2"/>
  <c r="AM130" i="2" s="1"/>
  <c r="AL126" i="2"/>
  <c r="AM126" i="2" s="1"/>
  <c r="AL122" i="2"/>
  <c r="AM122" i="2" s="1"/>
  <c r="AL118" i="2"/>
  <c r="AM118" i="2" s="1"/>
  <c r="AL114" i="2"/>
  <c r="AM114" i="2" s="1"/>
  <c r="AL30" i="2"/>
  <c r="AM30" i="2" s="1"/>
  <c r="AL23" i="2"/>
  <c r="AM23" i="2" s="1"/>
  <c r="AL20" i="2"/>
  <c r="AM20" i="2" s="1"/>
  <c r="AL16" i="2"/>
  <c r="AM16" i="2" s="1"/>
  <c r="AL15" i="2"/>
  <c r="AM15" i="2"/>
  <c r="AL14" i="2"/>
  <c r="AM14" i="2" s="1"/>
  <c r="AL12" i="2"/>
  <c r="AM12" i="2" s="1"/>
  <c r="AL4551" i="2"/>
  <c r="AL4575" i="2"/>
  <c r="AL4351" i="2"/>
  <c r="AL4563" i="2"/>
  <c r="AL4541" i="2"/>
  <c r="AL4509" i="2"/>
  <c r="AL4553" i="2"/>
  <c r="AL4329" i="2"/>
  <c r="AL4268" i="2"/>
  <c r="AL4200" i="2"/>
  <c r="AL4149" i="2"/>
  <c r="AL4136" i="2"/>
  <c r="AL4092" i="2"/>
  <c r="AL4085" i="2"/>
  <c r="AL4062" i="2"/>
  <c r="AL4395" i="2"/>
  <c r="AL4387" i="2"/>
  <c r="AL4337" i="2"/>
  <c r="AL4333" i="2"/>
  <c r="AL4293" i="2"/>
  <c r="AL4368" i="2"/>
  <c r="AL4341" i="2"/>
  <c r="AL4331" i="2"/>
  <c r="AL4308" i="2"/>
  <c r="AL4291" i="2"/>
  <c r="AL4263" i="2"/>
  <c r="AL4239" i="2"/>
  <c r="AL4235" i="2"/>
  <c r="AL4197" i="2"/>
  <c r="AL4184" i="2"/>
  <c r="AL4175" i="2"/>
  <c r="AL4140" i="2"/>
  <c r="AL4133" i="2"/>
  <c r="AL4120" i="2"/>
  <c r="AL4107" i="2"/>
  <c r="AL4076" i="2"/>
  <c r="AL4069" i="2"/>
  <c r="AL4064" i="2"/>
  <c r="AL4059" i="2"/>
  <c r="AL4032" i="2"/>
  <c r="AL4027" i="2"/>
  <c r="AL4012" i="2"/>
  <c r="AL3996" i="2"/>
  <c r="AL3980" i="2"/>
  <c r="AL4353" i="2"/>
  <c r="AL4339" i="2"/>
  <c r="AL4312" i="2"/>
  <c r="AL4201" i="2"/>
  <c r="AL4144" i="2"/>
  <c r="AL4137" i="2"/>
  <c r="AL4080" i="2"/>
  <c r="AL4067" i="2"/>
  <c r="AL4060" i="2"/>
  <c r="AL4049" i="2"/>
  <c r="AL4028" i="2"/>
  <c r="AL4417" i="2"/>
  <c r="AL4392" i="2"/>
  <c r="AL4357" i="2"/>
  <c r="AL4316" i="2"/>
  <c r="AL4305" i="2"/>
  <c r="AL4299" i="2"/>
  <c r="AL4284" i="2"/>
  <c r="AL4273" i="2"/>
  <c r="AL4245" i="2"/>
  <c r="AL4232" i="2"/>
  <c r="AL4223" i="2"/>
  <c r="AL4188" i="2"/>
  <c r="AL4181" i="2"/>
  <c r="AL4159" i="2"/>
  <c r="AL4124" i="2"/>
  <c r="AL4104" i="2"/>
  <c r="AL4095" i="2"/>
  <c r="AL4016" i="2"/>
  <c r="AL4000" i="2"/>
  <c r="AL3984" i="2"/>
  <c r="AL3968" i="2"/>
  <c r="AL4369" i="2"/>
  <c r="AL4355" i="2"/>
  <c r="AL4247" i="2"/>
  <c r="AL4243" i="2"/>
  <c r="AL4185" i="2"/>
  <c r="AL4183" i="2"/>
  <c r="AL4179" i="2"/>
  <c r="AL4121" i="2"/>
  <c r="AL4119" i="2"/>
  <c r="AL4115" i="2"/>
  <c r="AL4040" i="2"/>
  <c r="AL4401" i="2"/>
  <c r="AL4363" i="2"/>
  <c r="AL4336" i="2"/>
  <c r="AL4313" i="2"/>
  <c r="AL4307" i="2"/>
  <c r="AL4281" i="2"/>
  <c r="AL4279" i="2"/>
  <c r="AL4275" i="2"/>
  <c r="AL4216" i="2"/>
  <c r="AL4209" i="2"/>
  <c r="AL4207" i="2"/>
  <c r="AL4203" i="2"/>
  <c r="AL4172" i="2"/>
  <c r="AL4152" i="2"/>
  <c r="AL4139" i="2"/>
  <c r="AL4108" i="2"/>
  <c r="AL4088" i="2"/>
  <c r="AL4048" i="2"/>
  <c r="AL4020" i="2"/>
  <c r="AL4004" i="2"/>
  <c r="AL3988" i="2"/>
  <c r="AL3972" i="2"/>
  <c r="AL3930" i="2"/>
  <c r="AL3926" i="2"/>
  <c r="AL3924" i="2"/>
  <c r="AL3893" i="2"/>
  <c r="AL3849" i="2"/>
  <c r="AL3842" i="2"/>
  <c r="AL3829" i="2"/>
  <c r="AL3822" i="2"/>
  <c r="AL3820" i="2"/>
  <c r="AL3788" i="2"/>
  <c r="AL3770" i="2"/>
  <c r="AL3766" i="2"/>
  <c r="AL3759" i="2"/>
  <c r="AL3733" i="2"/>
  <c r="AL3719" i="2"/>
  <c r="AL3698" i="2"/>
  <c r="AL3658" i="2"/>
  <c r="AL3471" i="2"/>
  <c r="AL3450" i="2"/>
  <c r="AL3298" i="2"/>
  <c r="AL3946" i="2"/>
  <c r="AL3942" i="2"/>
  <c r="AL3890" i="2"/>
  <c r="AL3767" i="2"/>
  <c r="AL3570" i="2"/>
  <c r="AL3511" i="2"/>
  <c r="AL4058" i="2"/>
  <c r="AL4042" i="2"/>
  <c r="AL4026" i="2"/>
  <c r="AL3954" i="2"/>
  <c r="AL3913" i="2"/>
  <c r="AL3909" i="2"/>
  <c r="AL3894" i="2"/>
  <c r="AL3857" i="2"/>
  <c r="AL3850" i="2"/>
  <c r="AL3837" i="2"/>
  <c r="AL3830" i="2"/>
  <c r="AL3828" i="2"/>
  <c r="AL3781" i="2"/>
  <c r="AL3731" i="2"/>
  <c r="AL3707" i="2"/>
  <c r="AL3704" i="2"/>
  <c r="AL3645" i="2"/>
  <c r="AL3567" i="2"/>
  <c r="AL3263" i="2"/>
  <c r="AL3194" i="2"/>
  <c r="AL3962" i="2"/>
  <c r="AL3921" i="2"/>
  <c r="AL3917" i="2"/>
  <c r="AL3898" i="2"/>
  <c r="AL3861" i="2"/>
  <c r="AL3852" i="2"/>
  <c r="AL3817" i="2"/>
  <c r="AL3797" i="2"/>
  <c r="AL3746" i="2"/>
  <c r="AL3742" i="2"/>
  <c r="AL3724" i="2"/>
  <c r="AL3708" i="2"/>
  <c r="AL3663" i="2"/>
  <c r="AL3621" i="2"/>
  <c r="AL3599" i="2"/>
  <c r="AL4054" i="2"/>
  <c r="AL4038" i="2"/>
  <c r="AL4022" i="2"/>
  <c r="AL4018" i="2"/>
  <c r="AL4014" i="2"/>
  <c r="AL4010" i="2"/>
  <c r="AL4006" i="2"/>
  <c r="AL4002" i="2"/>
  <c r="AL3998" i="2"/>
  <c r="AL3994" i="2"/>
  <c r="AL3990" i="2"/>
  <c r="AL3982" i="2"/>
  <c r="AL3978" i="2"/>
  <c r="AL3974" i="2"/>
  <c r="AL3970" i="2"/>
  <c r="AL3966" i="2"/>
  <c r="AL3929" i="2"/>
  <c r="AL3906" i="2"/>
  <c r="AL3902" i="2"/>
  <c r="AL3878" i="2"/>
  <c r="AL3821" i="2"/>
  <c r="AL3814" i="2"/>
  <c r="AL3768" i="2"/>
  <c r="AL3490" i="2"/>
  <c r="AL3455" i="2"/>
  <c r="AL3371" i="2"/>
  <c r="AL3336" i="2"/>
  <c r="AL3937" i="2"/>
  <c r="AL3933" i="2"/>
  <c r="AL3914" i="2"/>
  <c r="AL3910" i="2"/>
  <c r="AL3908" i="2"/>
  <c r="AL3865" i="2"/>
  <c r="AL3858" i="2"/>
  <c r="AL3845" i="2"/>
  <c r="AL3838" i="2"/>
  <c r="AL3836" i="2"/>
  <c r="AL3801" i="2"/>
  <c r="AL3784" i="2"/>
  <c r="AL3718" i="2"/>
  <c r="AL3565" i="2"/>
  <c r="AL3362" i="2"/>
  <c r="AL3296" i="2"/>
  <c r="AL3243" i="2"/>
  <c r="AL3199" i="2"/>
  <c r="AL3175" i="2"/>
  <c r="AL4050" i="2"/>
  <c r="AL4034" i="2"/>
  <c r="AL3945" i="2"/>
  <c r="AL3916" i="2"/>
  <c r="AL3860" i="2"/>
  <c r="AL3796" i="2"/>
  <c r="AL3792" i="2"/>
  <c r="AL3780" i="2"/>
  <c r="AL3756"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5025" i="2"/>
  <c r="AL5114" i="2"/>
  <c r="AL5220" i="2"/>
  <c r="AL257" i="2"/>
  <c r="AL234" i="2"/>
  <c r="AL227" i="2"/>
  <c r="AL199" i="2"/>
  <c r="AL5204" i="2"/>
  <c r="AL5235" i="2"/>
  <c r="AL5251" i="2"/>
  <c r="AL5283" i="2"/>
  <c r="AL232" i="2"/>
  <c r="AL207" i="2"/>
  <c r="AL200" i="2"/>
  <c r="AL5017" i="2"/>
  <c r="AL5037" i="2"/>
  <c r="AL5074" i="2"/>
  <c r="AL5150" i="2"/>
  <c r="AL5157" i="2"/>
  <c r="AL5160" i="2"/>
  <c r="AL5165" i="2"/>
  <c r="AL5168" i="2"/>
  <c r="AL5182" i="2"/>
  <c r="AL5189" i="2"/>
  <c r="AL5192" i="2"/>
  <c r="AL5197" i="2"/>
  <c r="AL5222" i="2"/>
  <c r="AL5058" i="2"/>
  <c r="AL197" i="2"/>
  <c r="AL190" i="2"/>
  <c r="AL40" i="2"/>
  <c r="AM40" i="2" s="1"/>
  <c r="AL5070" i="2"/>
  <c r="AL5130" i="2"/>
  <c r="AL241" i="2"/>
  <c r="AL187" i="2"/>
  <c r="AL160" i="2"/>
  <c r="AM160" i="2" s="1"/>
  <c r="AL5009" i="2"/>
  <c r="AL5029" i="2"/>
  <c r="AL5123" i="2"/>
  <c r="AL222" i="2"/>
  <c r="AL208" i="2"/>
  <c r="AL5005" i="2"/>
  <c r="AL5049" i="2"/>
  <c r="AL5066" i="2"/>
  <c r="AL5132" i="2"/>
  <c r="AL5158" i="2"/>
  <c r="AL5190" i="2"/>
  <c r="AL4885" i="2"/>
  <c r="AL4711" i="2"/>
  <c r="AL4447" i="2"/>
  <c r="AL4583" i="2"/>
  <c r="AL4393" i="2"/>
  <c r="AL4272" i="2"/>
  <c r="AL4215" i="2"/>
  <c r="AL4169" i="2"/>
  <c r="AL4163" i="2"/>
  <c r="AL4157" i="2"/>
  <c r="AL4109" i="2"/>
  <c r="AL4086" i="2"/>
  <c r="AL4051" i="2"/>
  <c r="AL3935" i="2"/>
  <c r="AL3897" i="2"/>
  <c r="AL3803" i="2"/>
  <c r="AL3776" i="2"/>
  <c r="AL4605" i="2"/>
  <c r="AL4573" i="2"/>
  <c r="AL4221" i="2"/>
  <c r="AL4151" i="2"/>
  <c r="AL4135" i="2"/>
  <c r="AL3862" i="2"/>
  <c r="AL4126" i="2"/>
  <c r="AL4335" i="2"/>
  <c r="AL4326" i="2"/>
  <c r="AL4436" i="2"/>
  <c r="AL4226" i="2"/>
  <c r="AL4219" i="2"/>
  <c r="AL4193" i="2"/>
  <c r="AL4158" i="2"/>
  <c r="AL4130" i="2"/>
  <c r="AL3812" i="2"/>
  <c r="AL3777" i="2"/>
  <c r="AL4378" i="2"/>
  <c r="AL4314" i="2"/>
  <c r="AL4310" i="2"/>
  <c r="AL4266" i="2"/>
  <c r="AL4118" i="2"/>
  <c r="AL4077" i="2"/>
  <c r="AL3973" i="2"/>
  <c r="AL4282" i="2"/>
  <c r="AL4267" i="2"/>
  <c r="AL4242" i="2"/>
  <c r="AL3940" i="2"/>
  <c r="AL3844" i="2"/>
  <c r="AL4300" i="2"/>
  <c r="AL4287" i="2"/>
  <c r="AL4283" i="2"/>
  <c r="AL4255" i="2"/>
  <c r="AL4251" i="2"/>
  <c r="AL4224" i="2"/>
  <c r="AL4211" i="2"/>
  <c r="AL3959" i="2"/>
  <c r="AL3782" i="2"/>
  <c r="AL3319" i="2"/>
  <c r="AL2971" i="2"/>
  <c r="AL4065" i="2"/>
  <c r="AL4021" i="2"/>
  <c r="AL4013" i="2"/>
  <c r="AL3964" i="2"/>
  <c r="AL3960" i="2"/>
  <c r="AL3943" i="2"/>
  <c r="AL3813" i="2"/>
  <c r="AL3720" i="2"/>
  <c r="AL2775" i="2"/>
  <c r="AL2711" i="2"/>
  <c r="AL2565" i="2"/>
  <c r="AL3576" i="2"/>
  <c r="AL3840" i="2"/>
  <c r="AL3818" i="2"/>
  <c r="AL3734" i="2"/>
  <c r="AL3424" i="2"/>
  <c r="AL3407" i="2"/>
  <c r="AL2979" i="2"/>
  <c r="AL2743" i="2"/>
  <c r="AL2615" i="2"/>
  <c r="AL2487" i="2"/>
  <c r="AL4041" i="2"/>
  <c r="AL3992" i="2"/>
  <c r="AL3922" i="2"/>
  <c r="AL3809" i="2"/>
  <c r="AL3739" i="2"/>
  <c r="AL3714" i="2"/>
  <c r="AL3597" i="2"/>
  <c r="AL3418" i="2"/>
  <c r="AL3290" i="2"/>
  <c r="AL2583" i="2"/>
  <c r="AL2293" i="2"/>
  <c r="AL3958" i="2"/>
  <c r="AL3875" i="2"/>
  <c r="AL3871" i="2"/>
  <c r="AL3867" i="2"/>
  <c r="AL3841" i="2"/>
  <c r="AL3685" i="2"/>
  <c r="AL3629" i="2"/>
  <c r="AL2108" i="2"/>
  <c r="AL4023" i="2"/>
  <c r="AL4015" i="2"/>
  <c r="AL3819"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24" i="2"/>
  <c r="AM24" i="2" s="1"/>
  <c r="AL5001" i="2"/>
  <c r="AL5014" i="2"/>
  <c r="AL5030" i="2"/>
  <c r="AL5090" i="2"/>
  <c r="AL5142" i="2"/>
  <c r="AL201" i="2"/>
  <c r="AL5173" i="2"/>
  <c r="AL290" i="2"/>
  <c r="AL189" i="2"/>
  <c r="AL184" i="2"/>
  <c r="AL170" i="2"/>
  <c r="AM170" i="2" s="1"/>
  <c r="AL307" i="2"/>
  <c r="AL298" i="2"/>
  <c r="AL279" i="2"/>
  <c r="AL166" i="2"/>
  <c r="AM166" i="2" s="1"/>
  <c r="AL5013" i="2"/>
  <c r="AL36" i="2"/>
  <c r="AM36" i="2" s="1"/>
  <c r="AL5198" i="2"/>
  <c r="AL5267" i="2"/>
  <c r="AL221" i="2"/>
  <c r="AL216" i="2"/>
  <c r="AL5243" i="2"/>
  <c r="AL5018" i="2"/>
  <c r="AL5021" i="2"/>
  <c r="AL5223" i="2"/>
  <c r="AL4489" i="2"/>
  <c r="AL4324" i="2"/>
  <c r="AL4278" i="2"/>
  <c r="AL4225" i="2"/>
  <c r="AL4141" i="2"/>
  <c r="AL4816" i="2"/>
  <c r="AL4813" i="2"/>
  <c r="AL4433" i="2"/>
  <c r="AL4303" i="2"/>
  <c r="AL3843" i="2"/>
  <c r="AL4654" i="2"/>
  <c r="AL4501" i="2"/>
  <c r="AL4466" i="2"/>
  <c r="AL4738" i="2"/>
  <c r="AL4644" i="2"/>
  <c r="AL4581" i="2"/>
  <c r="AL4494" i="2"/>
  <c r="AL4478" i="2"/>
  <c r="AL4431" i="2"/>
  <c r="AL4345" i="2"/>
  <c r="AL4338" i="2"/>
  <c r="AL4007" i="2"/>
  <c r="AL3986" i="2"/>
  <c r="AL4804" i="2"/>
  <c r="AL4877" i="2"/>
  <c r="AL4633" i="2"/>
  <c r="AL4571" i="2"/>
  <c r="AL4549" i="2"/>
  <c r="AL4461" i="2"/>
  <c r="AL4439" i="2"/>
  <c r="AL4365" i="2"/>
  <c r="AL4330" i="2"/>
  <c r="AL4262" i="2"/>
  <c r="AL4166" i="2"/>
  <c r="AL4142" i="2"/>
  <c r="AL3824" i="2"/>
  <c r="AL3659" i="2"/>
  <c r="AL4386" i="2"/>
  <c r="AL4359" i="2"/>
  <c r="AL4342" i="2"/>
  <c r="AL4241" i="2"/>
  <c r="AL4238" i="2"/>
  <c r="AL4094" i="2"/>
  <c r="AL4017" i="2"/>
  <c r="AL3855" i="2"/>
  <c r="AL3808" i="2"/>
  <c r="AL4428" i="2"/>
  <c r="AL4029" i="2"/>
  <c r="AL3887" i="2"/>
  <c r="AL3736" i="2"/>
  <c r="AL4343" i="2"/>
  <c r="AL4091" i="2"/>
  <c r="AL4044" i="2"/>
  <c r="AL4033" i="2"/>
  <c r="AL3991" i="2"/>
  <c r="AL3904" i="2"/>
  <c r="AL3869" i="2"/>
  <c r="AL4327" i="2"/>
  <c r="AL4202" i="2"/>
  <c r="AL4106" i="2"/>
  <c r="AL4098" i="2"/>
  <c r="AL3944" i="2"/>
  <c r="AL4410" i="2"/>
  <c r="AL4374" i="2"/>
  <c r="AL4348" i="2"/>
  <c r="AL4344" i="2"/>
  <c r="AL4317" i="2"/>
  <c r="AL4206" i="2"/>
  <c r="AL4189" i="2"/>
  <c r="AL4150" i="2"/>
  <c r="AL4127" i="2"/>
  <c r="AL4003" i="2"/>
  <c r="AL3967" i="2"/>
  <c r="AL3934" i="2"/>
  <c r="AL3918" i="2"/>
  <c r="AL3785" i="2"/>
  <c r="AL4191" i="2"/>
  <c r="AL4187" i="2"/>
  <c r="AL4164" i="2"/>
  <c r="AL4128" i="2"/>
  <c r="AL4061" i="2"/>
  <c r="AL4025" i="2"/>
  <c r="AL3919" i="2"/>
  <c r="AL3874" i="2"/>
  <c r="AL3831" i="2"/>
  <c r="AL3811" i="2"/>
  <c r="AL3779" i="2"/>
  <c r="AL3772" i="2"/>
  <c r="AL3765" i="2"/>
  <c r="AL3747" i="2"/>
  <c r="AL3711" i="2"/>
  <c r="AL3488" i="2"/>
  <c r="AL3322" i="2"/>
  <c r="AL4180" i="2"/>
  <c r="AL4176" i="2"/>
  <c r="AL4148" i="2"/>
  <c r="AL4113" i="2"/>
  <c r="AL4047" i="2"/>
  <c r="AL4011" i="2"/>
  <c r="AL3995" i="2"/>
  <c r="AL3891" i="2"/>
  <c r="AL3879" i="2"/>
  <c r="AL3866" i="2"/>
  <c r="AL3806" i="2"/>
  <c r="AL3795" i="2"/>
  <c r="AL3783" i="2"/>
  <c r="AL3750" i="2"/>
  <c r="AL3701" i="2"/>
  <c r="AL4285" i="2"/>
  <c r="AL4264" i="2"/>
  <c r="AL4173" i="2"/>
  <c r="AL4123" i="2"/>
  <c r="AL4089" i="2"/>
  <c r="AL4056" i="2"/>
  <c r="AL4045" i="2"/>
  <c r="AL4039" i="2"/>
  <c r="AL4019" i="2"/>
  <c r="AL4009" i="2"/>
  <c r="AL3987" i="2"/>
  <c r="AL3983" i="2"/>
  <c r="AL3961" i="2"/>
  <c r="AL3895" i="2"/>
  <c r="AL3863" i="2"/>
  <c r="AL3815" i="2"/>
  <c r="AL3805" i="2"/>
  <c r="AL3800" i="2"/>
  <c r="AL3730" i="2"/>
  <c r="AL3713" i="2"/>
  <c r="AL3699" i="2"/>
  <c r="AL3519" i="2"/>
  <c r="AL3226" i="2"/>
  <c r="AL4198" i="2"/>
  <c r="AL4102" i="2"/>
  <c r="AL4057" i="2"/>
  <c r="AL3951" i="2"/>
  <c r="AL3931" i="2"/>
  <c r="AL3911" i="2"/>
  <c r="AL3907" i="2"/>
  <c r="AL3903" i="2"/>
  <c r="AL3889" i="2"/>
  <c r="AL3807" i="2"/>
  <c r="AL3793" i="2"/>
  <c r="AL3748" i="2"/>
  <c r="AL3745" i="2"/>
  <c r="AL3703" i="2"/>
  <c r="AL3690" i="2"/>
  <c r="AL3578" i="2"/>
  <c r="AL3186" i="2"/>
  <c r="AL4297" i="2"/>
  <c r="AL4286" i="2"/>
  <c r="AL4227" i="2"/>
  <c r="AL4174" i="2"/>
  <c r="AL4138" i="2"/>
  <c r="AL4082" i="2"/>
  <c r="AL4071"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M28" i="2" s="1"/>
  <c r="AL219" i="2"/>
  <c r="AL5045" i="2"/>
  <c r="AL5094" i="2"/>
  <c r="AL557" i="2"/>
  <c r="AL269" i="2"/>
  <c r="AL203" i="2"/>
  <c r="AL331" i="2"/>
  <c r="AL308" i="2"/>
  <c r="AL371" i="2"/>
  <c r="AL299" i="2"/>
  <c r="AL282" i="2"/>
  <c r="AL306" i="2"/>
  <c r="AL289" i="2"/>
  <c r="AL185" i="2"/>
  <c r="AL5042" i="2"/>
  <c r="AL5133" i="2"/>
  <c r="AL5275" i="2"/>
  <c r="AL5038" i="2"/>
  <c r="AL5141" i="2"/>
  <c r="AL5176" i="2"/>
  <c r="AL5144" i="2"/>
  <c r="AL5239" i="2"/>
  <c r="AL5271" i="2"/>
  <c r="AL193" i="2"/>
  <c r="AL186" i="2"/>
  <c r="AL161" i="2"/>
  <c r="AM161" i="2" s="1"/>
  <c r="AL5034" i="2"/>
  <c r="AL5102" i="2"/>
  <c r="AL5134" i="2"/>
  <c r="AL5010" i="2"/>
  <c r="AL5033" i="2"/>
  <c r="AL5054" i="2"/>
  <c r="AL5062" i="2"/>
  <c r="AL5078" i="2"/>
  <c r="AL5126" i="2"/>
  <c r="AL5279" i="2"/>
  <c r="AL5263" i="2"/>
  <c r="AL4638" i="2"/>
  <c r="AL4587" i="2"/>
  <c r="AL4520" i="2"/>
  <c r="AL4482" i="2"/>
  <c r="AL4398" i="2"/>
  <c r="AL4388" i="2"/>
  <c r="AL4601" i="2"/>
  <c r="AL4396" i="2"/>
  <c r="AL4668" i="2"/>
  <c r="AL4591" i="2"/>
  <c r="AL4332" i="2"/>
  <c r="AL4910" i="2"/>
  <c r="AL4636" i="2"/>
  <c r="AL4617" i="2"/>
  <c r="AL4518" i="2"/>
  <c r="AL4835" i="2"/>
  <c r="AL4706" i="2"/>
  <c r="AL4629" i="2"/>
  <c r="AL4533" i="2"/>
  <c r="AL4487" i="2"/>
  <c r="AL4453" i="2"/>
  <c r="AL4334" i="2"/>
  <c r="AL4233" i="2"/>
  <c r="AL4670" i="2"/>
  <c r="AL4931" i="2"/>
  <c r="AL4516" i="2"/>
  <c r="AL4503" i="2"/>
  <c r="AL4445" i="2"/>
  <c r="AL4346" i="2"/>
  <c r="AL4443" i="2"/>
  <c r="AL4253" i="2"/>
  <c r="AL4171" i="2"/>
  <c r="AL4154" i="2"/>
  <c r="AL4132" i="2"/>
  <c r="AL4093" i="2"/>
  <c r="AL3985" i="2"/>
  <c r="AL3975" i="2"/>
  <c r="AL3839" i="2"/>
  <c r="AL3802" i="2"/>
  <c r="AL3524" i="2"/>
  <c r="AL3478" i="2"/>
  <c r="AL3416" i="2"/>
  <c r="AL4177" i="2"/>
  <c r="AL4168" i="2"/>
  <c r="AL4155" i="2"/>
  <c r="AL4090" i="2"/>
  <c r="AL4055" i="2"/>
  <c r="AL3938" i="2"/>
  <c r="AL3886" i="2"/>
  <c r="AL4161" i="2"/>
  <c r="AL4073" i="2"/>
  <c r="AL4024" i="2"/>
  <c r="AL3952" i="2"/>
  <c r="AL3912" i="2"/>
  <c r="AL3833" i="2"/>
  <c r="AL3826" i="2"/>
  <c r="AL3715" i="2"/>
  <c r="AL3702" i="2"/>
  <c r="AL3640" i="2"/>
  <c r="AL3562" i="2"/>
  <c r="AL4441" i="2"/>
  <c r="AL4230" i="2"/>
  <c r="AL4205" i="2"/>
  <c r="AL3997" i="2"/>
  <c r="AL3882" i="2"/>
  <c r="AL3876" i="2"/>
  <c r="AL3859" i="2"/>
  <c r="AL3791" i="2"/>
  <c r="AL3608" i="2"/>
  <c r="AL4384" i="2"/>
  <c r="AL4249" i="2"/>
  <c r="AL4231" i="2"/>
  <c r="AL4103" i="2"/>
  <c r="AL4078" i="2"/>
  <c r="AL4008" i="2"/>
  <c r="AL3905" i="2"/>
  <c r="AL3870" i="2"/>
  <c r="AL3823" i="2"/>
  <c r="AL3794" i="2"/>
  <c r="AL4377" i="2"/>
  <c r="AL4340" i="2"/>
  <c r="AL3564" i="2"/>
  <c r="AL3435" i="2"/>
  <c r="AL4429" i="2"/>
  <c r="AL4349" i="2"/>
  <c r="AL4309" i="2"/>
  <c r="AL4099" i="2"/>
  <c r="AL3949" i="2"/>
  <c r="AL3941" i="2"/>
  <c r="AL3901" i="2"/>
  <c r="AL3868" i="2"/>
  <c r="AL3854" i="2"/>
  <c r="AL3847"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347" i="2"/>
  <c r="AL218" i="2"/>
  <c r="AL5231" i="2"/>
  <c r="AL314" i="2"/>
  <c r="AL213" i="2"/>
  <c r="AL409" i="2"/>
  <c r="AL322" i="2"/>
  <c r="AL5022" i="2"/>
  <c r="AL209" i="2"/>
  <c r="AL171" i="2"/>
  <c r="AM171" i="2" s="1"/>
  <c r="AL5127" i="2"/>
  <c r="AL214" i="2"/>
  <c r="AL167" i="2"/>
  <c r="AM167" i="2" s="1"/>
  <c r="AL202" i="2"/>
  <c r="AL195" i="2"/>
  <c r="AL5006" i="2"/>
  <c r="AL5149" i="2"/>
  <c r="AL5174" i="2"/>
  <c r="AL165" i="2"/>
  <c r="AM165" i="2" s="1"/>
  <c r="AL5002" i="2"/>
  <c r="AL5026" i="2"/>
  <c r="AL5053" i="2"/>
  <c r="AL5122" i="2"/>
  <c r="AL215" i="2"/>
  <c r="AL191" i="2"/>
  <c r="AL5059" i="2"/>
  <c r="AL5184" i="2"/>
  <c r="AL5255" i="2"/>
  <c r="AL7" i="2"/>
  <c r="AM7" i="2" s="1"/>
  <c r="AL4797" i="2"/>
  <c r="AL4649" i="2"/>
  <c r="AL4858" i="2"/>
  <c r="AL4704" i="2"/>
  <c r="AL4780" i="2"/>
  <c r="AL4545" i="2"/>
  <c r="AL4385" i="2"/>
  <c r="AL4418" i="2"/>
  <c r="AL4298" i="2"/>
  <c r="AL4143" i="2"/>
  <c r="AL4083" i="2"/>
  <c r="AL4035" i="2"/>
  <c r="AL3999" i="2"/>
  <c r="AL3979" i="2"/>
  <c r="AL3969" i="2"/>
  <c r="AL3798" i="2"/>
  <c r="AL3744" i="2"/>
  <c r="AL3546" i="2"/>
  <c r="AL3523" i="2"/>
  <c r="AL4366" i="2"/>
  <c r="AL4321" i="2"/>
  <c r="AL4234" i="2"/>
  <c r="AL4167" i="2"/>
  <c r="AL4153" i="2"/>
  <c r="AL4110" i="2"/>
  <c r="AL4096" i="2"/>
  <c r="AL4328" i="2"/>
  <c r="AL4217" i="2"/>
  <c r="AL4030" i="2"/>
  <c r="AL3880" i="2"/>
  <c r="AL3877" i="2"/>
  <c r="AL3787" i="2"/>
  <c r="AL3563" i="2"/>
  <c r="AL4399" i="2"/>
  <c r="AL4352" i="2"/>
  <c r="AL4165" i="2"/>
  <c r="AL4134" i="2"/>
  <c r="AL4053" i="2"/>
  <c r="AL4037" i="2"/>
  <c r="AL3957" i="2"/>
  <c r="AL4379" i="2"/>
  <c r="AL4319" i="2"/>
  <c r="AL4315" i="2"/>
  <c r="AL4277" i="2"/>
  <c r="AL4196" i="2"/>
  <c r="AL4074" i="2"/>
  <c r="AL3981" i="2"/>
  <c r="AL3888" i="2"/>
  <c r="AL3881" i="2"/>
  <c r="AL4496" i="2"/>
  <c r="AL4481" i="2"/>
  <c r="AL4456" i="2"/>
  <c r="AL4146" i="2"/>
  <c r="AL3321" i="2"/>
  <c r="AL3114" i="2"/>
  <c r="AL2915"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M32" i="2" s="1"/>
  <c r="AL5046" i="2"/>
  <c r="AL183" i="2"/>
  <c r="AL5086" i="2"/>
  <c r="AL5115" i="2"/>
  <c r="AL5259" i="2"/>
  <c r="AL315" i="2"/>
  <c r="AL192" i="2"/>
  <c r="AL5098" i="2"/>
  <c r="AL5152" i="2"/>
  <c r="AL5247" i="2"/>
  <c r="AL4778" i="2"/>
  <c r="AL4779" i="2"/>
  <c r="AL4556" i="2"/>
  <c r="AL4537" i="2"/>
  <c r="AL4515" i="2"/>
  <c r="AL4903" i="2"/>
  <c r="AL4860" i="2"/>
  <c r="AL4799" i="2"/>
  <c r="AL4588" i="2"/>
  <c r="AL4582" i="2"/>
  <c r="AL4913" i="2"/>
  <c r="AL4825" i="2"/>
  <c r="AL4751" i="2"/>
  <c r="AL4675" i="2"/>
  <c r="AL4604" i="2"/>
  <c r="AL4594" i="2"/>
  <c r="AL4550" i="2"/>
  <c r="AL4506" i="2"/>
  <c r="AL4452" i="2"/>
  <c r="AL4969" i="2"/>
  <c r="AL4980" i="2"/>
  <c r="AL4794" i="2"/>
  <c r="AL4656" i="2"/>
  <c r="AL4580" i="2"/>
  <c r="AL4574" i="2"/>
  <c r="AL4548" i="2"/>
  <c r="AL4449" i="2"/>
  <c r="AL4819" i="2"/>
  <c r="AL4645" i="2"/>
  <c r="AL4586" i="2"/>
  <c r="AL4577" i="2"/>
  <c r="AL4555" i="2"/>
  <c r="AL4650" i="2"/>
  <c r="AL4576" i="2"/>
  <c r="AL4572" i="2"/>
  <c r="AL4525" i="2"/>
  <c r="AL4498" i="2"/>
  <c r="AL4404" i="2"/>
  <c r="AL4394" i="2"/>
  <c r="AL4375" i="2"/>
  <c r="AL4254" i="2"/>
  <c r="AL4632" i="2"/>
  <c r="AL4526" i="2"/>
  <c r="AL4370" i="2"/>
  <c r="AL4565" i="2"/>
  <c r="AL4500" i="2"/>
  <c r="AL4419" i="2"/>
  <c r="AL4382" i="2"/>
  <c r="AL4367" i="2"/>
  <c r="AL4362" i="2"/>
  <c r="AL4236" i="2"/>
  <c r="AL4125" i="2"/>
  <c r="AL4678" i="2"/>
  <c r="AL4643" i="2"/>
  <c r="AL4552" i="2"/>
  <c r="AL4442" i="2"/>
  <c r="AL4427" i="2"/>
  <c r="AL4416" i="2"/>
  <c r="AL4413" i="2"/>
  <c r="AL4614" i="2"/>
  <c r="AL4566" i="2"/>
  <c r="AL4519" i="2"/>
  <c r="AL4504" i="2"/>
  <c r="AL4240" i="2"/>
  <c r="AL4592" i="2"/>
  <c r="AL4100" i="2"/>
  <c r="AL4486" i="2"/>
  <c r="AL4479" i="2"/>
  <c r="AL4425" i="2"/>
  <c r="AL4414" i="2"/>
  <c r="AL4381" i="2"/>
  <c r="AL4325" i="2"/>
  <c r="AL4302" i="2"/>
  <c r="AL4290" i="2"/>
  <c r="AL4210" i="2"/>
  <c r="AL4178" i="2"/>
  <c r="AL4112" i="2"/>
  <c r="AL4246" i="2"/>
  <c r="AL4212" i="2"/>
  <c r="AL4079" i="2"/>
  <c r="AL4292" i="2"/>
  <c r="AL4276" i="2"/>
  <c r="AL4087" i="2"/>
  <c r="AL4005" i="2"/>
  <c r="AL3963" i="2"/>
  <c r="AL3939" i="2"/>
  <c r="AL3853" i="2"/>
  <c r="AL3762" i="2"/>
  <c r="AL3680" i="2"/>
  <c r="AL4358" i="2"/>
  <c r="AL4220" i="2"/>
  <c r="AL4066" i="2"/>
  <c r="AL3851" i="2"/>
  <c r="AL3661" i="2"/>
  <c r="AL3333" i="2"/>
  <c r="AL4350" i="2"/>
  <c r="AL4070" i="2"/>
  <c r="AL4031" i="2"/>
  <c r="AL3971" i="2"/>
  <c r="AL3834" i="2"/>
  <c r="AL3763" i="2"/>
  <c r="AL3729" i="2"/>
  <c r="AL3538" i="2"/>
  <c r="AL4248" i="2"/>
  <c r="AL4214"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182" i="2" l="1"/>
  <c r="AL181" i="2"/>
  <c r="AL180" i="2"/>
  <c r="AL179" i="2"/>
  <c r="AL176" i="2"/>
  <c r="AL174" i="2"/>
  <c r="AL169" i="2"/>
  <c r="AM169" i="2" s="1"/>
  <c r="AL46" i="2"/>
  <c r="AM46" i="2" s="1"/>
  <c r="AL34" i="2"/>
  <c r="AM34" i="2" s="1"/>
  <c r="AL8" i="2"/>
  <c r="AM8" i="2" s="1"/>
  <c r="AL26" i="2"/>
  <c r="AM26" i="2" s="1"/>
  <c r="AL25" i="2"/>
  <c r="AM25" i="2" s="1"/>
  <c r="AL21" i="2"/>
  <c r="AM21" i="2" s="1"/>
  <c r="AL10" i="2"/>
  <c r="AM10" i="2" s="1"/>
  <c r="AL6" i="2"/>
  <c r="AM6" i="2" s="1"/>
  <c r="AL106" i="2"/>
  <c r="AM106" i="2" s="1"/>
  <c r="AL103" i="2"/>
  <c r="AM103" i="2" s="1"/>
  <c r="AL99" i="2"/>
  <c r="AM99" i="2" s="1"/>
  <c r="AL109" i="2"/>
  <c r="AM109" i="2" s="1"/>
  <c r="AL95" i="2"/>
  <c r="AM95" i="2" s="1"/>
  <c r="AL101" i="2"/>
  <c r="AM101" i="2" s="1"/>
  <c r="AL111" i="2"/>
  <c r="AM111" i="2" s="1"/>
  <c r="AL107" i="2"/>
  <c r="AM107" i="2" s="1"/>
  <c r="AL93" i="2"/>
  <c r="AM93" i="2" s="1"/>
  <c r="AL85" i="2"/>
  <c r="AM85" i="2" s="1"/>
  <c r="AL81" i="2"/>
  <c r="AM81" i="2" s="1"/>
  <c r="AL87" i="2"/>
  <c r="AM87" i="2" s="1"/>
  <c r="AL73" i="2"/>
  <c r="AM73" i="2" s="1"/>
  <c r="AL83" i="2"/>
  <c r="AM83" i="2" s="1"/>
  <c r="AL79" i="2"/>
  <c r="AM79" i="2" s="1"/>
  <c r="AL63" i="2"/>
  <c r="AM63" i="2" s="1"/>
  <c r="AL69" i="2"/>
  <c r="AM69" i="2" s="1"/>
  <c r="AL65" i="2"/>
  <c r="AM65" i="2" s="1"/>
  <c r="AL61" i="2"/>
  <c r="AM61" i="2" s="1"/>
  <c r="AL67" i="2"/>
  <c r="AM67" i="2" s="1"/>
  <c r="AL59" i="2"/>
  <c r="AM59" i="2" s="1"/>
  <c r="AL54" i="2"/>
  <c r="AM54" i="2" s="1"/>
  <c r="AL51" i="2"/>
  <c r="AM51" i="2" s="1"/>
  <c r="AL44" i="2"/>
  <c r="AM44" i="2" s="1"/>
  <c r="AL43" i="2"/>
  <c r="AM43" i="2" s="1"/>
  <c r="AL42" i="2"/>
  <c r="AM42" i="2" s="1"/>
  <c r="AL38" i="2"/>
  <c r="AM38" i="2" s="1"/>
  <c r="AL41" i="2"/>
  <c r="AM41" i="2" s="1"/>
  <c r="AL57" i="2"/>
  <c r="AM57" i="2" s="1"/>
  <c r="AL39" i="2"/>
  <c r="AM39" i="2" s="1"/>
  <c r="AL55" i="2"/>
  <c r="AM55" i="2" s="1"/>
  <c r="AL49" i="2"/>
  <c r="AM49" i="2" s="1"/>
  <c r="AL45" i="2"/>
  <c r="AM45" i="2" s="1"/>
  <c r="AL33" i="2"/>
  <c r="AM33" i="2" s="1"/>
  <c r="AL22" i="2"/>
  <c r="AM22" i="2" s="1"/>
  <c r="AL27" i="2"/>
  <c r="AM27" i="2" s="1"/>
  <c r="AL13" i="2"/>
  <c r="AM13" i="2" s="1"/>
  <c r="AL19" i="2"/>
  <c r="AM19" i="2" s="1"/>
  <c r="AL113" i="2"/>
  <c r="AM113" i="2" s="1"/>
  <c r="AL105" i="2"/>
  <c r="AM105" i="2" s="1"/>
  <c r="AL98" i="2"/>
  <c r="AM98" i="2" s="1"/>
  <c r="AL97" i="2"/>
  <c r="AM97" i="2" s="1"/>
  <c r="AL82" i="2"/>
  <c r="AM82" i="2" s="1"/>
  <c r="AL75" i="2"/>
  <c r="AM75" i="2" s="1"/>
  <c r="AL74" i="2"/>
  <c r="AM74" i="2" s="1"/>
  <c r="AL18" i="2"/>
  <c r="AM18" i="2" s="1"/>
  <c r="AL9" i="2"/>
  <c r="AM9" i="2" s="1"/>
  <c r="AL11" i="2"/>
  <c r="AM11" i="2" s="1"/>
  <c r="AL31" i="2"/>
  <c r="AM31" i="2" s="1"/>
  <c r="AL50" i="2"/>
  <c r="AM50" i="2" s="1"/>
  <c r="AL47" i="2"/>
  <c r="AM47" i="2" s="1"/>
  <c r="AL37" i="2"/>
  <c r="AM37" i="2" s="1"/>
  <c r="AL70" i="2"/>
  <c r="AM70" i="2" s="1"/>
  <c r="AL66" i="2"/>
  <c r="AM66" i="2" s="1"/>
  <c r="AL90" i="2"/>
  <c r="AM90" i="2" s="1"/>
  <c r="AL89" i="2"/>
  <c r="AM89" i="2" s="1"/>
  <c r="AL110" i="2"/>
  <c r="AM110" i="2" s="1"/>
  <c r="AL102" i="2"/>
  <c r="AM102" i="2" s="1"/>
  <c r="AL108" i="2"/>
  <c r="AM108" i="2" s="1"/>
  <c r="AL100" i="2"/>
  <c r="AM100" i="2" s="1"/>
  <c r="AL92" i="2"/>
  <c r="AM92" i="2" s="1"/>
  <c r="AL94" i="2"/>
  <c r="AM94" i="2" s="1"/>
  <c r="AL112" i="2"/>
  <c r="AM112" i="2" s="1"/>
  <c r="AL104" i="2"/>
  <c r="AM104" i="2" s="1"/>
  <c r="AL96" i="2"/>
  <c r="AM96" i="2" s="1"/>
  <c r="AL84" i="2"/>
  <c r="AM84" i="2" s="1"/>
  <c r="AL76" i="2"/>
  <c r="AM76" i="2" s="1"/>
  <c r="AL86" i="2"/>
  <c r="AM86" i="2" s="1"/>
  <c r="AL78" i="2"/>
  <c r="AM78" i="2" s="1"/>
  <c r="AL80" i="2"/>
  <c r="AM80" i="2" s="1"/>
  <c r="AL72" i="2"/>
  <c r="AM72" i="2" s="1"/>
  <c r="AL68" i="2"/>
  <c r="AM68" i="2" s="1"/>
  <c r="AL62" i="2"/>
  <c r="AM62" i="2" s="1"/>
  <c r="AL64" i="2"/>
  <c r="AM64" i="2" s="1"/>
  <c r="AL52" i="2"/>
  <c r="AM52" i="2" s="1"/>
  <c r="AL56" i="2"/>
  <c r="AM56" i="2" s="1"/>
  <c r="AL17" i="2"/>
  <c r="AM17" i="2" s="1"/>
  <c r="AL88" i="2"/>
  <c r="AM88" i="2" s="1"/>
  <c r="AL71" i="2"/>
  <c r="AM71" i="2" s="1"/>
  <c r="AL60" i="2"/>
  <c r="AM60" i="2" s="1"/>
  <c r="AL58" i="2"/>
  <c r="AM58" i="2" s="1"/>
  <c r="AL35" i="2"/>
  <c r="AM35" i="2" s="1"/>
  <c r="AL29" i="2"/>
  <c r="AM29" i="2" s="1"/>
  <c r="AL4985" i="2"/>
  <c r="AL4975" i="2"/>
  <c r="AL4960" i="2"/>
  <c r="AL4934" i="2"/>
  <c r="AL4926" i="2"/>
  <c r="AL4796" i="2"/>
  <c r="AL4703" i="2"/>
  <c r="AL4952" i="2"/>
  <c r="AL4884" i="2"/>
  <c r="AL4880" i="2"/>
  <c r="AL4875" i="2"/>
  <c r="AL4851" i="2"/>
  <c r="AL4815" i="2"/>
  <c r="AL4798" i="2"/>
  <c r="AL4997" i="2"/>
  <c r="AL4983" i="2"/>
  <c r="AL4965" i="2"/>
  <c r="AL4947" i="2"/>
  <c r="AL4944" i="2"/>
  <c r="AL4930" i="2"/>
  <c r="AL4922" i="2"/>
  <c r="AL4917" i="2"/>
  <c r="AL4908" i="2"/>
  <c r="AL4862" i="2"/>
  <c r="AL4843" i="2"/>
  <c r="AL4837" i="2"/>
  <c r="AL4808" i="2"/>
  <c r="AL4784" i="2"/>
  <c r="AL4731" i="2"/>
  <c r="AL4722" i="2"/>
  <c r="AL4716" i="2"/>
  <c r="AL4800" i="2"/>
  <c r="AL4788" i="2"/>
  <c r="AL4763" i="2"/>
  <c r="AL4757" i="2"/>
  <c r="AL4746" i="2"/>
  <c r="AL4744" i="2"/>
  <c r="AL4713" i="2"/>
  <c r="AL4680" i="2"/>
  <c r="AL4564" i="2"/>
  <c r="AL4542" i="2"/>
  <c r="AL4534" i="2"/>
  <c r="AL4497" i="2"/>
  <c r="AL4483" i="2"/>
  <c r="AL4847" i="2"/>
  <c r="AL4831" i="2"/>
  <c r="AL4790" i="2"/>
  <c r="AL4775" i="2"/>
  <c r="AL4739" i="2"/>
  <c r="AL4712" i="2"/>
  <c r="AL4693" i="2"/>
  <c r="AL4682" i="2"/>
  <c r="AL4681" i="2"/>
  <c r="AL4674" i="2"/>
  <c r="AL4667" i="2"/>
  <c r="AL4646" i="2"/>
  <c r="AL4640" i="2"/>
  <c r="AL4621" i="2"/>
  <c r="AL4530" i="2"/>
  <c r="AL4521" i="2"/>
  <c r="AL4476" i="2"/>
  <c r="AL4467" i="2"/>
  <c r="AL4458" i="2"/>
  <c r="AL4451" i="2"/>
  <c r="AL4437" i="2"/>
  <c r="AL4855" i="2"/>
  <c r="AL4834" i="2"/>
  <c r="AL4822" i="2"/>
  <c r="AL4809" i="2"/>
  <c r="AL4803" i="2"/>
  <c r="AL4793" i="2"/>
  <c r="AL4764" i="2"/>
  <c r="AL4754" i="2"/>
  <c r="AL4732" i="2"/>
  <c r="AL4710" i="2"/>
  <c r="AL4652" i="2"/>
  <c r="AL4634" i="2"/>
  <c r="AL4622" i="2"/>
  <c r="AL4600" i="2"/>
  <c r="AL4596" i="2"/>
  <c r="AL4584" i="2"/>
  <c r="AL4559" i="2"/>
  <c r="AL4557" i="2"/>
  <c r="AL4540" i="2"/>
  <c r="AL4524" i="2"/>
  <c r="AL4507" i="2"/>
  <c r="AL4495" i="2"/>
  <c r="AL4490" i="2"/>
  <c r="AL4475" i="2"/>
  <c r="AL4472" i="2"/>
  <c r="AL4468" i="2"/>
  <c r="AL4423" i="2"/>
  <c r="AL4420" i="2"/>
  <c r="AL4405" i="2"/>
  <c r="AL4364" i="2"/>
  <c r="AL4361" i="2"/>
  <c r="AL4259" i="2"/>
  <c r="AL4257" i="2"/>
  <c r="AL4252" i="2"/>
  <c r="AL4250" i="2"/>
  <c r="AL4192" i="2"/>
  <c r="AL4190" i="2"/>
  <c r="AL4162" i="2"/>
  <c r="AL4145" i="2"/>
  <c r="AL4117" i="2"/>
  <c r="AL4116" i="2"/>
  <c r="AL4075" i="2"/>
  <c r="AL4052" i="2"/>
  <c r="AL4046" i="2"/>
  <c r="AL4043" i="2"/>
  <c r="AL3953" i="2"/>
  <c r="AL3948" i="2"/>
  <c r="AL4613" i="2"/>
  <c r="AL4595" i="2"/>
  <c r="AL4567" i="2"/>
  <c r="AL4539" i="2"/>
  <c r="AL4505" i="2"/>
  <c r="AL4480" i="2"/>
  <c r="AL4403" i="2"/>
  <c r="AL4354" i="2"/>
  <c r="AL4318" i="2"/>
  <c r="AL4270" i="2"/>
  <c r="AL4265" i="2"/>
  <c r="AL4208" i="2"/>
  <c r="AL4084" i="2"/>
  <c r="AL3989" i="2"/>
  <c r="AL3955" i="2"/>
  <c r="AL3950" i="2"/>
  <c r="AL3925" i="2"/>
  <c r="AL3827" i="2"/>
  <c r="AL3760" i="2"/>
  <c r="AL3630" i="2"/>
  <c r="AL3579" i="2"/>
  <c r="AL3253" i="2"/>
  <c r="AL2827" i="2"/>
  <c r="AL2571" i="2"/>
  <c r="AL2414" i="2"/>
  <c r="AL2159" i="2"/>
  <c r="AL4544" i="2"/>
  <c r="AL4535" i="2"/>
  <c r="AL4508" i="2"/>
  <c r="AL4474" i="2"/>
  <c r="AL4360" i="2"/>
  <c r="AL4258" i="2"/>
  <c r="AL4256" i="2"/>
  <c r="AL4228" i="2"/>
  <c r="AL4213" i="2"/>
  <c r="AL4129" i="2"/>
  <c r="AL4101" i="2"/>
  <c r="AL4097" i="2"/>
  <c r="AL4072" i="2"/>
  <c r="AL3885" i="2"/>
  <c r="AL3810" i="2"/>
  <c r="AL3757" i="2"/>
  <c r="AL3741" i="2"/>
  <c r="AL3532" i="2"/>
  <c r="AL3515" i="2"/>
  <c r="AL3385" i="2"/>
  <c r="AL3378" i="2"/>
  <c r="AL2476" i="2"/>
  <c r="AL4602" i="2"/>
  <c r="AL4598" i="2"/>
  <c r="AL4562" i="2"/>
  <c r="AL4430" i="2"/>
  <c r="AL4409" i="2"/>
  <c r="AL4391" i="2"/>
  <c r="AL4147" i="2"/>
  <c r="AL4111" i="2"/>
  <c r="AL3915" i="2"/>
  <c r="AL2390" i="2"/>
  <c r="AL2004" i="2"/>
  <c r="AL2124" i="2"/>
  <c r="AL2015" i="2"/>
  <c r="AL1818" i="2"/>
  <c r="AL1356" i="2"/>
  <c r="AL1173" i="2"/>
  <c r="AL2295" i="2"/>
  <c r="AL2224" i="2"/>
  <c r="AL2216" i="2"/>
  <c r="AL2184" i="2"/>
  <c r="AL2066" i="2"/>
  <c r="AL1883" i="2"/>
  <c r="AL1649" i="2"/>
  <c r="AL1486" i="2"/>
  <c r="AL1343" i="2"/>
  <c r="AL2314" i="2"/>
  <c r="AL1633" i="2"/>
  <c r="AL1590" i="2"/>
  <c r="AL1411" i="2"/>
  <c r="AL1327" i="2"/>
  <c r="AL1314" i="2"/>
  <c r="AL1088" i="2"/>
  <c r="AL925" i="2"/>
  <c r="AL1093" i="2"/>
  <c r="AL983" i="2"/>
  <c r="AL445" i="2"/>
  <c r="AL292" i="2"/>
  <c r="AL48" i="2"/>
  <c r="AM48" i="2" s="1"/>
  <c r="AL163" i="2"/>
  <c r="AM163" i="2" s="1"/>
  <c r="AL5118"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rgb="FF000000"/>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rgb="FF000000"/>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rgb="FF000000"/>
            <rFont val="Tahoma"/>
            <family val="2"/>
          </rPr>
          <t>Further definition of the crossing type. Valid subtypes depend on the crossing type.</t>
        </r>
        <r>
          <rPr>
            <sz val="9"/>
            <color rgb="FF000000"/>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rgb="FF000000"/>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<sst xmlns="http://schemas.openxmlformats.org/spreadsheetml/2006/main" count="2645" uniqueCount="507">
  <si>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</si>
  <si>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</si>
  <si>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</si>
  <si>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</si>
  <si>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</si>
  <si>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</si>
  <si>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</si>
  <si>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</si>
  <si>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</si>
  <si>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</si>
  <si>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</si>
  <si>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</si>
  <si>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</si>
  <si>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</si>
  <si>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</si>
  <si>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</si>
  <si>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</si>
  <si>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</si>
  <si>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</si>
  <si>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</si>
  <si>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</si>
  <si>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</si>
  <si>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</si>
  <si>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</si>
  <si>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</si>
  <si>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</si>
  <si>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</si>
  <si>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</si>
  <si>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</si>
  <si>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</si>
  <si>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</si>
  <si>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</si>
  <si>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</si>
  <si>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</si>
  <si>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</si>
  <si>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</si>
  <si>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</si>
  <si>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</si>
  <si>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</si>
  <si>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</si>
  <si>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</si>
  <si>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</si>
  <si>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</si>
  <si>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</si>
  <si>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</si>
  <si>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</si>
  <si>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</si>
  <si>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</si>
  <si>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</si>
  <si>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</si>
  <si>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</si>
  <si>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</si>
  <si>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</si>
  <si>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</si>
  <si>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</si>
  <si>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</si>
  <si>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</si>
  <si>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</si>
  <si>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</si>
  <si>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</si>
  <si>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</si>
  <si>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</si>
  <si>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</si>
  <si>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</si>
  <si>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</si>
  <si>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</si>
  <si>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</si>
  <si>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</si>
  <si>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</si>
  <si>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</si>
  <si>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</si>
  <si>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</si>
  <si>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</si>
  <si>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</si>
  <si>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</si>
  <si>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</si>
  <si>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</si>
  <si>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</si>
  <si>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</si>
  <si>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</si>
  <si>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</si>
  <si>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</si>
  <si>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</si>
  <si>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</si>
  <si>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</si>
  <si>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</si>
  <si>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</si>
  <si>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</si>
  <si>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</si>
  <si>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</si>
  <si>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</si>
  <si>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</si>
  <si>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00180607</t>
  </si>
  <si>
    <t>Al Irvine</t>
  </si>
  <si>
    <t>250-777-1518</t>
  </si>
  <si>
    <t>al@newgraphenvironment.com</t>
  </si>
  <si>
    <t>00198456</t>
  </si>
  <si>
    <t>fraser_2023_phase1</t>
  </si>
  <si>
    <t>Fraer Fish Passage Restoration Planning 2023 - Phase 1</t>
  </si>
  <si>
    <t>MW</t>
  </si>
  <si>
    <t>AI</t>
  </si>
  <si>
    <t>AI MW</t>
  </si>
  <si>
    <t>Endako River</t>
  </si>
  <si>
    <t>Highway 16 W</t>
  </si>
  <si>
    <t>MOTI</t>
  </si>
  <si>
    <t>Rentoul Creek</t>
  </si>
  <si>
    <t>Highway 16</t>
  </si>
  <si>
    <t>Tributary to Endako River</t>
  </si>
  <si>
    <t xml:space="preserve">Tributary to Endako River </t>
  </si>
  <si>
    <t>West Decker Road</t>
  </si>
  <si>
    <t>West Decker Rd</t>
  </si>
  <si>
    <t>Sauls Creek</t>
  </si>
  <si>
    <t>Government Rd</t>
  </si>
  <si>
    <t>Burns Lake</t>
  </si>
  <si>
    <t xml:space="preserve">Railway Avenue </t>
  </si>
  <si>
    <t>Stearns Creek</t>
  </si>
  <si>
    <t>Tintagel Road</t>
  </si>
  <si>
    <t xml:space="preserve">Endako River </t>
  </si>
  <si>
    <t>Priestly Station Road</t>
  </si>
  <si>
    <t>MOTI Local</t>
  </si>
  <si>
    <t>Sam Ross Creek</t>
  </si>
  <si>
    <t>Alf Creek</t>
  </si>
  <si>
    <t>Tributary to Fraser Lake</t>
  </si>
  <si>
    <t xml:space="preserve">Tahultzu Creek </t>
  </si>
  <si>
    <t xml:space="preserve">Zalenski Road </t>
  </si>
  <si>
    <t>Tahultzu Creek</t>
  </si>
  <si>
    <t>Lily Lake Road</t>
  </si>
  <si>
    <t xml:space="preserve">Wardrop Creek </t>
  </si>
  <si>
    <t>Glans Drive</t>
  </si>
  <si>
    <t>Perry Creek</t>
  </si>
  <si>
    <t>Stella Road</t>
  </si>
  <si>
    <t>Ormond Creek</t>
  </si>
  <si>
    <t>Scotch Creek</t>
  </si>
  <si>
    <t>Gala Lake Road</t>
  </si>
  <si>
    <t xml:space="preserve">Gala Bay Road </t>
  </si>
  <si>
    <t xml:space="preserve">Tributary to Nechako River </t>
  </si>
  <si>
    <t>Dog Creek Road</t>
  </si>
  <si>
    <t>Tributary to Nechako River</t>
  </si>
  <si>
    <t>Sutherland FSR</t>
  </si>
  <si>
    <t>West Fraser R09194 SE</t>
  </si>
  <si>
    <t>Williams FSR</t>
  </si>
  <si>
    <t>Tatsutnai Creek</t>
  </si>
  <si>
    <t>Barlow FSR</t>
  </si>
  <si>
    <t>Canfor R11286</t>
  </si>
  <si>
    <t>Aird Creek</t>
  </si>
  <si>
    <t>Upper Mud River Road</t>
  </si>
  <si>
    <t>Chilako Creek</t>
  </si>
  <si>
    <t xml:space="preserve">Upper Mud River Road </t>
  </si>
  <si>
    <t>Tributary to Chelako River</t>
  </si>
  <si>
    <t xml:space="preserve">McBride Timber Road </t>
  </si>
  <si>
    <t>Beaverley Creek</t>
  </si>
  <si>
    <t xml:space="preserve">Blackwater Road </t>
  </si>
  <si>
    <t>Dahl Creek</t>
  </si>
  <si>
    <t>Gregg Creek FSR</t>
  </si>
  <si>
    <t>MOF 5416</t>
  </si>
  <si>
    <t>Murray Creek</t>
  </si>
  <si>
    <t>Loop Rd</t>
  </si>
  <si>
    <t>Vanderhoof</t>
  </si>
  <si>
    <t>Snell Rd E</t>
  </si>
  <si>
    <t>Loop Road</t>
  </si>
  <si>
    <t>Northside Rd</t>
  </si>
  <si>
    <t>Larson Road</t>
  </si>
  <si>
    <t>East Murray Creek</t>
  </si>
  <si>
    <t>McIntosh Creek</t>
  </si>
  <si>
    <t>Mcleod Pit Rd</t>
  </si>
  <si>
    <t>Stringer Rd</t>
  </si>
  <si>
    <t>Knight Creek</t>
  </si>
  <si>
    <t>Sickness Road</t>
  </si>
  <si>
    <t>Gulbranson Rd</t>
  </si>
  <si>
    <t>Tributary to Tritt Creek</t>
  </si>
  <si>
    <t>Sturgeon Pt Rd</t>
  </si>
  <si>
    <t>Clear Creek</t>
  </si>
  <si>
    <t>Braeside Rd</t>
  </si>
  <si>
    <t>Tributary to Clear Creek</t>
  </si>
  <si>
    <t>Highway 27S</t>
  </si>
  <si>
    <t>Blue Mountain Road</t>
  </si>
  <si>
    <t>Fourteen Mile Rd</t>
  </si>
  <si>
    <t>Highway 27 S</t>
  </si>
  <si>
    <t>Moss Creek</t>
  </si>
  <si>
    <t>Redmond Creek</t>
  </si>
  <si>
    <t>Trankle Creek</t>
  </si>
  <si>
    <t>Walker Rd</t>
  </si>
  <si>
    <t>Spur</t>
  </si>
  <si>
    <t>Unclassified</t>
  </si>
  <si>
    <t>Tributary to Hulatt Creek</t>
  </si>
  <si>
    <t>Barsness Rd</t>
  </si>
  <si>
    <t>Gilbert Creek</t>
  </si>
  <si>
    <t>Gilbert Rd</t>
  </si>
  <si>
    <t>Sturgeon Point Rd</t>
  </si>
  <si>
    <t>Bave Rd</t>
  </si>
  <si>
    <t>Leona Creek</t>
  </si>
  <si>
    <t>Sackner Rd</t>
  </si>
  <si>
    <t>Leduc Creek</t>
  </si>
  <si>
    <t>Strieger Rd</t>
  </si>
  <si>
    <t>Chilco Ave</t>
  </si>
  <si>
    <t>Rail</t>
  </si>
  <si>
    <t>CN Rail</t>
  </si>
  <si>
    <t>Canfor R09185</t>
  </si>
  <si>
    <t>Nine Mile Creek</t>
  </si>
  <si>
    <t>Dog Creek FSR</t>
  </si>
  <si>
    <t>MOTI Unclassified</t>
  </si>
  <si>
    <t>Settlement Rd</t>
  </si>
  <si>
    <t>Goldie Creek</t>
  </si>
  <si>
    <t>Croft Creek</t>
  </si>
  <si>
    <t>Landaluza Rd</t>
  </si>
  <si>
    <t>Relief Creek</t>
  </si>
  <si>
    <t>Allen Creek</t>
  </si>
  <si>
    <t>Powder House Creek</t>
  </si>
  <si>
    <t>Decker Creek</t>
  </si>
  <si>
    <t>Gauvin Creek</t>
  </si>
  <si>
    <t>Guyishton Creek</t>
  </si>
  <si>
    <t>Highway 35</t>
  </si>
  <si>
    <t>Wardrop Creek</t>
  </si>
  <si>
    <t>Roumieu drive</t>
  </si>
  <si>
    <t>Steams Creek</t>
  </si>
  <si>
    <t>Tintagel Creek</t>
  </si>
  <si>
    <t>Unnamed</t>
  </si>
  <si>
    <t>Sheraton Creek</t>
  </si>
  <si>
    <t>Tchesinkut Creek</t>
  </si>
  <si>
    <t>Four Mile Creek</t>
  </si>
  <si>
    <t>Robertson Creek</t>
  </si>
  <si>
    <t>Lily Lake Rd</t>
  </si>
  <si>
    <t>Tributary to Smith Creek</t>
  </si>
  <si>
    <t>Smith Creek</t>
  </si>
  <si>
    <t>Neuro Creek</t>
  </si>
  <si>
    <t>Ens Rd</t>
  </si>
  <si>
    <t>Tributary to Neuco Creek</t>
  </si>
  <si>
    <t>Hulatt Creek</t>
  </si>
  <si>
    <t>Tributary to Cluculz Lake</t>
  </si>
  <si>
    <t>Norman Creek</t>
  </si>
  <si>
    <t>Lloyd Dr</t>
  </si>
  <si>
    <t>Tributary to Bednesti Lake</t>
  </si>
  <si>
    <t>Zelkwas Creek</t>
  </si>
  <si>
    <t>Isle Pierre Rd</t>
  </si>
  <si>
    <t>Sweden Creek</t>
  </si>
  <si>
    <t>Kellogg Creek</t>
  </si>
  <si>
    <t>Little Beaverley Creek</t>
  </si>
  <si>
    <t>Upper Mud River Rd</t>
  </si>
  <si>
    <t xml:space="preserve">Tributary to Chelako River </t>
  </si>
  <si>
    <t xml:space="preserve">Tributary to Chilako River </t>
  </si>
  <si>
    <t>Gregg FSR</t>
  </si>
  <si>
    <t>Tributary to Beaverley Creek</t>
  </si>
  <si>
    <t>East Beaverley Rd</t>
  </si>
  <si>
    <t>Closed Bottom Structure</t>
  </si>
  <si>
    <t>Round Culvert</t>
  </si>
  <si>
    <t>Open Bottom Structure</t>
  </si>
  <si>
    <t>Bridge</t>
  </si>
  <si>
    <t>Pipe Arch</t>
  </si>
  <si>
    <t>Oval Culvert</t>
  </si>
  <si>
    <t>Other</t>
  </si>
  <si>
    <t>Ford</t>
  </si>
  <si>
    <t>Concrete Box</t>
  </si>
  <si>
    <t>No</t>
  </si>
  <si>
    <t>Yes</t>
  </si>
  <si>
    <t>Deep Fill</t>
  </si>
  <si>
    <t>High</t>
  </si>
  <si>
    <t>Medium</t>
  </si>
  <si>
    <t>Low</t>
  </si>
  <si>
    <t>medium</t>
  </si>
  <si>
    <t>Snowshoe Creek</t>
  </si>
  <si>
    <t>Highway 16a</t>
  </si>
  <si>
    <t>Tributary to Fraser River</t>
  </si>
  <si>
    <t>Penny Rd</t>
  </si>
  <si>
    <t>Unknown</t>
  </si>
  <si>
    <t xml:space="preserve">Railway </t>
  </si>
  <si>
    <t>72 Mile Creek</t>
  </si>
  <si>
    <t xml:space="preserve">Tributary to Fraser River </t>
  </si>
  <si>
    <t>Railway</t>
  </si>
  <si>
    <t>Carrier R07924</t>
  </si>
  <si>
    <t>Tributary to Read Creek</t>
  </si>
  <si>
    <t>Gray Rd</t>
  </si>
  <si>
    <t>Robinson Creek</t>
  </si>
  <si>
    <t>Upper Fraser Rd</t>
  </si>
  <si>
    <t xml:space="preserve">Upper Fraser Road </t>
  </si>
  <si>
    <t>Upper Fraser Road</t>
  </si>
  <si>
    <t>Tributary to Kenneth Creek</t>
  </si>
  <si>
    <t>Bowron FSR</t>
  </si>
  <si>
    <t>MOF</t>
  </si>
  <si>
    <t>Kenneth Creek</t>
  </si>
  <si>
    <t>Tributary to Sugarbowl Creek</t>
  </si>
  <si>
    <t>Hungary Creek</t>
  </si>
  <si>
    <t>Lunate Creek</t>
  </si>
  <si>
    <t>Penny Access Road</t>
  </si>
  <si>
    <t>Tributary to Driscoll Creek</t>
  </si>
  <si>
    <t xml:space="preserve">Penny Access Road </t>
  </si>
  <si>
    <t>Driscoll Creek</t>
  </si>
  <si>
    <t xml:space="preserve">Catfish Creek </t>
  </si>
  <si>
    <t>Shallow Fill</t>
  </si>
  <si>
    <t>Clyde Creek</t>
  </si>
  <si>
    <t>Cranberry Creek</t>
  </si>
  <si>
    <t>Pine Road</t>
  </si>
  <si>
    <t>Hankins Creek</t>
  </si>
  <si>
    <t>Eddy Rd</t>
  </si>
  <si>
    <t>Dominion Creek</t>
  </si>
  <si>
    <t>1st Ave</t>
  </si>
  <si>
    <t>McBride</t>
  </si>
  <si>
    <t>Tributary to Dominion Creek</t>
  </si>
  <si>
    <t>Horseshoe Lake Rd</t>
  </si>
  <si>
    <t xml:space="preserve">Crooked Creek </t>
  </si>
  <si>
    <t xml:space="preserve">Loseth Road </t>
  </si>
  <si>
    <t>Crooked Creek</t>
  </si>
  <si>
    <t>Teepee Creek</t>
  </si>
  <si>
    <t>Highway 5</t>
  </si>
  <si>
    <t>Tributary to Fraser river</t>
  </si>
  <si>
    <t>Hinkelman Rd</t>
  </si>
  <si>
    <t>L‚ÄôEsrange Creek</t>
  </si>
  <si>
    <t>L‚Äôheureux Road</t>
  </si>
  <si>
    <t>Goslin Creek</t>
  </si>
  <si>
    <t>Holliday Creek</t>
  </si>
  <si>
    <t>River Rd</t>
  </si>
  <si>
    <t xml:space="preserve">Spittal Creek </t>
  </si>
  <si>
    <t>Care Road</t>
  </si>
  <si>
    <t>Read Rd</t>
  </si>
  <si>
    <t>Penny street</t>
  </si>
  <si>
    <t>Northwood R02900</t>
  </si>
  <si>
    <t>Wolfe Creek</t>
  </si>
  <si>
    <t>Tributary to Aleza Lake</t>
  </si>
  <si>
    <t>MOF 7141</t>
  </si>
  <si>
    <t xml:space="preserve">Highway 5 </t>
  </si>
  <si>
    <t>Sugarbowl Creek</t>
  </si>
  <si>
    <t>Shelby Creek</t>
  </si>
  <si>
    <t>Airport Rd</t>
  </si>
  <si>
    <t xml:space="preserve">Cranberry Creek </t>
  </si>
  <si>
    <t xml:space="preserve">Cranberry Lake Road </t>
  </si>
  <si>
    <t>2nd Ave</t>
  </si>
  <si>
    <t>Teare Creek</t>
  </si>
  <si>
    <t>Jeck Rd</t>
  </si>
  <si>
    <t>Redmountain Creek</t>
  </si>
  <si>
    <t>Penny St</t>
  </si>
  <si>
    <t>This is two 1.55 m pipes plus a 0.6 m overflow.  The north large pipe has a strange apron on the inlet.  The stream is deeply incised (2.5 m deep) within an agricultural field on the downstream side.  No riparian for approximately 70 m downstream on the right bank.  The stream is partially dewatered with stagnant pools throughout.  Forgie Creek dam, owned by Hart George F/V B,  is upstream and may be influencing flow.  Channel is choked downstream with grasses in many places indicating flow is not occurring year around.       MoTi chris_culvert_id: 2883939, 2076427, 2076426. 12:57:11</t>
  </si>
  <si>
    <t>Was modelled as open bottom structure,  has now been changed to CBS.  Larger drainage with agricultural fields both upstream and downstream.  Heavily impacted riparian with primarily field on either side upstream and downstream.  Channel choked out with agronomic grasses.  Mostly dewatered except for intermittent stagnant pools.  Unassessed railway crossing downstream.           MoTi chris_culvert_id: 2077140, 2077139. 13:48:59</t>
  </si>
  <si>
    <t>Dry at time of survey.  Abundant gravels throughout.  Crossing on railway downstream still unassessed.  Modelled crossing below.  First 5 m of pipe is rusted through on the bottom side.  Deeply incised banks upstream indicate the stream has a lot of flow at sometimes in the year with a decent amount of power. 9m falls ~1km upstream.Upstream Co-op Lake stocked with KO from 2017-2023 and EB from 1963-2023. MoTi chris_culvert_id: 2069497. 10:56:54</t>
  </si>
  <si>
    <t>Small stream with very good flow immediately adjacent to the mainstem of the Endako River.  Could be valuable Chinook rearing area during high flow periods.  Pipe is bent in the middle so top half is backwatered but the bottom half is not.  Small outlet drop.  There is a large lump in the road at the pipe and pylons have been set up here likely to warn drivers.. 12:11:02</t>
  </si>
  <si>
    <t>Dry at time of survey.  Stream may be channelized upstream due to driveways to private properties on either side of the stream.  Appears to have narrow,  but decently healthy cottonwood dominated riparian,  which could help dissipate flows and floods and runoff.  Crack in Highway at culvert with minor erosion of road prism on downstream side.  Stream labelled as Ross creek on sign.            MoTi chris_culvert_id: 1793864. 12:42:58</t>
  </si>
  <si>
    <t>Dry with very poorly defined channel upstream and downstream.  Seems very unlikely that this system could support fish.  Pipe is rusted right through at the inlet for ~1m.  Pipe is in very bad shape.  MoTi chris_culvert_id: 1793794. 13:41:54</t>
  </si>
  <si>
    <t>Dry at time of survey.  Upstream channel is choked with reed canary grass.  Downstream is extremely thick willow with multiple channels present.  Stream provides access to Drywilliam lake.  Road fill was measured at 12m,  but changed to 9.9 to satisfy provincial submission requirements.               MoTi chris_culvert_id: 1793348. 14:31:28</t>
  </si>
  <si>
    <t xml:space="preserve"> Small drainage. Dry with primarily vegetated channel indicating does not much flow for most of the year. Culvert rusting at inlet.  MoTi chris_culvert_id: 1794274. 10:53:44</t>
  </si>
  <si>
    <t>Very nice stream with good flow and abundant gravels upstream and downstream. Landowner indicated sockeye spotted along shoreline years ago. Massive outlet drop. Deserves habitat confirmation and consideration for replacement if no natural barriers upstream. There is a PSCIS assessed site (assessment_id = 7622) upstream that is a barrier.          MoTi chris_culvert_id: 1790951. 12:12:56</t>
  </si>
  <si>
    <t>Very nice little stream with excellent flow for this time of year on a dry year. Crossing downstream on Gala Bay Road was fully embedded and passible at the time of the assessment. There is a historic chinook observation within this stream. This could be valuable Chinook rearing habitat and connectivity within the system should be restored, should no natural barriers be observed on a habitat confirmation assessment.            MoTi chris_culvert_id: 1794198, 1794199. 12:47:26</t>
  </si>
  <si>
    <t>Very nice stream with excellent flow for this time of year on a dry year.  Very large deep outlet pool with extensive erosion undercutting the main pipe and 0.6 m overflow. Locally known as Dog Creek. Chinook captured upstream and downstream of Dog Creek FSR in 2021, 2022, and 2023 reported here https://a100.gov.bc.ca/pub/acat/public/viewReport.do?reportId=62942.  Connected to the Nechako River with observed chinook points downstream adjacent to the confluence. Road edge is failing at the culvert and eroding into stream. Highly degraded site upstream that would be a good candidate for restoration.       MoTi chris_culvert_id: 1794340. 13:43:26</t>
  </si>
  <si>
    <t>Extreme negative impacts due to cattle, particularly upstream of the FSR. Extensive trampling of the channel and banks, along with heavy grazing and removal of riparian. Dry at the time of assessment besides a small wallowing hole upstream of the inlet. Riparian exclusion fencing is required along with repairing vegetation, restoration irrigation, and monitoring. This is a fish bearing stream with high habitat values less than 2 km down the stream where it crosses Dog Creek Road.. 14:17:41</t>
  </si>
  <si>
    <t>Two pipes at 0.6 m each. Agricultural field downstream. Appears that the stream has been modified to put the stream in the ditch of the agricultural field. Aird lake upstream with rainbow trout presence. Dry channel. Very small stream. Massive outlet drops. May have historically provided some rearing refuge for wetted periods of the year.            MoTi chris_culvert_id: 1975643, 1975642. 09:41:29</t>
  </si>
  <si>
    <t>Dry at tme of assessment. One assessed crossing on private driveway located downstream. Stream is completely trampled and barely recognizable upstream due to cattle trampling and riparian removal. Downstream is ditch like with just grass and shrub riparian before mix forest begins proximately 40 m downstream of the road. Agricultural field on right back downstream. Some scouring of the channel downstream, but primarily choked with grasses indicating stream does not flow for much of the year lately.   MoTi chris_culvert_id: 1975651. 10:20:58</t>
  </si>
  <si>
    <t>Dry at time of assessment. Two other crossings located upstream on non-active forestry roads. Extensive beaver activity upstream with water above both upstream crossings. Could consider opportunity for upgrading this crossing and removing the upper two.  MoTi chris_culvert_id: 1976780. 12:17:51</t>
  </si>
  <si>
    <t>Moti major structure. Beaver dam located approximately 30 m downstream has backwatered the entire structure.   MoTi chris_hwy_structure_road_id: 3755. 13:13:41</t>
  </si>
  <si>
    <t>Huge system with wide channel. Hundreds of fry spotted upstream and some in culvert. Deep outlet pool suggesting culvert may be undersized.  Extensive restoration activities in the watershed with many led by Nechako Environment and Watershed Stewardship Society.. 09:13:29</t>
  </si>
  <si>
    <t>Grassy wetland habitat upstream and downstream. Culvert diameter used as channel width and stream slope estimated. Beaver grate present at inlet. Some flow in culvert.   MoTi chris_culvert_id: 1808533. 09:55:51</t>
  </si>
  <si>
    <t>Known chinook system upstream and down. Two culverts, only left one has water flowing through. Left one is warped in the middle. Very deep outlet pool. Wetland habitat upstream. Agricultural land downstream, with defined channel and good flow.   MoTi chris_culvert_id: 1802380, 1802381. 10:16:56</t>
  </si>
  <si>
    <t>No water in culvert. Dewatered upstream. Some standing water in outlet pool, then dewaters downstream. Clear signs of cattle intruding into channel upstream.   MoTi chris_culvert_id: 1808528. 12:00:12</t>
  </si>
  <si>
    <t>Three culverts. Water flowing through two pipes. The other one is dewatered, looks like it was installed too high. Overgrown channel upstream. Downstream goes through agricultural land.  MoTi chris_culvert_id: 1807160, 1807157, 1807159. 12:30:04</t>
  </si>
  <si>
    <t>Fully dewatered. Very small culvert. Signs of a stream channel but doesn't look like there has been water flowing in years.   MoTi chris_culvert_id: 1806918. 13:57:33</t>
  </si>
  <si>
    <t>Huge outlet pool, but no outlet drop. No water in pipe and no flowing water in stream.  MoTi chris_culvert_id: 1803926. 15:09:18</t>
  </si>
  <si>
    <t>Dewatered.  Vegetated stream channel. Three culverts, diameter totaled.  MoTi chris_culvert_id: 1801577, 1801578. 15:44:14</t>
  </si>
  <si>
    <t>High quality habitat upstream, wide channel with good flow. Lots of instream vegetation near culvert.  Fully backwatered and passable at time of assessement. MoTi chris_hwy_structure_road_id: 30525. 09:33:54</t>
  </si>
  <si>
    <t>Upstream, overgrown with smaller channel. than downstream. Significant outlet drop.. 10:44:11</t>
  </si>
  <si>
    <t>Big wetland upstream, beaver grate at inlet. Big debris jam in middle of culvert. Only water in pipe near inlet. Dewatered channel downstream at time of survey.  MoTi chris_culvert_id: 1797338. 11:44:44</t>
  </si>
  <si>
    <t>High value habitat, wide channel with good flow and gravels. Known chinook system downstream. Culvert is very damaged near outlet. There are holes on bottom of pipe about 5m from outlet where water is running through and under the pipe. Culvert is angled down near outlet.  Good candidate for replacement.   MoTi chris_culvert_id: 1806163. 12:15:10</t>
  </si>
  <si>
    <t>Inlet almost completely blocked by debris and wood. Wetland upstream. Beaver dam blocking most of water just downstream of outlet pool.  Chinook observations noted downstream MoTi chris_culvert_id: 1804629. 13:01:50</t>
  </si>
  <si>
    <t>Big, deep outlet pool. Water is flowing from inlet under the pipe for ~10m and then entering pipe through small hole and then flowing in pipe to outlet.  Very near Nechako on unpaved road.  Perched pipe. MoTi chris_culvert_id: 1804624. 13:44:39</t>
  </si>
  <si>
    <t>Very small channel. Agricultural fields upstream and downstream of crossing with no tree cover.  Seems likely historic wetland area. MoTi chris_culvert_id: 1800221. 14:39:14</t>
  </si>
  <si>
    <t>Dewatered pasture upstream with vegetated channel. Small channel downstream with no water.  MoTi chris_culvert_id: 1807349. 15:54:33</t>
  </si>
  <si>
    <t>Landowner reports there hasn't been water in stream since the spring.  MoTi chris_culvert_id: 1806660. 10:18:36</t>
  </si>
  <si>
    <t>Mostly dewatered channel with small amount of water in outlet pool.. Large outlet drop. No well defined channel upstream. Channel width and gradient estimated as areas immediately upstream and downstream are fenced off.  MoTi chris_culvert_id: 1801616. 10:37:09</t>
  </si>
  <si>
    <t>Two pipes. Dewatered at tiime of assessment.  Large outlet drop. Debris jam near outlet blocking channel. Grassy habitat upstream, with small channel.  MoTi chris_culvert_id: 1802489, 1802490. 11:10:27</t>
  </si>
  <si>
    <t>Dewatered at time of assessment. Very small channel upstream. Culvert was installed deep down into the valley.  MoTi chris_culvert_id: 1801777. 11:40:33</t>
  </si>
  <si>
    <t>Dewatered at time of assessment. Small channel. Inlet side is fenced off by barbed wire. MoTi chris_culvert_id: 1801803. 12:10:19</t>
  </si>
  <si>
    <t>Three pipes. Dewatered at time of assessment. Culverts appear old and near end of life.  Vegetated channel within pasture land upstream. Large debris jam blocking inlet of middle culvert.  MoTi chris_culvert_id: 1806925, 1806926. 12:39:13</t>
  </si>
  <si>
    <t>Very big outlet drop and deep outlet pool. Trickle of water flowing through culvert. Dewatered downstream of outlet pool and dewatered upstream of culvert. Channel width taken upstream but channel is wider downstream of crossing. Culvert is warped and a little corroded.  Channel primarily vegetated.. 13:09:19</t>
  </si>
  <si>
    <t>Very big outlet drop. Small channel upstream, grassy habitat near crossing.  Chinook confirmed downstream on nearby Clear Creek. MoTi chris_culvert_id: 1806169. 15:41:05</t>
  </si>
  <si>
    <t>High habitat value.  Abundant gravels and wide channel. Two pipes that look very old but fully backwatered.  Chinook were captured downstream of Settlement Road culvert in 2021 (https://a100.gov.bc.ca/pub/acat/public/viewReport.do?reportId=61991). MoTi chris_culvert_id: 1794329, 1794330. 16:59:42</t>
  </si>
  <si>
    <t>Two pipes (one at 1.8m, one at 1.5m), both with similar outlet drops. Inlet side has extensive beaver activity. Beaver dams are covering the inlet and culverts are not visible. Huge wetland upstream. Very big outlet pool so depth was estimated. Chinook were captured downstream of Settlement Road culvert in 2021 (https://a100.gov.bc.ca/pub/acat/public/viewReport.do?reportId=61991) and Rainbow Trout observed in stream from 2021-2023 (https://a100.gov.bc.ca/pub/acat/public/viewReport.do?reportId=61202 and https://a100.gov.bc.ca/pub/acat/public/viewReport.do?reportId=62942). Culverts should be replaced and beaver activity managed. Habitat looks good downstream. High habitat value at crossing upstream.  MoTi chris_culvert_id: 1793922, 1793923. 17:26:25</t>
  </si>
  <si>
    <t>Dewatered stream.  Large outlet pool. Pipe very corroded on outlet side. Wide stream channel upstream.  Grassy channel downstream.  Fully backwatered at time of assessdmnt. MoTi chris_culvert_id: 3738843. 08:55:03</t>
  </si>
  <si>
    <t>Wetland upstream and downstream. Culvert blocked with some debris and overgrown with vegetation. Probably hasn't been flow through pipe in a while.. 09:26:55</t>
  </si>
  <si>
    <t>Moderate flow, wide stream with nice gravels upstream. Runs through rural area. Big outlet drop and deep pool.  Erosion and embankment issues above culvert on outlet side. Rainbow confirmed upstream.  FISS has 3m falls locaed 3.5km upstream of Decker Lake but suspect not actually an issue. MoTi chris_culvert_id: 3100663. 11:36:12</t>
  </si>
  <si>
    <t>Dewatered at time of assessment.  Wide channel, private land on both sides. Culvert looks old and corroded, abundant fill in barrel.  MoTi chris_culvert_id: 2076438. 12:44:04</t>
  </si>
  <si>
    <t>Dewatered at time of assessment. Small pool near outlet.  Rainbow confirmed in past upstream. Two 3m falls noted 450m upstream. in FISS. Culvert is very old, corroded and has holes in bottom.  MoTi chris_culvert_id: 2076418. 13:18:49</t>
  </si>
  <si>
    <t>Two pipes at 1.1m diameter each. Debris jam blocking majority of inlet on both pipes.  Large channel dewatered at time of assessment.  Significant outlet drop on both culverts.  Two 3m high falls documented in FISS at ~500-600m upstream.  Rainbow trout historically captured upstream.  RB have historically been captured upstream. 13:50:33</t>
  </si>
  <si>
    <t>Dewatered stream at time of survey. Wide channel, abundant boulders downstream of crossing. Rainbow confirmed upstream in past. Culvert is old and corroded badly on outlet side. Stream most likely flows under culvert near outlet during high flow.  MoTi chris_culvert_id: 2076407. 14:15:04</t>
  </si>
  <si>
    <t>Very long culvert length and high fill depth, two pipes. Mostly dewatered stream. Small pools upstream, stagnant water. Small, confined channel. Can't see the other end of pipe, culvert slope estimated. Might be some blockage or culvert is bent in middle. Unassessed railway crossing just downstream. MoTi chris_culvert_id: 2076402. 14:49:25</t>
  </si>
  <si>
    <t>Small fry spotted in culvert and in outlet pool. Two pipes, both old and corroded with large outlet drops. Small holes in both pipes causing some water to flow under pipe. Very low fill depth, culverts almost at highway. Near Burns Lake, in residential area. Habitat looks good upstream. RB and LSU upstream in Guyishton Lake.  MoTi chris_culvert_id: 2070299, 2070298. 15:48:58</t>
  </si>
  <si>
    <t>Culvert almost fully embedded except for small section at inlet side. Small fish seen in culvert and upstream of crossing. Moderate flow, wide channel. RB confirmed upstream in past.  MoTi chris_hwy_structure_road_id: 3880. 16:36:18</t>
  </si>
  <si>
    <t>Very wide channel, culvert is undersized and perched. Deep outlet pool and massive outlet drop. Small fish seen in outlet pool. RB confirmed in past upstream and downstream.  Just upstream of Babine Forest Products Ltd lumber yard.  Railway downstream needs to be assessed. MoTi chris_culvert_id: 2069556. 11:11:26</t>
  </si>
  <si>
    <t>Near entrance to lumber yard, Babine Forest Products Ltd. Barrier just upstream. Railway downstream has not been assessed yet. Big outlet drop with very deep pool. Wide stream channel with low water levels. RB upstream.. 11:25:01</t>
  </si>
  <si>
    <t>Culverts runs underneath highway and railway. Outlet could not be located Creek found below railway and flows to the Endako confluence. Beaver grate on inlet side.  MoTi chris_culvert_id: 1793819. 13:07:39</t>
  </si>
  <si>
    <t>Dewatered at time of assessment.  RB, LKC and LSU confirmed upstream in past. Foster Creek joins this stream just upstream of crossing. Old culvert, bent in middle. Unassessed railway crossing downstream. MoTi chris_culvert_id: 1793375. 14:27:03</t>
  </si>
  <si>
    <t>Dewatered at time of assessment. Fenced off private land on both sides. Small outlet drop.  MoTi chris_culvert_id: 3343582. 15:19:42</t>
  </si>
  <si>
    <t>Wetland habitat upstream and downstream. Beaver in culvert at time of survey.  Beaver exclusion cage on inlet. Small debris jam at outlet. Fish presence confirmed just downstream of culvert.  Leg Lake just upstream. MoTi chris_culvert_id: 1795039. 15:51:16</t>
  </si>
  <si>
    <t>Wide stream channel, dewatered at time of survey.  Small pool near outlet, no flowing water.   Likely important migration corridor as this is a large system. MoTi chris_hwy_structure_road_id: 3743. 16:09:38</t>
  </si>
  <si>
    <t>Dewatered at time of assessment. Very small and hard to find channel. Overgrown and little stream substrate present. Upstream fenced off on private land. . 09:24:18</t>
  </si>
  <si>
    <t>Dewatered stream. Upstream is in fenced off private land, no clear channel visible. More obvious channel downstream of crossing. Moderate outlet drop with big dry area that looks like it would be an outlet pool when the stream is flowing.. 09:45:55</t>
  </si>
  <si>
    <t>Two pipes, they are closer together at outlet compared to inlet so they must be bent in middle. Dewatered. Fenced off private land downstream. Little riparian and evidence of cattle trampling. Upstream is in better shape, small channel visible.  MoTi chris_culvert_id: 1804941, 3693332. 10:17:48</t>
  </si>
  <si>
    <t>Dewatered. Fenced off private field upstream. Wide open grassy floodplain with little riparian and no channel visible. Downstream has wide area at outlet where pool used to be. Evidence of livestock trampling and/or big game near outlet.  MoTi chris_culvert_id: 1804931. 11:06:49</t>
  </si>
  <si>
    <t>Culvert runs under active highway construction site. Inlet could not be accessed. Looks like they are excavating near inlet. Possible bridge construction? Stream is mostly dewatered but there is some stagnant water in culvert. Baffles in pipe. Habitat downstream looks good, with abundant woody debris and healthy riparian.  MoTi chris_culvert_id: 1804902. 11:33:26</t>
  </si>
  <si>
    <t>Numerous baffles in pipe. Smaller secondary culvert next to main pipe but installed higher up so likely doesn't get much water. Little amount of flow in pipe but stops just short of outlet, most likely due to small split in pipe. Wide shallow outlet pool but no drop. Abundant algae on stream substrate upstream. RB and WSU confirmed up and downstream.  MoTi chris_culvert_id: 1802792. 12:18:02</t>
  </si>
  <si>
    <t>Dewatered upstream and downstream. Baffle steps in culvert containing pools with water but no flow. Efforts being made upstream to restore riparian vegetation with fencing and saplings present. No clear channel downstream. Fish confirmed upstream in 2020.   MoTi chris_culvert_id: 1975143. 13:34:52</t>
  </si>
  <si>
    <t>2 pipes. Wetland area upstream, beaver grate on inlet. Signs of beaver activity, dam near outlet. Hard to determine stream channel width so used combined culvert diameter. Little trickle flowing through one pipe but other one is dewatered.  Considered medium value habitat due to presence of suitale rearing habitat and water in drought period. MoTi chris_culvert_id: 1975493, 1975492. 14:05:44</t>
  </si>
  <si>
    <t>Outlet drop but no pool. Small amount of flow in pipe. Holes in bottom of pipe near outlet where water is flowing through and under. Very murky, turbid water upstream with no flow. Abundant boulders around outlet.  MoTi chris_culvert_id: 3773627. 14:57:37</t>
  </si>
  <si>
    <t>4 pipes seen at outlet but only 2 bigger ones visible on inlet side. Only one big pipe has flowing water, has beaver grate on inlet. Small debris jam in front of inlet, likely from beaver. Upstream is grassy with little riparian on banks near crossing. Downstream is different, good habitat and wide channel. Very deep, wide outlet pool. Small fish seen in pool.  No fish confirmed on system.  MoTi chris_culvert_id: 3773624, 3773623, 1975211. 15:48:26</t>
  </si>
  <si>
    <t>Chinook confirmed upstream in past.  Two pipes, only one had water flowing through at time of survey. Small outlet drop. Abundant boulders present downstream. High value habitat upstream with wide channel and gravels present.  MoTi chris_hwy_structure_road_id: 4166. 16:33:33</t>
  </si>
  <si>
    <t>Two pipes but only one is functioning and has small amount of flow through it. Very small channel.  Observed chinook in FISS downstream of confluence with Beaverley Creek at ~100m from the crossing and ~30m from the confluence.  MoTi chris_culvert_id: 1975199. 16:46:37</t>
  </si>
  <si>
    <t>Small stream, very close to Chelako confluence.  Large outlet drop but no deep outlet pool. Abundant gravels upstream. MoTi chris_culvert_id: 1975638. 09:45:56</t>
  </si>
  <si>
    <t>Dewatered stream, small channel with little to no gravels or cobbles. Two pipes but only one functioning. with other pipe is not visible at outlet.  MoTi chris_culvert_id: 3389486. 10:26:08</t>
  </si>
  <si>
    <t>Two pipes and one overflow pipe. Small amount of flowing water through one pipe. Wetland type habitat downstream with beaver dam near outlet. Medium sized channel downstream with medium value habitat with functional woody debris and some gravels.  MoTi chris_culvert_id: 1976123, 1976122. 13:17:26</t>
  </si>
  <si>
    <t xml:space="preserve"> High value spawning and rearing habitat upstream.  Massive outlet pool with erosion indicates culvert is extremely under sized.   Candy et al 2002 notes chinoook spawning in this system.   MoTi chris_hwy_structure_road_id: 3751. 17:54:33</t>
  </si>
  <si>
    <t>Small stream, overgrown with vegetation in sections. Pipe is made of plastic. Some gravels present,  with moderate flow. Unassessed rail crossing just upstream that appears passable. Downstream crossings on private property.. 11:30:44</t>
  </si>
  <si>
    <t>Three pipes at 0.9 m each, but only one has flowing water,  other two are blocked by vegetation. Made of concrete and built in 1930. Nice stream with good flow. Abundant rearing habitat located upstream.  Although the stream has a lot of volume, the depth in the one pipe functioning is extremely shallow and has a 50cm concrete drop at the outlet.  This road is the only access to the town of Penny just downstream, therefore a wash out could leave them stranded.. 11:38:41</t>
  </si>
  <si>
    <t>Two 0.9m pipes, both plastic. Nice stream with good flow. There is another culvert located downstream on the driveway to a private residence that has a small outlet drop (approximately 20cm). Some gravel is upstream of the railway.  No barrel photos. Penny Street is the only vehicle access to and from the community of Penny located just up the road.. 12:00:42</t>
  </si>
  <si>
    <t>Two pipes made of concrete under the railway 0.9 m each. Crossing constructed in 1934. Nice stream good flow. Some small gravel's located upstream. Wire mesh cages attached to inlets upstream - poentially for beaver. Fill depth measured at 12m, but changed to 9.9 to satisfy submission template macros.. 12:07:26</t>
  </si>
  <si>
    <t>Predominantly fine substrate downstream but abundant gravels upstream as. Wide channel with good flow immediately adjacent to Fraser mainstem. Small debris jam near outlet, backwatering pipe.  Does not appear to be a barrier to adults but could have value for juvenile rearing and potentially hindered access during high flow times when refuge needed.  Sampling could help determine if chinook are accessing upstream. Very deep, muddy outlet pool.  Unassessed railway crossing ~900m upstream.. 12:16:38</t>
  </si>
  <si>
    <t>Wetland area upstream. Beaver exclusion cage on inlet but the cage is completely blocked with material so there is a wetland upstream. Appears to be recent maintenance on the site. Road prism is eroding at the location of the culvert with a piece of pipe set aside that has possibly been recently removed.    Culvert slope estimated as could not see through the pipe. Unassessed railway crossing ~1.3km upstream.. 12:55:42</t>
  </si>
  <si>
    <t>Stream dry the time assessment. Flows through agricultural field on both sides. Very minimal willow and cottonwood riparian. Stream is incorrectly mapped in the Freshwater Atlas and actually crosses under the road ~350m further east on Penny road.  Satellite imagery shows there are signs of the old meandering channel near the FWA streamline, suggesting the stream may have been redirected at one point.Road embankment is sloughing around the inlet with pipe 50% blocked due to the road fill. Penny Road is the only access to the community of Penny.. 13:20:38</t>
  </si>
  <si>
    <t>Small debris jam at outlet causing drop. Culvert is old and warped. Velocity is much higher in pipe than upstream. Predominantly fine substrate upstream, some gravels downstream.. 13:30:15</t>
  </si>
  <si>
    <t xml:space="preserve"> Very nice stream with abundant gravels and good flow upstream. Some old growth cedar within the upstream riparian area. Culvert must be bent in the middle because cannot see through. Pipe gradient estimated. Large outlet drop and deep outlet pool indicates culvert is extremely undersized.   Penny Road is only access in and out of the community of Penny.  Unassessed railway crossing ~300m upstream.. 13:38:13</t>
  </si>
  <si>
    <t>Beaver grate at inlet, moderate outlet drop and pool. Wetland type habitat upstream. Very turbid stream water.. 14:03:23</t>
  </si>
  <si>
    <t>Good flow. Small channel with fine substrate. Pipe is bent up approximately 2m downstream of the inlet. Debris guard has been built around the inlet.  Penny Road is the only access in and out of the community of Penny.   Is 500m downstream to the fraser river confluence. with another crossing that should be considered.. 14:08:24</t>
  </si>
  <si>
    <t>Stream not present at this location within freshwater atlas. Good flow and abundant, small gravels upstream and downstream. Although pipe appears undersized, the size and depth of the outlet pool indicates that it handles the flow decently well.            MoTi chris_culvert_id: 1995103. 14:41:27</t>
  </si>
  <si>
    <t>Small channel with no outlet drop or pool. Moderate flow and a lot of grassy vegetation on stream banks downstream.  MoTi chris_culvert_id: 1994901. 15:31:18</t>
  </si>
  <si>
    <t>Grassy vegetation upstream and downstream, little to no riparian. Runs through private property downstream. Small channel with low flow.. 16:11:20</t>
  </si>
  <si>
    <t>Newly installed pipe. Good flow with beaver activity prevalent upstream and downstream.  MoTi chris_culvert_id: 1994777. 16:14:28</t>
  </si>
  <si>
    <t>Concrete pipe. Smaller stream with some flow. Chinook observations upstream and downstream of this crossing in FISS.   Located on Upper Fraser Road which is only access to communities beyond including town of Penny.         MoTi chris_culvert_id: 1994747. 16:28:14</t>
  </si>
  <si>
    <t>Chinook confirmed upstream in 2018. Structure goes under highway and railway. Culvert visible at inlet but outlet has different structure. Slope estimated. Small step at outlet creating drop.   MoTi chris_culvert_id: 1994444. 17:35:22</t>
  </si>
  <si>
    <t>The crossing is actually located ~150m south of the modelled crossing (at km 31.9), on an unmapped Freshwater Atlas stream which flows into the crossing from the east, flowing along the ditch for approximately 60-70m. The streamline can be seen in satellite imagery. Very nice stream with good flow, abundant gravels, and some pools to 50cm deep. The inlet is completely buried and the outlet is blocked by beaver debris. Culvert slope estimated.. 09:31:27</t>
  </si>
  <si>
    <t>Very wide stream with high flow. Velocity is high in culvert. Very deep and big outlet pool, depth estimated. Known salmon spawning location. Chinook confirmed with carcass noted just upstream in 2022 by same field team.  MoTi chris_hwy_structure_road_id: 3750. 10:13:57</t>
  </si>
  <si>
    <t>Wetland type habitat upstream with multiple small channels threaded through it. Inlet of pipe is extremely bent. Nice little stream with well defined channel downstream. Good amount of flow and connected to known chinook system.            MoTi chris_culvert_id: 1992666. 10:35:14</t>
  </si>
  <si>
    <t>Very big outlet drop. Gravels present upstream that could be suitable for spawning. Small debris jam ~15m upstream of crossing but likely not a major barrier.  MoTi chris_culvert_id: 1992618. 10:50:45</t>
  </si>
  <si>
    <t>Very nice stream with steeper cobble boulder habitat, potentially valuable rearing for Bulltrout . Very steep and long pipe with transmission line vegetation cleared at outlet.  There's a 20m section of dewatered stream approximately 10m downstream of the outlet due to a graded substrate likely related to highway corridor.  Crossing is within provincial park.   MoTi chris_culvert_id: 1992817. 11:05:47</t>
  </si>
  <si>
    <t>Large stream with abundant gravels present upstream suitable for spawning. Massive outlet drop with powerline riparian cleared downstream of the highway.   Old growth cedar hemlock riparian within Sugar bowl grizzly den provincial park. Follow up with habitat confirmation recommended.                  MoTi chris_culvert_id: 1992815. 11:30:20</t>
  </si>
  <si>
    <t>Culvert very old. Big wetland complex upstream. Inlet barely visible, covered in woody debris and rusty metal. Culvert slope estimated. High velocity coming out of outlet with moderate drop. Habitat looks good downstream, wide channel with high flow. Crossing is within the Sugarbowl grizzly den provincial park.  MoTi chris_culvert_id: 1992569. 12:49:05</t>
  </si>
  <si>
    <t>Very large, low gradient stream with chinook points. Hydrometric station upstream. Outlet drop is comprised of boulders, likely placed there to aid in passage. Located at the downstream end of powerline corridor, there is a steep cascade section for approximately 30m that is 8% gradient.  Cascade could be as much or more of a passage issue as the pipe.       MoTi chris_hwy_structure_road_id: 3749. 12:57:36</t>
  </si>
  <si>
    <t>Massive outlet drop and deep pool,  both depths estimated. Signs of beaver activity near inlet. There is an old well-like structure attached to inlet side.Water could be flowing through underneath surface, not visible.   MoTi chris_culvert_id: 1992863. 13:34:08</t>
  </si>
  <si>
    <t>Horsetail and willow wetland upstream with a small well-defined channel with fine gradients. Pipe is blocked by beaver debris. There is a second pipe that's approximately 1.5 m higher and 0.9m in diameter that is free of debris and functions as an overflow. Potential refuge area during periods of high flow in the Fraser river,  which was only 40m downstream at the time of assessment.  Gate at the end of the road preventing access to launch point for Penny.  Could consider road deactivation as a solution.  Crossing is located in the Ancient Forest/Chun T'oh Whudujut Protected Area.         MoTi chris_culvert_id: 1993423. 13:44:19</t>
  </si>
  <si>
    <t>Big wetland upstream. Inlet could not be found, likely submerged. Small channel downstream, pipe looks old and in bad shape. Overflow pipe near first pipe but not functioning currently.   MoTi chris_culvert_id: 1992855. 14:06:57</t>
  </si>
  <si>
    <t xml:space="preserve"> Could not locate pipe as it is underwater at both inlet and outlet. There appears to be a bunch of logs under the road so suspect that there may be no structure at all as the drainage may have been put in with logs - although MOT culvert layer says 0.6 m galvanized pipe.. Road is failing with 3 foot deep and 2 foot wide hole in the road marked with a pilon.            MoTi chris_culvert_id: 1993428. 14:32:19</t>
  </si>
  <si>
    <t>Big beaver dam near inlet of culvert spanning across whole channel approx 1.2m high.  Boulders in pipe near inlet creating small drop and increasing velocity.  Channel widens downstream, high value habitat. RB and CCG confirmed upstream and downstream with chinook observed way downstream at mouth.    Low gradient upstream and downsteram with decent outlet drop so resampling to determine chinook presence could be insightful. MoTi chris_culvert_id: 1992674. 14:54:00</t>
  </si>
  <si>
    <t>Very large system with beaver complex upstream, including a large beaver dam approximately 1.3m high located 25m upstream of the inlet. Approximately 20m downstream of the outlet is a rock chiute that is over 30% gradient but only for 5m with a total height of 1.7m.  There are two other falls noted as FISS obstables between this crossing and the fraser river doenstream. There is significant erosion of the road prism on the upstream side above the culvert. Culvert is located on the bend of Highway 16 under 10m of road fill.  Noted falls and lack of fish observations indicated access issues downstream. MoTi chris_culvert_id: 1992752. 16:16:08</t>
  </si>
  <si>
    <t>Steep waterfall 10m downstream of crossing,  approximately 8m in height. Stream gradient and channel width taken upstream. Gravels present upstream, but definite barrier downstream.  Crossing is within the West Twin Protected Area.  MoTi chris_culvert_id: 1473114. 16:34:20</t>
  </si>
  <si>
    <t>Absolutely massive structure with 12 m of fill plus the height of the culvert which appears to be approximately 7m. Fill depth changed to 9.9m to satisfy submission template macros. Very nice large stream with  boulder step pool habitat suitable for bull trout.  Falls noted just downstream in FISS but not observed in field with minmal survey. MoTi chris_hwy_structure_road_id: 3691. 17:00:34</t>
  </si>
  <si>
    <t>Deep canyon and high waterfall directly downstream of crossing which is a definite barrier to all fish. Rough estimate 20m height. Outlet drop and pool estimated because it was unsafe to get near stream due to steep embankment. RB confirmed upstream of crossing in 2017 and 2020, but the falls downstream is a definite barrier.   MoTi chris_hwy_structure_road_id: 30367. 17:27:23</t>
  </si>
  <si>
    <t>Newly installed culvert with beaver grate on inlet. Beaver influenced wetland area upstream and downstream. Channel width estimated as wetland areas present.  Approximately 700m downstream this stream flows into Swift Creek which is a known chinook stream.    MoTi chris_culvert_id: 1468490. 09:14:05</t>
  </si>
  <si>
    <t>Wide channel and high flowing stream. Small outlet drop and high velocity in pipe with shallow flows over unembedded pipe. Chinook confirmed downstream near Fraser River confluence in the past. Railway bridge downstream seen in photos.  MoTi chris_hwy_structure_road_id: 30365. 10:49:31</t>
  </si>
  <si>
    <t>Two culverts,  one bigger than the other. Debris jams at inlet creating drop and increasing stream velocity in pipe. Rail crossing upstream is a concrete OBS. Channel wider downstream than upstream.. 11:06:36</t>
  </si>
  <si>
    <t>Dewateredat crossing with large wetland area upstream. Flow goes through mainstem of Dominion Creek just north through town.  MoTi chris_culvert_id: 1462891. 11:52:44</t>
  </si>
  <si>
    <t xml:space="preserve"> Two pipes at 1.4m diameter each. Crossing is only 5m downstream of the railway crossing. The stream has bigger volume of water at this location than it did below Highway 5 downstream.  Water may be recharging beaver influenced wetlands downstream. Road edge has been armoured with riprap and downstream side of road bank is eroding significantly for approximately 60m.            MoTi chris_culvert_id: 1468680, 1468681. 12:14:12</t>
  </si>
  <si>
    <t>Culvert runs under both sets of tracks. Model Crossing will need to be removed from bcfishpass. Outlet of this pipe is immediately upstream of Loseth road with significant armouring around the outlet pool and road at the inlet downstream. Very nice stream with significant amounts of flow. Known rainbow stream. Much less flow downstream below Highway 5,  which is very interesting.. 12:21:02</t>
  </si>
  <si>
    <t>Very nice stream with salmon point in FISS located upstream. Very good flow with some pools present to 80cm deep upstream. Unassessed railway crossing approximately 200m upstream.  There is no crossing at the pipeline but construction activities have resulted in a small cascade of boulders at the pipe which is similar to the natural cascade section observed approximately 50m upstream.  Railway crossing downstream which is ranked as a barrier.          MoTi chris_culvert_id: 1467202. 12:56:09</t>
  </si>
  <si>
    <t>Very small stream with low flow. Embankment above outlet has been covered to prevent rockslide.  MoTi chris_culvert_id: 1461358. 13:46:10</t>
  </si>
  <si>
    <t>Nice little stream with good flow and abundant small gravel's upstream. There may be crossings downstream on private land. Significant amount of large riprap placed around inlet and outlet to protect the crossing. Outlet is placed on large piece of riprap, so 0.3m was added to the 0.2m outlet drop to account for the additional distance from the stream to the outlet. RB observed upstream.   MoTi chris_culvert_id: 1466467. 14:00:15</t>
  </si>
  <si>
    <t>Very nice stream with good flow and abundant gravels upstream. Pipe is an extremely bad shape with extensive corrosion inside of the pipe particularly at the downstream and - see photos.  Likely at least one crossing downstream on private land.  Transmission line corridor is located immediately upstream and the channel appears to be modified in this location to be straighter and narrower than its natural state.  No crossing immediately upstream on Goslin Road (no road - crossing should be removed as potential barrier in bcfishpass)             MoTi chris_culvert_id: 1465295. 14:28:28</t>
  </si>
  <si>
    <t>Culvert is undersized for a stream of this size. High flow,  channel is just over 10m wide upstream. Chinook confirmed downstream in the past.   MoTi chris_hwy_structure_road_id: 29925. 14:39:41</t>
  </si>
  <si>
    <t>Small stream with low flow. Muddy, fine substrate makes up most of streambed. Very close to Fraser River.  MoTi chris_culvert_id: 3189063. 15:17:53</t>
  </si>
  <si>
    <t>Pipes and road are in extremely poor condition with evidence of embankment failure and pipes rusted all the way through on the bottom side in places. Small side road parallel to Highway 16 with residences that could be accessed from either side. Removal of crossing could perhaps be considered. Large high value system suitable for bulltrout rearing.  Culvert upstream is relatively new concrete box culvert on the highway which is over half embedded and 3.7m wide.  MoTi chris_culvert_id: 1466350. 15:53:19</t>
  </si>
  <si>
    <t>Stream flows through private fenced off land on both sides. Moderate flow and a wide entrenched channel upstream. It appears cobbles are the predominant stream substrate and gravels subdominant.  MoTi chris_culvert_id: 1463590. 15:57:40</t>
  </si>
  <si>
    <t>Large stream with cobble boulder substrate suitable for bull trout. Concrete box culvert is 60% embedded on the downstream side. Decent amount of debris is clogging the inlet.  Although not perfect, this culvert appears to be fairly new with some embeddedment so not earmarked for follow up.   MoTi chris_hwy_structure_road_id: 29885. 22:39:24</t>
  </si>
  <si>
    <t>Nice stream with good flow and abundant gravel throughout low gradients.  Adjacent property is northern wildlife design.  Crossing is currently 100% backwaters and passable to all life stages and species at these lower flow levels.                     MoTi chris_culvert_id: 2076441. 12:01:27</t>
  </si>
  <si>
    <t xml:space="preserve"> Major beaver activity with inlet of pipe 3/4 blocked by mud.  0.6m overflow pipe also present.  Low gradient, willow dominated,  beaver influenced floodplain habitat upstream and downstream.  Pipe is backwatered however, the inlet is blocked so fish passage was not happening at time of assessment.  Crossing on railway upstream, not yet assessed.                  MoTi chris_culvert_id: 2077136, 2077137. 14:10:33</t>
  </si>
  <si>
    <t xml:space="preserve"> Two pipes at 1.8 m each,  north pipe slightly lower than south pipe at outlet.  Good sized stream with great flow for this time of year on a dry year.  Abundant black algae on gravel and cobble substrate.  Very nice stream.  Appears to have decent riparian health adjacent to the crossing but riparian buffer to be enlarged particularly on upstream south side.  Downstream crossing on highway was fully backwatered and not a barrier at the time of assessment.         MoTi chris_culvert_id: 2070691, 2070692. 09:42:44</t>
  </si>
  <si>
    <t xml:space="preserve"> Three 4 m diameter pipes.  All three pipes are 100% backwatered, and passable.  Road prism and pipes appear to be in good condition.  Extensive beaver activity upstream and downstream.            MoTi chris_hwy_structure_road_id: 3812. 11:35:39</t>
  </si>
  <si>
    <t>Stream is extremely impacted by cattle ranching.  Banks eroded and trampled.  Algae indicates nutrient inputs from cows are high.  Pipes are old with a lot of rust.  Habitat value is currently very poor,  but historically would've been high.  Still a good amount of flow for a dry year.  100% backwatered however,  depth of the water is only approximately 1 cm.  Absolutely no riparian vegetation or cattle exclusion fencing on the upstream side for as far as the eye can see (approximately 1 km.).            MoTi chris_culvert_id: 1790770, 1790769. 15:33:57</t>
  </si>
  <si>
    <t>100% backwatered at time of assessment. Beaver dams downstream backwatering the crossing. Pipe and road prism in great shape. Fully passable for all species and life stages at the time of assessment. Some small amount of embeddedment but only for a small piece of the pipe diameter.  Known chinook system with significant restoration works upstream.   MoTi chris_hwy_structure_road_id: 2678. 11:25:13</t>
  </si>
  <si>
    <t>Agricultural land on both sides and cow pasture downstream. Fully backwatered culvert with no flowing water. Cows seen intruding into the stream channel at time of survey.  MoTi chris_culvert_id: 1799951. 10:55:03</t>
  </si>
  <si>
    <t>Agricultural land on both sides and cow pasture downstream. Fully backwatered culvert with no flowing water. Cows seen in stream channel at time of survey.  Chinook observation upstream from 2019. MoTi chris_culvert_id: 1799951. 10:55:03</t>
  </si>
  <si>
    <t>Stream section is part of rehab project. New - fully backwatered structure likley passable to all life stages and species at time of assessment. MoTi chris_hwy_structure_road_id: 26621. 11:25:02</t>
  </si>
  <si>
    <t>Wetland habitat upstream and downstream. Huge beaver dam on inlet side creating drop. Adjacent landowner Ron reports there are no fish near this location. He reports that beaver activity increased significantly in the past few years, that is the only reason there is water here.   MoTi chris_hwy_structure_road_id: 30585. 13:09:51</t>
  </si>
  <si>
    <t>Wetland upstream and downstream. A lot of beaver activity upstream, big pond near inlet. Culvert is very warped on inlet side.  Chinook observations downstream on nearby Clear Creek. MoTi chris_culvert_id: 1806178. 09:56:44</t>
  </si>
  <si>
    <t>Two pipes, approx 15m apart but part of same system. No flowing water through either. Signs of beaver activity upstream.  MoTi chris_culvert_id: 3343588. 11:05:23</t>
  </si>
  <si>
    <t>Very small channel downstream, wider upstream. Small amount of flow, grassy wetland habitat. Not likely fish bearing stream section. Considered medium habitat value due to larger size of watershed and presence of some water in drought period when many adjacent systems were dry.. 13:50:05</t>
  </si>
  <si>
    <t>Wetland downstream.  Vegetated channel upstream. Several unassessed crossings downstream.. 13:56:33</t>
  </si>
  <si>
    <t>Stream not flowing at the time of assessment.  Horse pasture downstream.  Fenced off on both sides of pipe.  Nechako Environment and Water Stewardship Society ( https://newssociety.org/watersheds/goldie-creek ) report that stream was historically impacted adjacent to this site when Highway 27 was constructed 20-30 years ago due to fill from the excavation of the highway contributing significant amounts of sediment into Stoney Creek and ultimately into the spawning beds of Nechako White Sturgeon just below the Stoney Creek/Nechako River confluence. Extensive works completed upstream of the crossing in 2021 including culvert replaced with bridge, installation of beaver dam analogues, riparian planting and addition of large woody debris just upstream of the crossing.  MoTi chris_culvert_id: 1806217. 08:23:29</t>
  </si>
  <si>
    <t>Long pipe, no outlet drop but culvert is partially backwatered at outlet. Small fish spotted in outlet pool. Upstream goes into private land and is fenced off.  MoTi chris_culvert_id: 2076443. 12:13:13</t>
  </si>
  <si>
    <t>Culvert is backwatered and fully submerged on inlet side. Outlet side barely visible. Wetland/grassy habitat upstream and downstream. Stagnant water present in pools, no flowing water. Assuming beaver activity due to beaver grate on inlet and beaver dam seen downstream in photos.  Silt fencing seen on downstream left bank and major erosion on downstream right bank, based on photos.. 17:02:58</t>
  </si>
  <si>
    <t>Backwatered at outlet but some flow upstream and downstream.  Some gravels upstream.  Private property on both sides.  RB confirmed upstream.  Downstream railway crossing yet to be assessed.  MoTi chris_culvert_id: 3100655. 09:23:27</t>
  </si>
  <si>
    <t>Wetland downstream and upstream. Stream channel upstream is more defined. Pipe is fully backwatered.  Medium habitat value given due to presence of water at this location when other areas of this same stream were dry. MoTi chris_hwy_structure_road_id: 2141. 12:21:46</t>
  </si>
  <si>
    <t>Obvious signs of beaver activity. Big dam near inlet and small dam just downstream of outlet as well. Small channel downstream with no water with wetland upstream. MoTi chris_culvert_id: 1976775. 12:19:45</t>
  </si>
  <si>
    <t>Nice stream with good flow. Railway crossings approximately 30 m upstream are much more of a barrier then the crossing on Penny Street.. 11:19:24</t>
  </si>
  <si>
    <t>Abundant gravels present downstream and upstream. Small fish seen in culvert and downstream. There's flow upstream and downstream but culvert is backwatered.  Unassessed railway crossing ~900m upstream.. 12:52:51</t>
  </si>
  <si>
    <t>Wide channel with four culverts. Culvert diameter totaled for all 4 culverts. Two are in good condition, other two are bent and look older. Railway crossing just upstream which consists of three culverts and appears likely passable for most species at most flows.  Abundant gravels present downstream of road.  This road is the only to access the town of Penny.  MoTi chris_culvert_id: 1994890, 1994893, 1994894. 14:48:37</t>
  </si>
  <si>
    <t>No well defined stream channel visible. Flooded wetland area downstream, surveyed during heavy rain. Backwatered pipe.   MoTi chris_culvert_id: 1994950. 16:43:39</t>
  </si>
  <si>
    <t>Two pipes each with 1m diameter on the south side of the railway. It is not clear where the stream crosses under the railway upstream, this crossing still needs to be assessed.  Agricultural field located upstream with what appears to be very minimal riparian buffer. Stream has been channelized beside the railway.  A 1m overflow pipe has been installed above the level of the other 2 pipes.        MoTi chris_culvert_id: 1994283, 1994682, 1994683. 18:08:11</t>
  </si>
  <si>
    <t>Big wetland area upstream. Smaller, grassy, wetland downstream.  RB confirmed upstream in the past. Culvert is very old and in bad shape. There is a bigger overflow pipe present.. 09:37:55</t>
  </si>
  <si>
    <t>Wetland lake area upstream with small channels threaded through it. Beaver grate on culvert inlet and pipe is in poor shape as it is rusted and bent out of shape. Outlet backwater for 40%. Small stream with some flow.. 10:14:44</t>
  </si>
  <si>
    <t>Culvert is a little backwatered at outlet. Small fish seen in pipe. Trib to major spawning stream. Crossing appears passable. Slight inlet drop due to woody debris.  MoTi chris_culvert_id: 1992616. 11:30:43</t>
  </si>
  <si>
    <t>Wetland habitat upstream and downstream. Crossing is near transmission line so trees have been cut down. Backwatered culvert and pipe appears undersized. Chinook confirmed in the past downstream of crossing.  MoTi chris_culvert_id: 1473381. 09:43:53</t>
  </si>
  <si>
    <t>Culvert spans McLennan Rd and highway. Small stream with good flow and primarily fine substrate. Extensive beaver activity both upstream and downstream, with dams of up to 1 1/2 m high in both locations.  Very long structure.  Culvert gradient estimated as could not see through the pipe.        MoTi chris_culvert_id: 1467210. 11:30:35</t>
  </si>
  <si>
    <t>There are three 1.5m pipes located under Railway Avenue continuing all the way under the railway line.  Pipes are embedded at or more than 50% of their depth.  Stream was dry at the time of assessment and scoured channels indicate a fairly small system.. 15:25:25</t>
  </si>
  <si>
    <t>No water in pipe. Periodic pools of standing water upstream and downstream but no flowing water. NEWWS has completed restoration work for this site with sign posted at this location. Culvert appears fully embedded in photos so have changed inputs to reflect this.. 14:51:44</t>
  </si>
  <si>
    <t>Dewatered, no well-defined stream channel. Agricultural fields on both sides.  Embeddedness estimated from photos. MoTi chris_culvert_id: 1804664. 14:18:04</t>
  </si>
  <si>
    <t>Wide channel, nicely installed moti major structure that appears passable as fully embedded.  3m falls noted in FISS as 1.3 km upstream.  Railway crossing just downstream noted as passable in bcfishpass. MoTi chris_hwy_structure_road_id: 3811. 09:56:11</t>
  </si>
  <si>
    <t>Fully embedded pipes. Three pipes total, with two at 1.8 m and one at 1.2m in diameter. Nice habitat upstream with abundant gravels, some deeper pools and deeply undercut banks.. 15:31:23</t>
  </si>
  <si>
    <t>Embedded culvert, high flowing mountain stream. Very clear and wide channel. Gradient increases upstream.  Fully embedded pipe so likley passable for all species and life stages at perhaps all but very high flows. MoTi chris_culvert_id: 1992808. 11:55:36</t>
  </si>
  <si>
    <t>Chinook and mountain whitefish confirmed just upstream in 2019. Continuously embedded culvert. Grassy habitat upstream with little riparian on streambanks near crossing. Fines were the predominant stream substrate.. 09:09:59</t>
  </si>
  <si>
    <t>Stream is mostly dewatered. Large beaver dam (1.7m high) located approximately 30m upstream. Fully embedded pipe with beaver grate on the inlet.  Unassessed crossing on private driveway upstream from here. Adjacent landowner has concerns about the recent lack of water and says it is un-characteristic for the section of stream. They have concerns that recent pipeline construction just upstream of this crossing has potentially influenced beaver populations and water flow.. 09:47:05</t>
  </si>
  <si>
    <t>Continuously embedded culvert. Wide channel with moderate flow. High value habitat. 10:09:03</t>
  </si>
  <si>
    <t>RB and CCG confirmed downstream in past. Private agricultural land upstream and downstream. Embedded culvert. Small wooden dam just downstream of crossing, approx 0.8m high. Small trickle of water beside structure that would allow fish to swim upstream.   MoTi chris_culvert_id: 1461195. 12:32:44</t>
  </si>
  <si>
    <t>Continuously embedded culvert. Agricultural fields upstream and downstream. Very little riparian vegetation. Small fish seen near inlet. Channel looks like it gets smaller upstream, flows through cow field. Not a fish passage issue, but riparian restoration could be pursued.  RB confirmed in the past near crossing.  MoTi chris_culvert_id: 1473360. 12:54:06</t>
  </si>
  <si>
    <t>Two pipes (1.2m and 0.6m). 100% backwater. Guessing the pipes are embedded but cannot see due to poor water quality. This stream is extremely impacted by poor cattle ranching practices. There is no riparian fencing and cattle have completely trampled all the banks.  There is no riparian vegetation and water quality is extremely poor. This stream could likely be very productive for chinook and other species if eventually restored.            MoTi chris_culvert_id: 1795014, 1795015. 16:01:11</t>
  </si>
  <si>
    <t>Good flow. Abundant gravel downstream and upstream. Pipes are both fully embedded with partial backwatering. Chinook point on the stream immediately adjacent to the site. Upstream left bank riparian has been cleared for what appears to be a parking space.  Upstream crossing on Stella Road could be addressed by MoT. MoTi chris_culvert_id: 1790947, 3365573. 11:54:44</t>
  </si>
  <si>
    <t>Three pipes total, two at 1.2m diameter which were completely submerged underwater and one at 2m diameter which was 100% backwatered.  Assuming embedded due to the depth of the backwatering. Bridge located just upstream on River Road.  Unassessed railway crossing located downstream which, based off satellite imagery, leads to a wetland area, but no modelled crossing present.  There is a second unassessed crossing (24715896) downstream which should be assessed. Multiple non-salmonid FISS observations downstream. Chinook and sockeye salmon have been observed just upstream of the confluence of this creek with the Fraser River, roughly 1km downstream of the crossing.     MoTi chris_culvert_id: 1994579, 1994580, 1994581. 17:04:42</t>
  </si>
  <si>
    <t>Dry channel.  Bridge.. 14:56:53</t>
  </si>
  <si>
    <t>Pipe arch. Passable.  Modelled crossings 5406290 and 5400675 downstream adjacent to Burn's Lake shoreline have not been assessed.. 17:53:31</t>
  </si>
  <si>
    <t>Bridge with sign from Fraser lake sawmills. Extensive cattle trampling underneath the bridge, but some decent amount of water at this location.. 14:46:03</t>
  </si>
  <si>
    <t>Bridge. Good flow. 15:02:17</t>
  </si>
  <si>
    <t>Restoration work conducted at this crossing. No flowing water at time of survey. Livestock field upstream. Goats seen trampling through stream channel.. 09:59:33</t>
  </si>
  <si>
    <t>Wide stream with high flows and good habitat. Bridge on railway just upstream. Major moti structure was in the wrong spot on the map.  MoTi chris_hwy_structure_road_id: 3626. 11:13:09</t>
  </si>
  <si>
    <t>Deactivated road. Ford passable by 4x4 vehicles. 11:50:24</t>
  </si>
  <si>
    <t>NA. 14:54:00</t>
  </si>
  <si>
    <t>Deactivated road. Old culverts seen in pictures, now a ford.. 16:15:48</t>
  </si>
  <si>
    <t>Small trail, wide channel.. 10:00:48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</si>
</sst>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7">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
      <b/>
      <sz val="9"/>
      <color rgb="FF000000"/>
      <name val="Tahoma"/>
      <family val="2"/>
    </font>
    <font>
      <sz val="9"/>
      <color rgb="FF000000"/>
      <name val="Tahoma"/>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94">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2" fontId="5" fillId="0" borderId="0" xfId="2" applyNumberFormat="1" applyAlignment="1" applyProtection="1">
      <alignment horizontal="right"/>
      <protection locked="0"/>
    </xf>
    <xf numFmtId="1" fontId="1" fillId="0" borderId="0" xfId="3" applyNumberFormat="1" applyProtection="1">
      <protection locked="0"/>
    </xf>
    <xf numFmtId="49" fontId="0" fillId="0" borderId="0" xfId="0" applyNumberFormat="1"/>
    <xf numFmtId="0" fontId="22" fillId="0" borderId="0" xfId="1" applyAlignment="1" applyProtection="1"/>
    <xf numFmtId="0" fontId="0" fillId="0" borderId="0" xfId="0" applyFill="1" applyProtection="1">
      <protection locked="0"/>
    </xf>
    <xf numFmtId="2" fontId="1" fillId="0" borderId="0" xfId="3" applyNumberFormat="1" applyFill="1" applyProtection="1">
      <protection locked="0"/>
    </xf>
    <xf numFmtId="2" fontId="0" fillId="0" borderId="0" xfId="0" applyNumberFormat="1" applyFill="1" applyProtection="1">
      <protection locked="0"/>
    </xf>
    <xf numFmtId="0" fontId="0" fillId="10" borderId="0" xfId="0" applyFill="1" applyProtection="1"/>
    <xf numFmtId="2" fontId="0" fillId="10" borderId="0" xfId="0" applyNumberFormat="1" applyFill="1" applyProtection="1"/>
    <xf numFmtId="165" fontId="0" fillId="0" borderId="0" xfId="0" applyNumberFormat="1" applyFill="1" applyProtection="1">
      <protection locked="0"/>
    </xf>
    <xf numFmtId="0" fontId="0" fillId="0" borderId="0" xfId="0" applyFill="1" applyAlignment="1" applyProtection="1">
      <alignment wrapText="1"/>
      <protection locked="0"/>
    </xf>
    <xf numFmtId="2" fontId="0" fillId="0" borderId="0" xfId="0" applyNumberFormat="1" applyFill="1" applyAlignment="1" applyProtection="1">
      <alignment wrapText="1"/>
      <protection locked="0"/>
    </xf>
    <xf numFmtId="0" fontId="1" fillId="0" borderId="0" xfId="3" applyFill="1" applyProtection="1">
      <protection locked="0"/>
    </xf>
    <xf numFmtId="0" fontId="5" fillId="0" borderId="0" xfId="2" applyFill="1" applyProtection="1">
      <protection locked="0"/>
    </xf>
    <xf numFmtId="2" fontId="5" fillId="0" borderId="0" xfId="2" applyNumberFormat="1" applyFill="1" applyProtection="1">
      <protection locked="0"/>
    </xf>
    <xf numFmtId="2" fontId="0" fillId="0" borderId="0" xfId="0" applyNumberFormat="1" applyFill="1" applyAlignment="1" applyProtection="1">
      <alignment horizontal="right" wrapText="1"/>
      <protection locked="0"/>
    </xf>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15">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88900</xdr:colOff>
          <xdr:row>1</xdr:row>
          <xdr:rowOff>0</xdr:rowOff>
        </xdr:from>
        <xdr:to>
          <xdr:col>1</xdr:col>
          <xdr:colOff>965200</xdr:colOff>
          <xdr:row>1</xdr:row>
          <xdr:rowOff>393700</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393700</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1003300</xdr:colOff>
          <xdr:row>0</xdr:row>
          <xdr:rowOff>177800</xdr:rowOff>
        </xdr:from>
        <xdr:to>
          <xdr:col>2</xdr:col>
          <xdr:colOff>711200</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Clear</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2.bin"/><Relationship Id="rId1" Type="http://schemas.openxmlformats.org/officeDocument/2006/relationships/hyperlink" Target="mailto:al@newgraphenvironment.com" TargetMode="External"/><Relationship Id="rId5" Type="http://schemas.openxmlformats.org/officeDocument/2006/relationships/comments" Target="../comments1.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topLeftCell="A17" zoomScale="140" zoomScaleNormal="140" workbookViewId="0">
      <selection activeCell="B5" sqref="B5"/>
    </sheetView>
  </sheetViews>
  <sheetFormatPr baseColWidth="10" defaultColWidth="8.83203125" defaultRowHeight="15"/>
  <cols>
    <col min="1" max="1" width="14.5" customWidth="1"/>
    <col min="2" max="2" width="102.33203125" customWidth="1"/>
  </cols>
  <sheetData>
    <row r="1" spans="1:20" ht="18">
      <c r="A1" s="1" t="s">
        <v>61</v>
      </c>
    </row>
    <row r="2" spans="1:20" ht="18">
      <c r="A2" s="1" t="s">
        <v>91</v>
      </c>
      <c r="Q2" s="2"/>
      <c r="R2" s="2"/>
      <c r="T2" s="2">
        <v>0</v>
      </c>
    </row>
    <row r="4" spans="1:20" ht="16">
      <c r="A4" s="3" t="s">
        <v>2</v>
      </c>
    </row>
    <row r="6" spans="1:20" ht="16">
      <c r="A6" s="23" t="s">
        <v>53</v>
      </c>
      <c r="B6" t="s">
        <v>76</v>
      </c>
    </row>
    <row r="8" spans="1:20" ht="64">
      <c r="A8" s="23" t="s">
        <v>54</v>
      </c>
      <c r="B8" s="77" t="s">
        <v>90</v>
      </c>
    </row>
    <row r="9" spans="1:20">
      <c r="A9" s="37"/>
      <c r="B9" s="34"/>
    </row>
    <row r="10" spans="1:20" ht="48">
      <c r="A10" s="23" t="s">
        <v>55</v>
      </c>
      <c r="B10" s="77" t="s">
        <v>88</v>
      </c>
    </row>
    <row r="11" spans="1:20" ht="96">
      <c r="A11" s="23"/>
      <c r="B11" s="54" t="s">
        <v>77</v>
      </c>
    </row>
    <row r="12" spans="1:20" ht="48">
      <c r="A12" s="37"/>
      <c r="B12" s="50" t="s">
        <v>78</v>
      </c>
    </row>
    <row r="13" spans="1:20" ht="32">
      <c r="A13" s="37"/>
      <c r="B13" s="57" t="s">
        <v>79</v>
      </c>
    </row>
    <row r="14" spans="1:20">
      <c r="A14" s="37"/>
      <c r="B14" s="49"/>
    </row>
    <row r="15" spans="1:20" ht="402.5" customHeight="1">
      <c r="A15" s="23" t="s">
        <v>56</v>
      </c>
      <c r="B15" s="77" t="s">
        <v>89</v>
      </c>
    </row>
    <row r="16" spans="1:20">
      <c r="A16" s="37"/>
      <c r="B16" s="36"/>
    </row>
    <row r="17" spans="1:2" ht="96">
      <c r="A17" s="23" t="s">
        <v>57</v>
      </c>
      <c r="B17" s="36" t="s">
        <v>80</v>
      </c>
    </row>
    <row r="18" spans="1:2">
      <c r="A18" s="37"/>
      <c r="B18" s="37"/>
    </row>
    <row r="19" spans="1:2" ht="48">
      <c r="A19" s="23" t="s">
        <v>81</v>
      </c>
      <c r="B19" s="36" t="s">
        <v>71</v>
      </c>
    </row>
    <row r="20" spans="1:2" ht="32">
      <c r="B20" s="54" t="s">
        <v>82</v>
      </c>
    </row>
    <row r="22" spans="1:2" ht="16">
      <c r="A22" s="23" t="s">
        <v>72</v>
      </c>
      <c r="B22" s="35"/>
    </row>
    <row r="23" spans="1:2" ht="48">
      <c r="A23" s="23"/>
      <c r="B23" s="51" t="s">
        <v>83</v>
      </c>
    </row>
    <row r="24" spans="1:2" ht="16">
      <c r="A24" s="23"/>
      <c r="B24" s="56"/>
    </row>
    <row r="25" spans="1:2" ht="48">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130" zoomScaleNormal="130" workbookViewId="0">
      <selection activeCell="B6" sqref="B6"/>
    </sheetView>
  </sheetViews>
  <sheetFormatPr baseColWidth="10" defaultColWidth="8.83203125" defaultRowHeight="15"/>
  <cols>
    <col min="1" max="1" width="38.5" customWidth="1"/>
    <col min="2" max="2" width="49.1640625" customWidth="1"/>
  </cols>
  <sheetData>
    <row r="1" spans="1:20" ht="18">
      <c r="A1" s="1" t="s">
        <v>61</v>
      </c>
    </row>
    <row r="2" spans="1:20" ht="18">
      <c r="A2" s="1" t="s">
        <v>91</v>
      </c>
      <c r="Q2" s="2" t="s">
        <v>0</v>
      </c>
      <c r="R2" s="2" t="s">
        <v>1</v>
      </c>
      <c r="T2" s="2">
        <v>0</v>
      </c>
    </row>
    <row r="4" spans="1:20">
      <c r="A4" s="4" t="s">
        <v>59</v>
      </c>
      <c r="B4" t="s">
        <v>97</v>
      </c>
    </row>
    <row r="5" spans="1:20">
      <c r="A5" s="4" t="s">
        <v>58</v>
      </c>
      <c r="B5" t="s">
        <v>98</v>
      </c>
    </row>
    <row r="6" spans="1:20">
      <c r="A6" s="4"/>
      <c r="B6" s="10"/>
    </row>
    <row r="7" spans="1:20">
      <c r="A7" s="4" t="s">
        <v>86</v>
      </c>
      <c r="B7" s="80" t="s">
        <v>92</v>
      </c>
    </row>
    <row r="8" spans="1:20">
      <c r="A8" s="4" t="s">
        <v>73</v>
      </c>
      <c r="B8" t="s">
        <v>93</v>
      </c>
    </row>
    <row r="9" spans="1:20">
      <c r="A9" s="4" t="s">
        <v>74</v>
      </c>
      <c r="B9" t="s">
        <v>94</v>
      </c>
    </row>
    <row r="10" spans="1:20">
      <c r="A10" s="4" t="s">
        <v>75</v>
      </c>
      <c r="B10" s="81" t="s">
        <v>95</v>
      </c>
    </row>
    <row r="11" spans="1:20">
      <c r="A11" s="4"/>
      <c r="B11" s="10"/>
    </row>
    <row r="12" spans="1:20">
      <c r="A12" s="4" t="s">
        <v>36</v>
      </c>
      <c r="B12" s="80" t="s">
        <v>96</v>
      </c>
    </row>
    <row r="13" spans="1:20">
      <c r="A13" s="4" t="s">
        <v>37</v>
      </c>
      <c r="B13" t="s">
        <v>93</v>
      </c>
    </row>
    <row r="14" spans="1:20">
      <c r="A14" s="4" t="s">
        <v>38</v>
      </c>
      <c r="B14" t="s">
        <v>94</v>
      </c>
    </row>
    <row r="15" spans="1:20">
      <c r="A15" s="4" t="s">
        <v>39</v>
      </c>
      <c r="B15" s="81" t="s">
        <v>95</v>
      </c>
    </row>
    <row r="16" spans="1:20">
      <c r="A16" s="4"/>
      <c r="B16" s="10"/>
    </row>
    <row r="17" spans="1:2">
      <c r="A17" s="4" t="s">
        <v>40</v>
      </c>
    </row>
    <row r="18" spans="1:2">
      <c r="A18" s="4" t="s">
        <v>41</v>
      </c>
    </row>
    <row r="20" spans="1:2" ht="48">
      <c r="A20" s="52"/>
      <c r="B20" s="53" t="s">
        <v>85</v>
      </c>
    </row>
    <row r="250" spans="1:2">
      <c r="A250" t="s">
        <v>64</v>
      </c>
      <c r="B250" t="s">
        <v>66</v>
      </c>
    </row>
    <row r="251" spans="1:2">
      <c r="A251" t="s">
        <v>65</v>
      </c>
      <c r="B251" t="s">
        <v>87</v>
      </c>
    </row>
  </sheetData>
  <conditionalFormatting sqref="B8">
    <cfRule type="containsBlanks" dxfId="12" priority="11" stopIfTrue="1">
      <formula>LEN(TRIM(B8))=0</formula>
    </cfRule>
  </conditionalFormatting>
  <conditionalFormatting sqref="B17:B18">
    <cfRule type="containsBlanks" dxfId="10" priority="7" stopIfTrue="1">
      <formula>LEN(TRIM(B17))=0</formula>
    </cfRule>
  </conditionalFormatting>
  <conditionalFormatting sqref="B4">
    <cfRule type="containsBlanks" dxfId="9" priority="12" stopIfTrue="1">
      <formula>LEN(TRIM(B4))=0</formula>
    </cfRule>
  </conditionalFormatting>
  <conditionalFormatting sqref="B7">
    <cfRule type="containsBlanks" dxfId="5" priority="6" stopIfTrue="1">
      <formula>LEN(TRIM(B7))=0</formula>
    </cfRule>
  </conditionalFormatting>
  <conditionalFormatting sqref="B9">
    <cfRule type="containsBlanks" dxfId="4" priority="5" stopIfTrue="1">
      <formula>LEN(TRIM(B9))=0</formula>
    </cfRule>
  </conditionalFormatting>
  <conditionalFormatting sqref="B10">
    <cfRule type="containsBlanks" dxfId="3" priority="4" stopIfTrue="1">
      <formula>LEN(TRIM(B10))=0</formula>
    </cfRule>
  </conditionalFormatting>
  <conditionalFormatting sqref="B12">
    <cfRule type="containsBlanks" dxfId="2" priority="3" stopIfTrue="1">
      <formula>LEN(TRIM(B12))=0</formula>
    </cfRule>
  </conditionalFormatting>
  <conditionalFormatting sqref="B13:B15">
    <cfRule type="containsBlanks" dxfId="1" priority="2" stopIfTrue="1">
      <formula>LEN(TRIM(B13))=0</formula>
    </cfRule>
  </conditionalFormatting>
  <conditionalFormatting sqref="B5">
    <cfRule type="containsBlanks" dxfId="0" priority="1" stopIfTrue="1">
      <formula>LEN(TRIM(B5))=0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15 B10 B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hyperlinks>
    <hyperlink ref="B10" r:id="rId1" xr:uid="{D8FE849C-B43B-F841-974E-B16AE27F876C}"/>
  </hyperlinks>
  <pageMargins left="0.7" right="0.7" top="0.75" bottom="0.75" header="0.3" footer="0.3"/>
  <pageSetup orientation="portrait" r:id="rId2"/>
  <headerFooter>
    <oddHeader>&amp;C&amp;G</oddHeader>
  </headerFooter>
  <legacyDrawing r:id="rId3"/>
  <legacyDrawingHF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zoomScaleNormal="100" workbookViewId="0">
      <pane ySplit="4" topLeftCell="A68" activePane="bottomLeft" state="frozen"/>
      <selection pane="bottomLeft" activeCell="AP55" sqref="AP55"/>
    </sheetView>
  </sheetViews>
  <sheetFormatPr baseColWidth="10" defaultColWidth="8.83203125" defaultRowHeight="15"/>
  <cols>
    <col min="1" max="1" width="13.1640625" style="18" customWidth="1"/>
    <col min="2" max="2" width="17.5" style="58" customWidth="1"/>
    <col min="3" max="3" width="17.1640625" style="10" customWidth="1"/>
    <col min="4" max="4" width="22.5" style="10" customWidth="1"/>
    <col min="5" max="5" width="9.1640625" style="11" customWidth="1"/>
    <col min="6" max="6" width="9.5" style="39" bestFit="1" customWidth="1"/>
    <col min="7" max="7" width="12" style="39" bestFit="1" customWidth="1"/>
    <col min="8" max="8" width="18.83203125" style="11" customWidth="1"/>
    <col min="9" max="9" width="21.5" style="11" customWidth="1"/>
    <col min="10" max="10" width="8" style="22" customWidth="1"/>
    <col min="11" max="11" width="12" style="11" bestFit="1" customWidth="1"/>
    <col min="12" max="12" width="26.5" style="10" customWidth="1"/>
    <col min="13" max="13" width="18.5" style="10" customWidth="1"/>
    <col min="14" max="14" width="17.1640625" style="21" customWidth="1"/>
    <col min="15" max="15" width="14.83203125" style="21" customWidth="1"/>
    <col min="16" max="16" width="14.83203125" style="10" customWidth="1"/>
    <col min="17" max="17" width="16" style="21" customWidth="1"/>
    <col min="18" max="18" width="9.5" style="10" customWidth="1"/>
    <col min="19" max="19" width="12" style="10" customWidth="1"/>
    <col min="20" max="20" width="12.33203125" style="21" customWidth="1"/>
    <col min="21" max="21" width="9.1640625" style="21" customWidth="1"/>
    <col min="22" max="22" width="14.33203125" style="10" customWidth="1"/>
    <col min="23" max="23" width="9.1640625" style="21" customWidth="1"/>
    <col min="24" max="24" width="11" style="10" customWidth="1"/>
    <col min="25" max="25" width="15" style="21" customWidth="1"/>
    <col min="26" max="26" width="15.5" style="21" customWidth="1"/>
    <col min="27" max="27" width="11.5" style="10" customWidth="1"/>
    <col min="28" max="28" width="15.5" style="10" customWidth="1"/>
    <col min="29" max="29" width="15.83203125" style="10" customWidth="1"/>
    <col min="30" max="30" width="15.33203125" style="10" customWidth="1"/>
    <col min="31" max="31" width="15.6640625" style="10" customWidth="1"/>
    <col min="32" max="32" width="15.33203125" style="19" customWidth="1"/>
    <col min="33" max="33" width="20.5" style="8" customWidth="1"/>
    <col min="34" max="34" width="16.5" style="8" customWidth="1"/>
    <col min="35" max="35" width="16.33203125" style="8" customWidth="1"/>
    <col min="36" max="36" width="17.5" style="8" customWidth="1"/>
    <col min="37" max="37" width="21.83203125" style="8" customWidth="1"/>
    <col min="38" max="38" width="13.33203125" style="9" customWidth="1"/>
    <col min="39" max="39" width="14.6640625" style="7" customWidth="1"/>
    <col min="40" max="40" width="45.5" style="10" customWidth="1"/>
    <col min="41" max="41" width="18" style="21" customWidth="1"/>
    <col min="42" max="42" width="49.83203125" style="10" customWidth="1"/>
  </cols>
  <sheetData>
    <row r="1" spans="1:42">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ht="32">
      <c r="A5" s="87">
        <v>45197</v>
      </c>
      <c r="C5" s="82">
        <v>5400442</v>
      </c>
      <c r="D5" s="82" t="s">
        <v>100</v>
      </c>
      <c r="E5" s="88">
        <v>10</v>
      </c>
      <c r="F5" s="89">
        <v>311759</v>
      </c>
      <c r="G5" s="89">
        <v>6025526</v>
      </c>
      <c r="H5" s="88" t="s">
        <v>107</v>
      </c>
      <c r="I5" s="88" t="s">
        <v>106</v>
      </c>
      <c r="J5" s="33"/>
      <c r="K5" s="88" t="s">
        <v>104</v>
      </c>
      <c r="L5" s="82" t="s">
        <v>243</v>
      </c>
      <c r="M5" s="82" t="s">
        <v>244</v>
      </c>
      <c r="N5" s="83">
        <v>7.1</v>
      </c>
      <c r="O5" s="83">
        <v>24</v>
      </c>
      <c r="P5" s="82" t="s">
        <v>252</v>
      </c>
      <c r="Q5" s="85"/>
      <c r="R5" s="82" t="s">
        <v>252</v>
      </c>
      <c r="S5" s="82" t="s">
        <v>252</v>
      </c>
      <c r="T5" s="85"/>
      <c r="U5" s="82">
        <v>1.8</v>
      </c>
      <c r="V5" s="82">
        <v>0.85</v>
      </c>
      <c r="W5" s="82">
        <v>1.3</v>
      </c>
      <c r="X5" s="82" t="s">
        <v>252</v>
      </c>
      <c r="Y5" s="82">
        <v>2.5</v>
      </c>
      <c r="Z5" s="82">
        <v>10</v>
      </c>
      <c r="AA5" s="82">
        <v>1.5</v>
      </c>
      <c r="AB5" s="82" t="s">
        <v>252</v>
      </c>
      <c r="AC5" s="82" t="s">
        <v>252</v>
      </c>
      <c r="AD5" s="82" t="s">
        <v>254</v>
      </c>
      <c r="AE5" s="82" t="s">
        <v>256</v>
      </c>
      <c r="AF5" s="20">
        <f>IF(ISBLANK(Z5), 0, IF(ISBLANK(N5) &lt; 0, 0,Z5 / N5))</f>
        <v>1.4084507042253522</v>
      </c>
      <c r="AG5" s="13">
        <f>IF(O5&lt;15,0,IF(AND(O5&gt;=15,O5&lt;30),3,IF(O5&gt;=30,6,0)))</f>
        <v>3</v>
      </c>
      <c r="AH5" s="7">
        <f>IF(P5 = "No", 10, IF(ISBLANK(N5), 0, IF(ISBLANK(Q5), 0, IF(OR(Q5 / N5 &lt;= 0.2, Q5 &lt; 0.3), 5, IF(OR(Q5 / N5 &gt;= 0.2, Q5 &gt;= 0.3), 0)))))</f>
        <v>10</v>
      </c>
      <c r="AI5" s="7">
        <f>IF(V5&lt;0.15,0,IF(AND(V5&gt;=0.15,V5&lt;0.3),5,IF(V5&gt;=0.3,10,0)))</f>
        <v>10</v>
      </c>
      <c r="AJ5" s="7">
        <f>IF(Y5&lt;1,0,IF(AND(Y5&gt;=1,Y5&lt;3),5,IF(Y5&gt;=3,10,0)))</f>
        <v>5</v>
      </c>
      <c r="AK5" s="7">
        <f>IF(AF5&lt;1,0,IF(AND(AF5&gt;=1,AF5&lt;1.3),3,IF(AF5&gt;=1.3,6,0)))</f>
        <v>6</v>
      </c>
      <c r="AL5" s="12">
        <f>AG5 + AH5 + AI5 + AJ5 + AK5</f>
        <v>34</v>
      </c>
      <c r="AM5" s="14" t="str">
        <f>IF(ISBLANK(L5), "", IF(L5 = "Open Bottom Structure", "Passable", IF(L5 = "Other", "Unknown", IF(AL5 &lt; 15, "Passable", IF(AND(AL5 &gt;= 15,AL5 &lt;= 19), "Potential", IF(AL5 &gt; 19, "Barrier", ""))))))</f>
        <v>Barrier</v>
      </c>
      <c r="AN5" s="82"/>
      <c r="AO5" s="82"/>
      <c r="AP5" s="91" t="s">
        <v>329</v>
      </c>
    </row>
    <row r="6" spans="1:42" ht="16">
      <c r="A6" s="87">
        <v>45197</v>
      </c>
      <c r="C6" s="82">
        <v>24707052</v>
      </c>
      <c r="D6" s="82" t="s">
        <v>100</v>
      </c>
      <c r="E6" s="88">
        <v>10</v>
      </c>
      <c r="F6" s="89">
        <v>311577</v>
      </c>
      <c r="G6" s="89">
        <v>6025364</v>
      </c>
      <c r="H6" s="82" t="s">
        <v>108</v>
      </c>
      <c r="I6" s="88" t="s">
        <v>109</v>
      </c>
      <c r="J6" s="33"/>
      <c r="K6" s="82" t="s">
        <v>104</v>
      </c>
      <c r="L6" s="82" t="s">
        <v>243</v>
      </c>
      <c r="M6" s="82" t="s">
        <v>244</v>
      </c>
      <c r="N6" s="83">
        <v>3.6</v>
      </c>
      <c r="O6" s="83">
        <v>22.5</v>
      </c>
      <c r="P6" s="82" t="s">
        <v>252</v>
      </c>
      <c r="Q6" s="85"/>
      <c r="R6" s="82" t="s">
        <v>252</v>
      </c>
      <c r="S6" s="82" t="s">
        <v>252</v>
      </c>
      <c r="T6" s="85"/>
      <c r="U6" s="82">
        <v>2</v>
      </c>
      <c r="V6" s="82">
        <v>0</v>
      </c>
      <c r="W6" s="82">
        <v>0.6</v>
      </c>
      <c r="X6" s="82" t="s">
        <v>252</v>
      </c>
      <c r="Y6" s="82">
        <v>0</v>
      </c>
      <c r="Z6" s="82">
        <v>4</v>
      </c>
      <c r="AA6" s="82">
        <v>0.5</v>
      </c>
      <c r="AB6" s="82" t="s">
        <v>252</v>
      </c>
      <c r="AC6" s="82" t="s">
        <v>252</v>
      </c>
      <c r="AD6" s="82" t="s">
        <v>254</v>
      </c>
      <c r="AE6" s="82" t="s">
        <v>256</v>
      </c>
      <c r="AF6" s="20">
        <f t="shared" ref="AF6:AF11" si="0">IF(ISBLANK(Z6), 0, IF(ISBLANK(N6) &lt; 0, 0,Z6 / N6))</f>
        <v>1.1111111111111112</v>
      </c>
      <c r="AG6" s="13">
        <f t="shared" ref="AG6:AG67" si="1">IF(O6&lt;15,0,IF(AND(O6&gt;=15,O6&lt;30),3,IF(O6&gt;=30,6,0)))</f>
        <v>3</v>
      </c>
      <c r="AH6" s="7">
        <f t="shared" ref="AH6:AH67" si="2">IF(P6 = "No", 10, IF(ISBLANK(N6), 0, IF(ISBLANK(Q6), 0, IF(OR(Q6 / N6 &lt;= 0.2, Q6 &lt; 0.3), 5, IF(OR(Q6 / N6 &gt;= 0.2, Q6 &gt;= 0.3), 0)))))</f>
        <v>10</v>
      </c>
      <c r="AI6" s="7">
        <f t="shared" ref="AI6:AI67" si="3">IF(V6&lt;0.15,0,IF(AND(V6&gt;=0.15,V6&lt;0.3),5,IF(V6&gt;=0.3,10,0)))</f>
        <v>0</v>
      </c>
      <c r="AJ6" s="7">
        <f t="shared" ref="AJ6:AJ67" si="4">IF(Y6&lt;1,0,IF(AND(Y6&gt;=1,Y6&lt;3),5,IF(Y6&gt;=3,10,0)))</f>
        <v>0</v>
      </c>
      <c r="AK6" s="7">
        <f t="shared" ref="AK6:AK67" si="5">IF(AF6&lt;1,0,IF(AND(AF6&gt;=1,AF6&lt;1.3),3,IF(AF6&gt;=1.3,6,0)))</f>
        <v>3</v>
      </c>
      <c r="AL6" s="12">
        <f t="shared" ref="AL6:AL11" si="6">AG6 + AH6 + AI6 + AJ6 + AK6</f>
        <v>16</v>
      </c>
      <c r="AM6" s="14" t="str">
        <f t="shared" ref="AM6:AM67" si="7">IF(ISBLANK(L6), "", IF(L6 = "Open Bottom Structure", "Passable", IF(L6 = "Other", "Unknown", IF(AL6 &lt; 15, "Passable", IF(AND(AL6 &gt;= 15,AL6 &lt;= 19), "Potential", IF(AL6 &gt; 19, "Barrier", ""))))))</f>
        <v>Potential</v>
      </c>
      <c r="AN6" s="82"/>
      <c r="AO6" s="82"/>
      <c r="AP6" s="91" t="s">
        <v>330</v>
      </c>
    </row>
    <row r="7" spans="1:42" ht="16">
      <c r="A7" s="87">
        <v>45198</v>
      </c>
      <c r="C7" s="82">
        <v>5400216</v>
      </c>
      <c r="D7" s="82" t="s">
        <v>100</v>
      </c>
      <c r="E7" s="88">
        <v>10</v>
      </c>
      <c r="F7" s="89">
        <v>341709</v>
      </c>
      <c r="G7" s="89">
        <v>6003118</v>
      </c>
      <c r="H7" s="82" t="s">
        <v>107</v>
      </c>
      <c r="I7" s="88" t="s">
        <v>106</v>
      </c>
      <c r="J7" s="33"/>
      <c r="K7" s="82" t="s">
        <v>104</v>
      </c>
      <c r="L7" s="82" t="s">
        <v>243</v>
      </c>
      <c r="M7" s="82" t="s">
        <v>244</v>
      </c>
      <c r="N7" s="84">
        <v>1.8</v>
      </c>
      <c r="O7" s="84">
        <v>25</v>
      </c>
      <c r="P7" s="82" t="s">
        <v>252</v>
      </c>
      <c r="Q7" s="85"/>
      <c r="R7" s="82" t="s">
        <v>253</v>
      </c>
      <c r="S7" s="82" t="s">
        <v>252</v>
      </c>
      <c r="T7" s="85"/>
      <c r="U7" s="82">
        <v>2</v>
      </c>
      <c r="V7" s="82">
        <v>0</v>
      </c>
      <c r="W7" s="82">
        <v>0.3</v>
      </c>
      <c r="X7" s="82" t="s">
        <v>252</v>
      </c>
      <c r="Y7" s="82">
        <v>2</v>
      </c>
      <c r="Z7" s="82">
        <v>2.6</v>
      </c>
      <c r="AA7" s="82">
        <v>1</v>
      </c>
      <c r="AB7" s="82" t="s">
        <v>252</v>
      </c>
      <c r="AC7" s="82" t="s">
        <v>252</v>
      </c>
      <c r="AD7" s="82" t="s">
        <v>254</v>
      </c>
      <c r="AE7" s="82" t="s">
        <v>256</v>
      </c>
      <c r="AF7" s="20">
        <f t="shared" si="0"/>
        <v>1.4444444444444444</v>
      </c>
      <c r="AG7" s="13">
        <f t="shared" si="1"/>
        <v>3</v>
      </c>
      <c r="AH7" s="7">
        <f t="shared" si="2"/>
        <v>10</v>
      </c>
      <c r="AI7" s="7">
        <f t="shared" si="3"/>
        <v>0</v>
      </c>
      <c r="AJ7" s="7">
        <f t="shared" si="4"/>
        <v>5</v>
      </c>
      <c r="AK7" s="7">
        <f t="shared" si="5"/>
        <v>6</v>
      </c>
      <c r="AL7" s="12">
        <f t="shared" si="6"/>
        <v>24</v>
      </c>
      <c r="AM7" s="14" t="str">
        <f t="shared" si="7"/>
        <v>Barrier</v>
      </c>
      <c r="AN7" s="82"/>
      <c r="AO7" s="82"/>
      <c r="AP7" s="82" t="s">
        <v>331</v>
      </c>
    </row>
    <row r="8" spans="1:42" ht="16">
      <c r="A8" s="87">
        <v>45198</v>
      </c>
      <c r="B8" s="79"/>
      <c r="C8" s="82">
        <v>5400121</v>
      </c>
      <c r="D8" s="82" t="s">
        <v>100</v>
      </c>
      <c r="E8" s="88">
        <v>10</v>
      </c>
      <c r="F8" s="89">
        <v>346590</v>
      </c>
      <c r="G8" s="89">
        <v>6001339</v>
      </c>
      <c r="H8" s="82" t="s">
        <v>107</v>
      </c>
      <c r="I8" s="88" t="s">
        <v>118</v>
      </c>
      <c r="J8" s="78"/>
      <c r="K8" s="90" t="s">
        <v>119</v>
      </c>
      <c r="L8" s="82" t="s">
        <v>243</v>
      </c>
      <c r="M8" s="82" t="s">
        <v>244</v>
      </c>
      <c r="N8" s="84">
        <v>0.6</v>
      </c>
      <c r="O8" s="84">
        <v>13.5</v>
      </c>
      <c r="P8" s="82" t="s">
        <v>252</v>
      </c>
      <c r="Q8" s="85"/>
      <c r="R8" s="82" t="s">
        <v>252</v>
      </c>
      <c r="S8" s="82" t="s">
        <v>252</v>
      </c>
      <c r="T8" s="85"/>
      <c r="U8" s="82">
        <v>0.7</v>
      </c>
      <c r="V8" s="82">
        <v>0.1</v>
      </c>
      <c r="W8" s="82">
        <v>0.25</v>
      </c>
      <c r="X8" s="82" t="s">
        <v>252</v>
      </c>
      <c r="Y8" s="82">
        <v>3</v>
      </c>
      <c r="Z8" s="82">
        <v>1.8</v>
      </c>
      <c r="AA8" s="82">
        <v>0.5</v>
      </c>
      <c r="AB8" s="82" t="s">
        <v>253</v>
      </c>
      <c r="AC8" s="82" t="s">
        <v>252</v>
      </c>
      <c r="AD8" s="82" t="s">
        <v>254</v>
      </c>
      <c r="AE8" s="82" t="s">
        <v>256</v>
      </c>
      <c r="AF8" s="20">
        <f t="shared" si="0"/>
        <v>3</v>
      </c>
      <c r="AG8" s="13">
        <f t="shared" si="1"/>
        <v>0</v>
      </c>
      <c r="AH8" s="7">
        <f t="shared" si="2"/>
        <v>10</v>
      </c>
      <c r="AI8" s="7">
        <f t="shared" si="3"/>
        <v>0</v>
      </c>
      <c r="AJ8" s="7">
        <f t="shared" si="4"/>
        <v>10</v>
      </c>
      <c r="AK8" s="7">
        <f t="shared" si="5"/>
        <v>6</v>
      </c>
      <c r="AL8" s="12">
        <f t="shared" si="6"/>
        <v>26</v>
      </c>
      <c r="AM8" s="14" t="str">
        <f t="shared" si="7"/>
        <v>Barrier</v>
      </c>
      <c r="AN8" s="82"/>
      <c r="AO8" s="82"/>
      <c r="AP8" s="82" t="s">
        <v>332</v>
      </c>
    </row>
    <row r="9" spans="1:42" ht="16">
      <c r="A9" s="87">
        <v>45198</v>
      </c>
      <c r="C9" s="82">
        <v>5400192</v>
      </c>
      <c r="D9" s="82" t="s">
        <v>100</v>
      </c>
      <c r="E9" s="88">
        <v>10</v>
      </c>
      <c r="F9" s="89">
        <v>353705</v>
      </c>
      <c r="G9" s="89">
        <v>5996651</v>
      </c>
      <c r="H9" s="91" t="s">
        <v>120</v>
      </c>
      <c r="I9" s="88" t="s">
        <v>106</v>
      </c>
      <c r="J9" s="33"/>
      <c r="K9" s="90" t="s">
        <v>104</v>
      </c>
      <c r="L9" s="82" t="s">
        <v>243</v>
      </c>
      <c r="M9" s="82" t="s">
        <v>244</v>
      </c>
      <c r="N9" s="84">
        <v>1.55</v>
      </c>
      <c r="O9" s="84">
        <v>23</v>
      </c>
      <c r="P9" s="82" t="s">
        <v>252</v>
      </c>
      <c r="Q9" s="85"/>
      <c r="R9" s="82" t="s">
        <v>252</v>
      </c>
      <c r="S9" s="82" t="s">
        <v>252</v>
      </c>
      <c r="T9" s="85"/>
      <c r="U9" s="82">
        <v>1.8</v>
      </c>
      <c r="V9" s="82">
        <v>0</v>
      </c>
      <c r="W9" s="82">
        <v>0</v>
      </c>
      <c r="X9" s="82" t="s">
        <v>252</v>
      </c>
      <c r="Y9" s="82">
        <v>1</v>
      </c>
      <c r="Z9" s="82">
        <v>1.6</v>
      </c>
      <c r="AA9" s="82">
        <v>2.5</v>
      </c>
      <c r="AB9" s="82" t="s">
        <v>252</v>
      </c>
      <c r="AC9" s="82" t="s">
        <v>252</v>
      </c>
      <c r="AD9" s="82" t="s">
        <v>254</v>
      </c>
      <c r="AE9" s="82" t="s">
        <v>256</v>
      </c>
      <c r="AF9" s="20">
        <f t="shared" si="0"/>
        <v>1.032258064516129</v>
      </c>
      <c r="AG9" s="13">
        <f t="shared" si="1"/>
        <v>3</v>
      </c>
      <c r="AH9" s="7">
        <f t="shared" si="2"/>
        <v>10</v>
      </c>
      <c r="AI9" s="7">
        <f t="shared" si="3"/>
        <v>0</v>
      </c>
      <c r="AJ9" s="7">
        <f t="shared" si="4"/>
        <v>5</v>
      </c>
      <c r="AK9" s="7">
        <f t="shared" si="5"/>
        <v>3</v>
      </c>
      <c r="AL9" s="12">
        <f t="shared" si="6"/>
        <v>21</v>
      </c>
      <c r="AM9" s="14" t="str">
        <f t="shared" si="7"/>
        <v>Barrier</v>
      </c>
      <c r="AN9" s="82"/>
      <c r="AO9" s="82"/>
      <c r="AP9" s="82" t="s">
        <v>333</v>
      </c>
    </row>
    <row r="10" spans="1:42" ht="16">
      <c r="A10" s="87">
        <v>45198</v>
      </c>
      <c r="C10" s="82">
        <v>5400235</v>
      </c>
      <c r="D10" s="82" t="s">
        <v>100</v>
      </c>
      <c r="E10" s="88">
        <v>10</v>
      </c>
      <c r="F10" s="89">
        <v>371691</v>
      </c>
      <c r="G10" s="89">
        <v>5993173</v>
      </c>
      <c r="H10" s="91" t="s">
        <v>121</v>
      </c>
      <c r="I10" s="88" t="s">
        <v>106</v>
      </c>
      <c r="J10" s="33"/>
      <c r="K10" s="82" t="s">
        <v>104</v>
      </c>
      <c r="L10" s="82" t="s">
        <v>243</v>
      </c>
      <c r="M10" s="82" t="s">
        <v>244</v>
      </c>
      <c r="N10" s="84">
        <v>0.9</v>
      </c>
      <c r="O10" s="84">
        <v>20</v>
      </c>
      <c r="P10" s="82" t="s">
        <v>252</v>
      </c>
      <c r="Q10" s="86"/>
      <c r="R10" s="82" t="s">
        <v>252</v>
      </c>
      <c r="S10" s="82" t="s">
        <v>252</v>
      </c>
      <c r="T10" s="86"/>
      <c r="U10" s="84">
        <v>0.7</v>
      </c>
      <c r="V10" s="82">
        <v>1.2</v>
      </c>
      <c r="W10" s="84">
        <v>0.4</v>
      </c>
      <c r="X10" s="82" t="s">
        <v>252</v>
      </c>
      <c r="Y10" s="84">
        <v>2</v>
      </c>
      <c r="Z10" s="84">
        <v>1</v>
      </c>
      <c r="AA10" s="82">
        <v>3</v>
      </c>
      <c r="AB10" s="82" t="s">
        <v>252</v>
      </c>
      <c r="AC10" s="82" t="s">
        <v>252</v>
      </c>
      <c r="AD10" s="82" t="s">
        <v>254</v>
      </c>
      <c r="AE10" s="82" t="s">
        <v>257</v>
      </c>
      <c r="AF10" s="20">
        <f t="shared" si="0"/>
        <v>1.1111111111111112</v>
      </c>
      <c r="AG10" s="13">
        <f t="shared" si="1"/>
        <v>3</v>
      </c>
      <c r="AH10" s="7">
        <f t="shared" si="2"/>
        <v>10</v>
      </c>
      <c r="AI10" s="7">
        <f t="shared" si="3"/>
        <v>10</v>
      </c>
      <c r="AJ10" s="7">
        <f t="shared" si="4"/>
        <v>5</v>
      </c>
      <c r="AK10" s="7">
        <f t="shared" si="5"/>
        <v>3</v>
      </c>
      <c r="AL10" s="12">
        <f t="shared" si="6"/>
        <v>31</v>
      </c>
      <c r="AM10" s="14" t="str">
        <f t="shared" si="7"/>
        <v>Barrier</v>
      </c>
      <c r="AN10" s="82"/>
      <c r="AO10" s="84"/>
      <c r="AP10" s="82" t="s">
        <v>334</v>
      </c>
    </row>
    <row r="11" spans="1:42" ht="16">
      <c r="A11" s="87">
        <v>45198</v>
      </c>
      <c r="C11" s="91">
        <v>5400045</v>
      </c>
      <c r="D11" s="82" t="s">
        <v>100</v>
      </c>
      <c r="E11" s="82">
        <v>10</v>
      </c>
      <c r="F11" s="92">
        <v>391513</v>
      </c>
      <c r="G11" s="92">
        <v>5991795</v>
      </c>
      <c r="H11" s="91" t="s">
        <v>122</v>
      </c>
      <c r="I11" s="88" t="s">
        <v>106</v>
      </c>
      <c r="J11" s="33"/>
      <c r="K11" s="82" t="s">
        <v>104</v>
      </c>
      <c r="L11" s="82" t="s">
        <v>243</v>
      </c>
      <c r="M11" s="82" t="s">
        <v>244</v>
      </c>
      <c r="N11" s="84">
        <v>1.5</v>
      </c>
      <c r="O11" s="84">
        <v>50</v>
      </c>
      <c r="P11" s="82" t="s">
        <v>252</v>
      </c>
      <c r="Q11" s="86"/>
      <c r="R11" s="82" t="s">
        <v>252</v>
      </c>
      <c r="S11" s="82" t="s">
        <v>252</v>
      </c>
      <c r="T11" s="86"/>
      <c r="U11" s="84">
        <v>9.9</v>
      </c>
      <c r="V11" s="82">
        <v>0.4</v>
      </c>
      <c r="W11" s="84">
        <v>0.5</v>
      </c>
      <c r="X11" s="82" t="s">
        <v>252</v>
      </c>
      <c r="Y11" s="84">
        <v>0.5</v>
      </c>
      <c r="Z11" s="84">
        <v>4</v>
      </c>
      <c r="AA11" s="82">
        <v>2</v>
      </c>
      <c r="AB11" s="82" t="s">
        <v>252</v>
      </c>
      <c r="AC11" s="82" t="s">
        <v>252</v>
      </c>
      <c r="AD11" s="82" t="s">
        <v>254</v>
      </c>
      <c r="AE11" s="82" t="s">
        <v>256</v>
      </c>
      <c r="AF11" s="20">
        <f t="shared" si="0"/>
        <v>2.6666666666666665</v>
      </c>
      <c r="AG11" s="13">
        <f t="shared" si="1"/>
        <v>6</v>
      </c>
      <c r="AH11" s="7">
        <f t="shared" si="2"/>
        <v>10</v>
      </c>
      <c r="AI11" s="7">
        <f t="shared" si="3"/>
        <v>10</v>
      </c>
      <c r="AJ11" s="7">
        <f>IF(Y11&lt;1,0,IF(AND(Y11&gt;=1,Y11&lt;3),5,IF(Y11&gt;=3,10,0)))</f>
        <v>0</v>
      </c>
      <c r="AK11" s="7">
        <f t="shared" si="5"/>
        <v>6</v>
      </c>
      <c r="AL11" s="12">
        <f t="shared" si="6"/>
        <v>32</v>
      </c>
      <c r="AM11" s="14" t="str">
        <f t="shared" si="7"/>
        <v>Barrier</v>
      </c>
      <c r="AN11" s="82"/>
      <c r="AO11" s="82"/>
      <c r="AP11" s="82" t="s">
        <v>335</v>
      </c>
    </row>
    <row r="12" spans="1:42" ht="16">
      <c r="A12" s="87">
        <v>45199</v>
      </c>
      <c r="C12" s="82">
        <v>5400003</v>
      </c>
      <c r="D12" s="82" t="s">
        <v>100</v>
      </c>
      <c r="E12" s="88">
        <v>10</v>
      </c>
      <c r="F12" s="89">
        <v>377178</v>
      </c>
      <c r="G12" s="89">
        <v>5993874</v>
      </c>
      <c r="H12" s="88" t="s">
        <v>129</v>
      </c>
      <c r="I12" s="88" t="s">
        <v>130</v>
      </c>
      <c r="J12" s="33"/>
      <c r="K12" s="88" t="s">
        <v>104</v>
      </c>
      <c r="L12" s="82" t="s">
        <v>243</v>
      </c>
      <c r="M12" s="82" t="s">
        <v>244</v>
      </c>
      <c r="N12" s="84">
        <v>0.6</v>
      </c>
      <c r="O12" s="84">
        <v>23</v>
      </c>
      <c r="P12" s="82" t="s">
        <v>252</v>
      </c>
      <c r="Q12" s="85"/>
      <c r="R12" s="82" t="s">
        <v>252</v>
      </c>
      <c r="S12" s="82" t="s">
        <v>252</v>
      </c>
      <c r="T12" s="86"/>
      <c r="U12" s="84">
        <v>4</v>
      </c>
      <c r="V12" s="82">
        <v>0.3</v>
      </c>
      <c r="W12" s="84">
        <v>0</v>
      </c>
      <c r="X12" s="82" t="s">
        <v>252</v>
      </c>
      <c r="Y12" s="84">
        <v>1</v>
      </c>
      <c r="Z12" s="84">
        <v>1</v>
      </c>
      <c r="AA12" s="82">
        <v>2</v>
      </c>
      <c r="AB12" s="82" t="s">
        <v>252</v>
      </c>
      <c r="AC12" s="82" t="s">
        <v>252</v>
      </c>
      <c r="AD12" s="82" t="s">
        <v>254</v>
      </c>
      <c r="AE12" s="82" t="s">
        <v>257</v>
      </c>
      <c r="AF12" s="20">
        <f t="shared" ref="AF12:AF72" si="8">IF(ISBLANK(Z12), 0, IF(ISBLANK(N12) &lt; 0, 0,Z12 / N12))</f>
        <v>1.6666666666666667</v>
      </c>
      <c r="AG12" s="13">
        <f t="shared" si="1"/>
        <v>3</v>
      </c>
      <c r="AH12" s="7">
        <f t="shared" si="2"/>
        <v>10</v>
      </c>
      <c r="AI12" s="7">
        <f t="shared" si="3"/>
        <v>10</v>
      </c>
      <c r="AJ12" s="7">
        <f t="shared" si="4"/>
        <v>5</v>
      </c>
      <c r="AK12" s="7">
        <f t="shared" si="5"/>
        <v>6</v>
      </c>
      <c r="AL12" s="12">
        <f t="shared" ref="AL12:AL70" si="9">AG12 + AH12 + AI12 + AJ12 + AK12</f>
        <v>34</v>
      </c>
      <c r="AM12" s="14" t="str">
        <f t="shared" si="7"/>
        <v>Barrier</v>
      </c>
      <c r="AN12" s="82"/>
      <c r="AO12" s="84"/>
      <c r="AP12" s="82" t="s">
        <v>336</v>
      </c>
    </row>
    <row r="13" spans="1:42" ht="16">
      <c r="A13" s="87">
        <v>45199</v>
      </c>
      <c r="C13" s="82">
        <v>5400202</v>
      </c>
      <c r="D13" s="82" t="s">
        <v>100</v>
      </c>
      <c r="E13" s="88">
        <v>10</v>
      </c>
      <c r="F13" s="89">
        <v>388944</v>
      </c>
      <c r="G13" s="89">
        <v>5997002</v>
      </c>
      <c r="H13" s="88" t="s">
        <v>122</v>
      </c>
      <c r="I13" s="88" t="s">
        <v>134</v>
      </c>
      <c r="K13" s="88" t="s">
        <v>119</v>
      </c>
      <c r="L13" s="82" t="s">
        <v>243</v>
      </c>
      <c r="M13" s="82" t="s">
        <v>244</v>
      </c>
      <c r="N13" s="84">
        <v>1</v>
      </c>
      <c r="O13" s="84">
        <v>13</v>
      </c>
      <c r="P13" s="82" t="s">
        <v>252</v>
      </c>
      <c r="Q13" s="85"/>
      <c r="R13" s="82" t="s">
        <v>252</v>
      </c>
      <c r="S13" s="82" t="s">
        <v>252</v>
      </c>
      <c r="T13" s="85"/>
      <c r="U13" s="84">
        <v>1</v>
      </c>
      <c r="V13" s="82">
        <v>0.8</v>
      </c>
      <c r="W13" s="84">
        <v>0.6</v>
      </c>
      <c r="X13" s="82" t="s">
        <v>252</v>
      </c>
      <c r="Y13" s="84">
        <v>4.5</v>
      </c>
      <c r="Z13" s="84">
        <v>1.7</v>
      </c>
      <c r="AA13" s="82">
        <v>2</v>
      </c>
      <c r="AB13" s="82" t="s">
        <v>252</v>
      </c>
      <c r="AC13" s="82" t="s">
        <v>252</v>
      </c>
      <c r="AD13" s="82" t="s">
        <v>254</v>
      </c>
      <c r="AE13" s="82" t="s">
        <v>255</v>
      </c>
      <c r="AF13" s="20">
        <f t="shared" si="8"/>
        <v>1.7</v>
      </c>
      <c r="AG13" s="13">
        <f t="shared" si="1"/>
        <v>0</v>
      </c>
      <c r="AH13" s="7">
        <f t="shared" si="2"/>
        <v>10</v>
      </c>
      <c r="AI13" s="7">
        <f t="shared" si="3"/>
        <v>10</v>
      </c>
      <c r="AJ13" s="7">
        <f t="shared" si="4"/>
        <v>10</v>
      </c>
      <c r="AK13" s="7">
        <f t="shared" si="5"/>
        <v>6</v>
      </c>
      <c r="AL13" s="12">
        <f t="shared" si="9"/>
        <v>36</v>
      </c>
      <c r="AM13" s="14" t="str">
        <f t="shared" si="7"/>
        <v>Barrier</v>
      </c>
      <c r="AN13" s="82"/>
      <c r="AO13" s="84"/>
      <c r="AP13" s="82" t="s">
        <v>337</v>
      </c>
    </row>
    <row r="14" spans="1:42" ht="16">
      <c r="A14" s="87">
        <v>45199</v>
      </c>
      <c r="C14" s="82">
        <v>5400203</v>
      </c>
      <c r="D14" s="82" t="s">
        <v>100</v>
      </c>
      <c r="E14" s="88">
        <v>10</v>
      </c>
      <c r="F14" s="89">
        <v>388270</v>
      </c>
      <c r="G14" s="89">
        <v>5996949</v>
      </c>
      <c r="H14" s="88" t="s">
        <v>132</v>
      </c>
      <c r="I14" s="88" t="s">
        <v>130</v>
      </c>
      <c r="K14" s="88" t="s">
        <v>104</v>
      </c>
      <c r="L14" s="82" t="s">
        <v>243</v>
      </c>
      <c r="M14" s="82" t="s">
        <v>244</v>
      </c>
      <c r="N14" s="84">
        <v>1.1000000000000001</v>
      </c>
      <c r="O14" s="84">
        <v>25</v>
      </c>
      <c r="P14" s="82" t="s">
        <v>252</v>
      </c>
      <c r="Q14" s="85"/>
      <c r="R14" s="82" t="s">
        <v>252</v>
      </c>
      <c r="S14" s="82" t="s">
        <v>252</v>
      </c>
      <c r="T14" s="85"/>
      <c r="U14" s="84">
        <v>5</v>
      </c>
      <c r="V14" s="82">
        <v>1.4</v>
      </c>
      <c r="W14" s="84">
        <v>0.2</v>
      </c>
      <c r="X14" s="82" t="s">
        <v>252</v>
      </c>
      <c r="Y14" s="84">
        <v>4.5</v>
      </c>
      <c r="Z14" s="84">
        <v>2.6</v>
      </c>
      <c r="AA14" s="82">
        <v>2</v>
      </c>
      <c r="AB14" s="82" t="s">
        <v>252</v>
      </c>
      <c r="AC14" s="82" t="s">
        <v>252</v>
      </c>
      <c r="AD14" s="82" t="s">
        <v>254</v>
      </c>
      <c r="AE14" s="82" t="s">
        <v>255</v>
      </c>
      <c r="AF14" s="20">
        <f t="shared" si="8"/>
        <v>2.3636363636363633</v>
      </c>
      <c r="AG14" s="13">
        <f t="shared" si="1"/>
        <v>3</v>
      </c>
      <c r="AH14" s="7">
        <f t="shared" si="2"/>
        <v>10</v>
      </c>
      <c r="AI14" s="7">
        <f t="shared" si="3"/>
        <v>10</v>
      </c>
      <c r="AJ14" s="7">
        <f t="shared" si="4"/>
        <v>10</v>
      </c>
      <c r="AK14" s="7">
        <f t="shared" si="5"/>
        <v>6</v>
      </c>
      <c r="AL14" s="12">
        <f t="shared" si="9"/>
        <v>39</v>
      </c>
      <c r="AM14" s="14" t="str">
        <f t="shared" si="7"/>
        <v>Barrier</v>
      </c>
      <c r="AN14" s="82"/>
      <c r="AO14" s="84"/>
      <c r="AP14" s="82" t="s">
        <v>338</v>
      </c>
    </row>
    <row r="15" spans="1:42" ht="32">
      <c r="A15" s="87">
        <v>45199</v>
      </c>
      <c r="C15" s="82">
        <v>15600277</v>
      </c>
      <c r="D15" s="82" t="s">
        <v>100</v>
      </c>
      <c r="E15" s="88">
        <v>10</v>
      </c>
      <c r="F15" s="89">
        <v>398933</v>
      </c>
      <c r="G15" s="89">
        <v>5996365</v>
      </c>
      <c r="H15" s="88" t="s">
        <v>135</v>
      </c>
      <c r="I15" s="88" t="s">
        <v>136</v>
      </c>
      <c r="K15" s="88" t="s">
        <v>104</v>
      </c>
      <c r="L15" s="82" t="s">
        <v>243</v>
      </c>
      <c r="M15" s="82" t="s">
        <v>244</v>
      </c>
      <c r="N15" s="84">
        <v>0.95</v>
      </c>
      <c r="O15" s="84">
        <v>11.5</v>
      </c>
      <c r="P15" s="82" t="s">
        <v>252</v>
      </c>
      <c r="Q15" s="85"/>
      <c r="R15" s="82" t="s">
        <v>252</v>
      </c>
      <c r="S15" s="82" t="s">
        <v>252</v>
      </c>
      <c r="T15" s="86"/>
      <c r="U15" s="84">
        <v>1.5</v>
      </c>
      <c r="V15" s="82">
        <v>0.4</v>
      </c>
      <c r="W15" s="84">
        <v>1</v>
      </c>
      <c r="X15" s="82" t="s">
        <v>252</v>
      </c>
      <c r="Y15" s="84">
        <v>3</v>
      </c>
      <c r="Z15" s="84">
        <v>2.7</v>
      </c>
      <c r="AA15" s="82">
        <v>3</v>
      </c>
      <c r="AB15" s="82" t="s">
        <v>253</v>
      </c>
      <c r="AC15" s="82" t="s">
        <v>253</v>
      </c>
      <c r="AD15" s="82" t="s">
        <v>254</v>
      </c>
      <c r="AE15" s="82" t="s">
        <v>255</v>
      </c>
      <c r="AF15" s="20">
        <f t="shared" si="8"/>
        <v>2.8421052631578951</v>
      </c>
      <c r="AG15" s="13">
        <f t="shared" si="1"/>
        <v>0</v>
      </c>
      <c r="AH15" s="7">
        <f t="shared" si="2"/>
        <v>10</v>
      </c>
      <c r="AI15" s="7">
        <f t="shared" si="3"/>
        <v>10</v>
      </c>
      <c r="AJ15" s="7">
        <f t="shared" si="4"/>
        <v>10</v>
      </c>
      <c r="AK15" s="7">
        <f t="shared" si="5"/>
        <v>6</v>
      </c>
      <c r="AL15" s="12">
        <f t="shared" si="9"/>
        <v>36</v>
      </c>
      <c r="AM15" s="14" t="str">
        <f t="shared" si="7"/>
        <v>Barrier</v>
      </c>
      <c r="AN15" s="82"/>
      <c r="AO15" s="84"/>
      <c r="AP15" s="82" t="s">
        <v>339</v>
      </c>
    </row>
    <row r="16" spans="1:42" ht="32">
      <c r="A16" s="87">
        <v>45199</v>
      </c>
      <c r="C16" s="82">
        <v>15604478</v>
      </c>
      <c r="D16" s="82" t="s">
        <v>100</v>
      </c>
      <c r="E16" s="88">
        <v>10</v>
      </c>
      <c r="F16" s="89">
        <v>397160</v>
      </c>
      <c r="G16" s="89">
        <v>5996558</v>
      </c>
      <c r="H16" s="88" t="s">
        <v>137</v>
      </c>
      <c r="I16" s="88" t="s">
        <v>138</v>
      </c>
      <c r="J16" s="22">
        <v>1.1000000000000001</v>
      </c>
      <c r="K16" s="88" t="s">
        <v>139</v>
      </c>
      <c r="L16" s="82" t="s">
        <v>243</v>
      </c>
      <c r="M16" s="82" t="s">
        <v>244</v>
      </c>
      <c r="N16" s="84">
        <v>1.45</v>
      </c>
      <c r="O16" s="84">
        <v>16</v>
      </c>
      <c r="P16" s="82" t="s">
        <v>252</v>
      </c>
      <c r="Q16" s="85"/>
      <c r="R16" s="82" t="s">
        <v>252</v>
      </c>
      <c r="S16" s="82" t="s">
        <v>252</v>
      </c>
      <c r="T16" s="86"/>
      <c r="U16" s="84">
        <v>0.5</v>
      </c>
      <c r="V16" s="82">
        <v>0</v>
      </c>
      <c r="W16" s="84">
        <v>0.2</v>
      </c>
      <c r="X16" s="82" t="s">
        <v>253</v>
      </c>
      <c r="Y16" s="84">
        <v>2</v>
      </c>
      <c r="Z16" s="84">
        <v>2.5</v>
      </c>
      <c r="AA16" s="82">
        <v>0.5</v>
      </c>
      <c r="AB16" s="82" t="s">
        <v>252</v>
      </c>
      <c r="AC16" s="82" t="s">
        <v>252</v>
      </c>
      <c r="AD16" s="82" t="s">
        <v>254</v>
      </c>
      <c r="AE16" s="82" t="s">
        <v>256</v>
      </c>
      <c r="AF16" s="20">
        <f t="shared" si="8"/>
        <v>1.7241379310344829</v>
      </c>
      <c r="AG16" s="13">
        <f t="shared" si="1"/>
        <v>3</v>
      </c>
      <c r="AH16" s="7">
        <f t="shared" si="2"/>
        <v>10</v>
      </c>
      <c r="AI16" s="7">
        <f t="shared" si="3"/>
        <v>0</v>
      </c>
      <c r="AJ16" s="7">
        <f t="shared" si="4"/>
        <v>5</v>
      </c>
      <c r="AK16" s="7">
        <f t="shared" si="5"/>
        <v>6</v>
      </c>
      <c r="AL16" s="12">
        <f t="shared" si="9"/>
        <v>24</v>
      </c>
      <c r="AM16" s="14" t="str">
        <f t="shared" si="7"/>
        <v>Barrier</v>
      </c>
      <c r="AN16" s="82"/>
      <c r="AO16" s="84"/>
      <c r="AP16" s="82" t="s">
        <v>340</v>
      </c>
    </row>
    <row r="17" spans="1:42" ht="16">
      <c r="A17" s="87">
        <v>45200</v>
      </c>
      <c r="C17" s="82">
        <v>9903437</v>
      </c>
      <c r="D17" s="82" t="s">
        <v>100</v>
      </c>
      <c r="E17" s="88">
        <v>10</v>
      </c>
      <c r="F17" s="89">
        <v>500733</v>
      </c>
      <c r="G17" s="89">
        <v>5959822</v>
      </c>
      <c r="H17" s="88" t="s">
        <v>144</v>
      </c>
      <c r="I17" s="88" t="s">
        <v>145</v>
      </c>
      <c r="K17" s="88" t="s">
        <v>104</v>
      </c>
      <c r="L17" s="82" t="s">
        <v>243</v>
      </c>
      <c r="M17" s="82" t="s">
        <v>244</v>
      </c>
      <c r="N17" s="84">
        <v>1.2</v>
      </c>
      <c r="O17" s="84">
        <v>29</v>
      </c>
      <c r="P17" s="82" t="s">
        <v>252</v>
      </c>
      <c r="Q17" s="86"/>
      <c r="R17" s="82" t="s">
        <v>252</v>
      </c>
      <c r="S17" s="82" t="s">
        <v>252</v>
      </c>
      <c r="T17" s="85"/>
      <c r="U17" s="84">
        <v>2</v>
      </c>
      <c r="V17" s="82">
        <v>1.5</v>
      </c>
      <c r="W17" s="84">
        <v>0</v>
      </c>
      <c r="X17" s="82" t="s">
        <v>252</v>
      </c>
      <c r="Y17" s="84">
        <v>5</v>
      </c>
      <c r="Z17" s="84">
        <v>1.2</v>
      </c>
      <c r="AA17" s="82">
        <v>3</v>
      </c>
      <c r="AB17" s="82" t="s">
        <v>252</v>
      </c>
      <c r="AC17" s="82" t="s">
        <v>252</v>
      </c>
      <c r="AD17" s="82" t="s">
        <v>254</v>
      </c>
      <c r="AE17" s="82" t="s">
        <v>257</v>
      </c>
      <c r="AF17" s="20">
        <f t="shared" si="8"/>
        <v>1</v>
      </c>
      <c r="AG17" s="13">
        <f t="shared" si="1"/>
        <v>3</v>
      </c>
      <c r="AH17" s="7">
        <f t="shared" si="2"/>
        <v>10</v>
      </c>
      <c r="AI17" s="7">
        <f t="shared" si="3"/>
        <v>10</v>
      </c>
      <c r="AJ17" s="7">
        <f t="shared" si="4"/>
        <v>10</v>
      </c>
      <c r="AK17" s="7">
        <f t="shared" si="5"/>
        <v>3</v>
      </c>
      <c r="AL17" s="12">
        <f t="shared" si="9"/>
        <v>36</v>
      </c>
      <c r="AM17" s="14" t="str">
        <f t="shared" si="7"/>
        <v>Barrier</v>
      </c>
      <c r="AN17" s="82"/>
      <c r="AO17" s="84"/>
      <c r="AP17" s="82" t="s">
        <v>341</v>
      </c>
    </row>
    <row r="18" spans="1:42" ht="16">
      <c r="A18" s="87">
        <v>45200</v>
      </c>
      <c r="C18" s="82">
        <v>9901826</v>
      </c>
      <c r="D18" s="82" t="s">
        <v>100</v>
      </c>
      <c r="E18" s="88">
        <v>10</v>
      </c>
      <c r="F18" s="89">
        <v>498057</v>
      </c>
      <c r="G18" s="89">
        <v>5955884</v>
      </c>
      <c r="H18" s="88" t="s">
        <v>146</v>
      </c>
      <c r="I18" s="88" t="s">
        <v>147</v>
      </c>
      <c r="K18" s="88" t="s">
        <v>104</v>
      </c>
      <c r="L18" s="82" t="s">
        <v>243</v>
      </c>
      <c r="M18" s="82" t="s">
        <v>244</v>
      </c>
      <c r="N18" s="84">
        <v>0.9</v>
      </c>
      <c r="O18" s="84">
        <v>10</v>
      </c>
      <c r="P18" s="82" t="s">
        <v>252</v>
      </c>
      <c r="Q18" s="85"/>
      <c r="R18" s="82" t="s">
        <v>252</v>
      </c>
      <c r="S18" s="82" t="s">
        <v>252</v>
      </c>
      <c r="T18" s="86"/>
      <c r="U18" s="84">
        <v>0.8</v>
      </c>
      <c r="V18" s="82">
        <v>0.25</v>
      </c>
      <c r="W18" s="84">
        <v>0.2</v>
      </c>
      <c r="X18" s="82" t="s">
        <v>252</v>
      </c>
      <c r="Y18" s="84">
        <v>3</v>
      </c>
      <c r="Z18" s="84">
        <v>1.7</v>
      </c>
      <c r="AA18" s="82">
        <v>1</v>
      </c>
      <c r="AB18" s="82" t="s">
        <v>252</v>
      </c>
      <c r="AC18" s="82" t="s">
        <v>252</v>
      </c>
      <c r="AD18" s="82" t="s">
        <v>254</v>
      </c>
      <c r="AE18" s="82" t="s">
        <v>257</v>
      </c>
      <c r="AF18" s="20">
        <f t="shared" si="8"/>
        <v>1.8888888888888888</v>
      </c>
      <c r="AG18" s="13">
        <f t="shared" si="1"/>
        <v>0</v>
      </c>
      <c r="AH18" s="7">
        <f t="shared" si="2"/>
        <v>10</v>
      </c>
      <c r="AI18" s="7">
        <f t="shared" si="3"/>
        <v>5</v>
      </c>
      <c r="AJ18" s="7">
        <f t="shared" si="4"/>
        <v>10</v>
      </c>
      <c r="AK18" s="7">
        <f t="shared" si="5"/>
        <v>6</v>
      </c>
      <c r="AL18" s="12">
        <f t="shared" si="9"/>
        <v>31</v>
      </c>
      <c r="AM18" s="14" t="str">
        <f t="shared" si="7"/>
        <v>Barrier</v>
      </c>
      <c r="AN18" s="82"/>
      <c r="AO18" s="84"/>
      <c r="AP18" s="82" t="s">
        <v>342</v>
      </c>
    </row>
    <row r="19" spans="1:42" ht="32">
      <c r="A19" s="87">
        <v>45200</v>
      </c>
      <c r="C19" s="82">
        <v>9903963</v>
      </c>
      <c r="D19" s="82" t="s">
        <v>100</v>
      </c>
      <c r="E19" s="88">
        <v>10</v>
      </c>
      <c r="F19" s="89">
        <v>491332</v>
      </c>
      <c r="G19" s="89">
        <v>5956490</v>
      </c>
      <c r="H19" s="88" t="s">
        <v>148</v>
      </c>
      <c r="I19" s="88" t="s">
        <v>149</v>
      </c>
      <c r="J19" s="33"/>
      <c r="K19" s="88" t="s">
        <v>104</v>
      </c>
      <c r="L19" s="82" t="s">
        <v>243</v>
      </c>
      <c r="M19" s="82" t="s">
        <v>244</v>
      </c>
      <c r="N19" s="84">
        <v>1.5</v>
      </c>
      <c r="O19" s="84">
        <v>16</v>
      </c>
      <c r="P19" s="82" t="s">
        <v>252</v>
      </c>
      <c r="Q19" s="85"/>
      <c r="R19" s="82" t="s">
        <v>252</v>
      </c>
      <c r="S19" s="82" t="s">
        <v>252</v>
      </c>
      <c r="T19" s="86"/>
      <c r="U19" s="84">
        <v>1.5</v>
      </c>
      <c r="V19" s="82">
        <v>0.75</v>
      </c>
      <c r="W19" s="84">
        <v>0.5</v>
      </c>
      <c r="X19" s="82" t="s">
        <v>252</v>
      </c>
      <c r="Y19" s="84">
        <v>3</v>
      </c>
      <c r="Z19" s="84">
        <v>1.7</v>
      </c>
      <c r="AA19" s="82">
        <v>1</v>
      </c>
      <c r="AB19" s="82" t="s">
        <v>253</v>
      </c>
      <c r="AC19" s="82" t="s">
        <v>252</v>
      </c>
      <c r="AD19" s="82" t="s">
        <v>254</v>
      </c>
      <c r="AE19" s="82" t="s">
        <v>257</v>
      </c>
      <c r="AF19" s="20">
        <f t="shared" si="8"/>
        <v>1.1333333333333333</v>
      </c>
      <c r="AG19" s="13">
        <f t="shared" si="1"/>
        <v>3</v>
      </c>
      <c r="AH19" s="7">
        <f t="shared" si="2"/>
        <v>10</v>
      </c>
      <c r="AI19" s="7">
        <f t="shared" si="3"/>
        <v>10</v>
      </c>
      <c r="AJ19" s="7">
        <f t="shared" si="4"/>
        <v>10</v>
      </c>
      <c r="AK19" s="7">
        <f t="shared" si="5"/>
        <v>3</v>
      </c>
      <c r="AL19" s="12">
        <f t="shared" si="9"/>
        <v>36</v>
      </c>
      <c r="AM19" s="14" t="str">
        <f t="shared" si="7"/>
        <v>Barrier</v>
      </c>
      <c r="AN19" s="82"/>
      <c r="AO19" s="84"/>
      <c r="AP19" s="82" t="s">
        <v>343</v>
      </c>
    </row>
    <row r="20" spans="1:42" ht="16">
      <c r="A20" s="87">
        <v>45200</v>
      </c>
      <c r="C20" s="82">
        <v>9900367</v>
      </c>
      <c r="D20" s="82" t="s">
        <v>100</v>
      </c>
      <c r="E20" s="88">
        <v>10</v>
      </c>
      <c r="F20" s="89">
        <v>509128</v>
      </c>
      <c r="G20" s="89">
        <v>5959562</v>
      </c>
      <c r="H20" s="82" t="s">
        <v>150</v>
      </c>
      <c r="I20" s="88" t="s">
        <v>151</v>
      </c>
      <c r="J20" s="33"/>
      <c r="K20" s="88" t="s">
        <v>104</v>
      </c>
      <c r="L20" s="82" t="s">
        <v>243</v>
      </c>
      <c r="M20" s="82" t="s">
        <v>244</v>
      </c>
      <c r="N20" s="84">
        <v>4.5</v>
      </c>
      <c r="O20" s="84">
        <v>33</v>
      </c>
      <c r="P20" s="82" t="s">
        <v>252</v>
      </c>
      <c r="Q20" s="85"/>
      <c r="R20" s="82" t="s">
        <v>252</v>
      </c>
      <c r="S20" s="82" t="s">
        <v>252</v>
      </c>
      <c r="T20" s="85"/>
      <c r="U20" s="82">
        <v>2</v>
      </c>
      <c r="V20" s="82">
        <v>0</v>
      </c>
      <c r="W20" s="82">
        <v>1</v>
      </c>
      <c r="X20" s="82" t="s">
        <v>252</v>
      </c>
      <c r="Y20" s="82">
        <v>0</v>
      </c>
      <c r="Z20" s="82">
        <v>5</v>
      </c>
      <c r="AA20" s="82">
        <v>0</v>
      </c>
      <c r="AB20" s="82" t="s">
        <v>253</v>
      </c>
      <c r="AC20" s="82" t="s">
        <v>252</v>
      </c>
      <c r="AD20" s="82" t="s">
        <v>254</v>
      </c>
      <c r="AE20" s="82" t="s">
        <v>255</v>
      </c>
      <c r="AF20" s="20">
        <f t="shared" si="8"/>
        <v>1.1111111111111112</v>
      </c>
      <c r="AG20" s="13">
        <f t="shared" si="1"/>
        <v>6</v>
      </c>
      <c r="AH20" s="7">
        <f t="shared" si="2"/>
        <v>10</v>
      </c>
      <c r="AI20" s="7">
        <f t="shared" si="3"/>
        <v>0</v>
      </c>
      <c r="AJ20" s="7">
        <f t="shared" si="4"/>
        <v>0</v>
      </c>
      <c r="AK20" s="7">
        <f t="shared" si="5"/>
        <v>3</v>
      </c>
      <c r="AL20" s="12">
        <f t="shared" si="9"/>
        <v>19</v>
      </c>
      <c r="AM20" s="14" t="str">
        <f t="shared" si="7"/>
        <v>Potential</v>
      </c>
      <c r="AN20" s="82"/>
      <c r="AO20" s="82"/>
      <c r="AP20" s="82" t="s">
        <v>344</v>
      </c>
    </row>
    <row r="21" spans="1:42">
      <c r="A21" s="87">
        <v>45178</v>
      </c>
      <c r="C21" s="82">
        <v>24716727</v>
      </c>
      <c r="D21" s="82" t="s">
        <v>99</v>
      </c>
      <c r="E21" s="82">
        <v>10</v>
      </c>
      <c r="F21" s="84">
        <v>433506</v>
      </c>
      <c r="G21" s="84">
        <v>5987089</v>
      </c>
      <c r="H21" s="82" t="s">
        <v>155</v>
      </c>
      <c r="I21" s="82" t="s">
        <v>156</v>
      </c>
      <c r="J21" s="33"/>
      <c r="K21" s="82" t="s">
        <v>157</v>
      </c>
      <c r="L21" s="82" t="s">
        <v>243</v>
      </c>
      <c r="M21" s="82" t="s">
        <v>244</v>
      </c>
      <c r="N21" s="84">
        <v>5</v>
      </c>
      <c r="O21" s="84">
        <v>25</v>
      </c>
      <c r="P21" s="82" t="s">
        <v>252</v>
      </c>
      <c r="Q21" s="86"/>
      <c r="R21" s="82" t="s">
        <v>252</v>
      </c>
      <c r="S21" s="82" t="s">
        <v>252</v>
      </c>
      <c r="T21" s="86"/>
      <c r="U21" s="84">
        <v>1.5</v>
      </c>
      <c r="V21" s="82">
        <v>0</v>
      </c>
      <c r="W21" s="84">
        <v>1.5</v>
      </c>
      <c r="X21" s="82" t="s">
        <v>252</v>
      </c>
      <c r="Y21" s="84">
        <v>1.5</v>
      </c>
      <c r="Z21" s="84">
        <v>6.2</v>
      </c>
      <c r="AA21" s="82">
        <v>1</v>
      </c>
      <c r="AB21" s="82" t="s">
        <v>252</v>
      </c>
      <c r="AC21" s="82" t="s">
        <v>253</v>
      </c>
      <c r="AD21" s="82" t="s">
        <v>254</v>
      </c>
      <c r="AE21" s="82" t="s">
        <v>255</v>
      </c>
      <c r="AF21" s="20">
        <f t="shared" si="8"/>
        <v>1.24</v>
      </c>
      <c r="AG21" s="13">
        <f t="shared" si="1"/>
        <v>3</v>
      </c>
      <c r="AH21" s="7">
        <f t="shared" si="2"/>
        <v>10</v>
      </c>
      <c r="AI21" s="7">
        <f t="shared" si="3"/>
        <v>0</v>
      </c>
      <c r="AJ21" s="7">
        <f t="shared" si="4"/>
        <v>5</v>
      </c>
      <c r="AK21" s="7">
        <f t="shared" si="5"/>
        <v>3</v>
      </c>
      <c r="AL21" s="12">
        <f t="shared" si="9"/>
        <v>21</v>
      </c>
      <c r="AM21" s="14" t="str">
        <f t="shared" si="7"/>
        <v>Barrier</v>
      </c>
      <c r="AN21" s="82"/>
      <c r="AO21" s="84"/>
      <c r="AP21" s="82" t="s">
        <v>345</v>
      </c>
    </row>
    <row r="22" spans="1:42" ht="16">
      <c r="A22" s="87">
        <v>45178</v>
      </c>
      <c r="C22" s="82">
        <v>15600108</v>
      </c>
      <c r="D22" s="82" t="s">
        <v>99</v>
      </c>
      <c r="E22" s="88">
        <v>10</v>
      </c>
      <c r="F22" s="89">
        <v>429831</v>
      </c>
      <c r="G22" s="89">
        <v>5990320</v>
      </c>
      <c r="H22" s="88" t="s">
        <v>155</v>
      </c>
      <c r="I22" s="88" t="s">
        <v>158</v>
      </c>
      <c r="K22" s="88" t="s">
        <v>104</v>
      </c>
      <c r="L22" s="82" t="s">
        <v>243</v>
      </c>
      <c r="M22" s="82" t="s">
        <v>244</v>
      </c>
      <c r="N22" s="84">
        <v>2.2000000000000002</v>
      </c>
      <c r="O22" s="84">
        <v>15</v>
      </c>
      <c r="P22" s="82" t="s">
        <v>252</v>
      </c>
      <c r="Q22" s="86"/>
      <c r="R22" s="82" t="s">
        <v>252</v>
      </c>
      <c r="S22" s="82" t="s">
        <v>252</v>
      </c>
      <c r="T22" s="86"/>
      <c r="U22" s="84">
        <v>2</v>
      </c>
      <c r="V22" s="82">
        <v>0</v>
      </c>
      <c r="W22" s="84">
        <v>0.4</v>
      </c>
      <c r="X22" s="82" t="s">
        <v>252</v>
      </c>
      <c r="Y22" s="84">
        <v>0.5</v>
      </c>
      <c r="Z22" s="84">
        <v>2.1</v>
      </c>
      <c r="AA22" s="82">
        <v>1</v>
      </c>
      <c r="AB22" s="82" t="s">
        <v>252</v>
      </c>
      <c r="AC22" s="82" t="s">
        <v>252</v>
      </c>
      <c r="AD22" s="82" t="s">
        <v>254</v>
      </c>
      <c r="AE22" s="82" t="s">
        <v>256</v>
      </c>
      <c r="AF22" s="20">
        <f t="shared" si="8"/>
        <v>0.95454545454545447</v>
      </c>
      <c r="AG22" s="13">
        <f t="shared" si="1"/>
        <v>3</v>
      </c>
      <c r="AH22" s="7">
        <f t="shared" si="2"/>
        <v>10</v>
      </c>
      <c r="AI22" s="7">
        <f t="shared" si="3"/>
        <v>0</v>
      </c>
      <c r="AJ22" s="7">
        <f t="shared" si="4"/>
        <v>0</v>
      </c>
      <c r="AK22" s="7">
        <f t="shared" si="5"/>
        <v>0</v>
      </c>
      <c r="AL22" s="12">
        <f t="shared" si="9"/>
        <v>13</v>
      </c>
      <c r="AM22" s="14" t="str">
        <f t="shared" si="7"/>
        <v>Passable</v>
      </c>
      <c r="AN22" s="82"/>
      <c r="AO22" s="84"/>
      <c r="AP22" s="82" t="s">
        <v>346</v>
      </c>
    </row>
    <row r="23" spans="1:42" ht="16">
      <c r="A23" s="87">
        <v>45178</v>
      </c>
      <c r="C23" s="82">
        <v>15600467</v>
      </c>
      <c r="D23" s="82" t="s">
        <v>99</v>
      </c>
      <c r="E23" s="88">
        <v>10</v>
      </c>
      <c r="F23" s="89">
        <v>429905</v>
      </c>
      <c r="G23" s="89">
        <v>5990198</v>
      </c>
      <c r="H23" s="88" t="s">
        <v>155</v>
      </c>
      <c r="I23" s="88" t="s">
        <v>159</v>
      </c>
      <c r="K23" s="88" t="s">
        <v>119</v>
      </c>
      <c r="L23" s="82" t="s">
        <v>243</v>
      </c>
      <c r="M23" s="82" t="s">
        <v>244</v>
      </c>
      <c r="N23" s="84">
        <v>3.2</v>
      </c>
      <c r="O23" s="84">
        <v>16</v>
      </c>
      <c r="P23" s="82" t="s">
        <v>252</v>
      </c>
      <c r="Q23" s="86"/>
      <c r="R23" s="82" t="s">
        <v>252</v>
      </c>
      <c r="S23" s="82" t="s">
        <v>252</v>
      </c>
      <c r="T23" s="86"/>
      <c r="U23" s="84">
        <v>4</v>
      </c>
      <c r="V23" s="82">
        <v>0.3</v>
      </c>
      <c r="W23" s="84">
        <v>1</v>
      </c>
      <c r="X23" s="82" t="s">
        <v>252</v>
      </c>
      <c r="Y23" s="84">
        <v>2</v>
      </c>
      <c r="Z23" s="84">
        <v>2.2000000000000002</v>
      </c>
      <c r="AA23" s="82">
        <v>1</v>
      </c>
      <c r="AB23" s="82" t="s">
        <v>252</v>
      </c>
      <c r="AC23" s="82" t="s">
        <v>252</v>
      </c>
      <c r="AD23" s="82" t="s">
        <v>254</v>
      </c>
      <c r="AE23" s="82" t="s">
        <v>256</v>
      </c>
      <c r="AF23" s="20">
        <f t="shared" si="8"/>
        <v>0.6875</v>
      </c>
      <c r="AG23" s="13">
        <f t="shared" si="1"/>
        <v>3</v>
      </c>
      <c r="AH23" s="7">
        <f t="shared" si="2"/>
        <v>10</v>
      </c>
      <c r="AI23" s="7">
        <f t="shared" si="3"/>
        <v>10</v>
      </c>
      <c r="AJ23" s="7">
        <f t="shared" si="4"/>
        <v>5</v>
      </c>
      <c r="AK23" s="7">
        <f t="shared" si="5"/>
        <v>0</v>
      </c>
      <c r="AL23" s="12">
        <f t="shared" si="9"/>
        <v>28</v>
      </c>
      <c r="AM23" s="14" t="str">
        <f t="shared" si="7"/>
        <v>Barrier</v>
      </c>
      <c r="AN23" s="82"/>
      <c r="AO23" s="84"/>
      <c r="AP23" s="82" t="s">
        <v>347</v>
      </c>
    </row>
    <row r="24" spans="1:42" ht="16">
      <c r="A24" s="87">
        <v>45178</v>
      </c>
      <c r="C24" s="82">
        <v>15600107</v>
      </c>
      <c r="D24" s="82" t="s">
        <v>99</v>
      </c>
      <c r="E24" s="88">
        <v>10</v>
      </c>
      <c r="F24" s="89">
        <v>430580</v>
      </c>
      <c r="G24" s="89">
        <v>5990313</v>
      </c>
      <c r="H24" s="88" t="s">
        <v>162</v>
      </c>
      <c r="I24" s="88" t="s">
        <v>158</v>
      </c>
      <c r="K24" s="88" t="s">
        <v>119</v>
      </c>
      <c r="L24" s="82" t="s">
        <v>243</v>
      </c>
      <c r="M24" s="82" t="s">
        <v>244</v>
      </c>
      <c r="N24" s="84">
        <v>2.5</v>
      </c>
      <c r="O24" s="84">
        <v>22</v>
      </c>
      <c r="P24" s="82" t="s">
        <v>252</v>
      </c>
      <c r="Q24" s="86"/>
      <c r="R24" s="82" t="s">
        <v>252</v>
      </c>
      <c r="S24" s="82" t="s">
        <v>252</v>
      </c>
      <c r="T24" s="86"/>
      <c r="U24" s="84">
        <v>0.5</v>
      </c>
      <c r="V24" s="82">
        <v>0</v>
      </c>
      <c r="W24" s="84">
        <v>0.5</v>
      </c>
      <c r="X24" s="82" t="s">
        <v>252</v>
      </c>
      <c r="Y24" s="84">
        <v>1</v>
      </c>
      <c r="Z24" s="84">
        <v>1.7</v>
      </c>
      <c r="AA24" s="82">
        <v>1</v>
      </c>
      <c r="AB24" s="82" t="s">
        <v>252</v>
      </c>
      <c r="AC24" s="82" t="s">
        <v>252</v>
      </c>
      <c r="AD24" s="82" t="s">
        <v>254</v>
      </c>
      <c r="AE24" s="82" t="s">
        <v>257</v>
      </c>
      <c r="AF24" s="20">
        <f t="shared" si="8"/>
        <v>0.67999999999999994</v>
      </c>
      <c r="AG24" s="13">
        <f t="shared" si="1"/>
        <v>3</v>
      </c>
      <c r="AH24" s="7">
        <f t="shared" si="2"/>
        <v>10</v>
      </c>
      <c r="AI24" s="7">
        <f t="shared" si="3"/>
        <v>0</v>
      </c>
      <c r="AJ24" s="7">
        <f t="shared" si="4"/>
        <v>5</v>
      </c>
      <c r="AK24" s="7">
        <f t="shared" si="5"/>
        <v>0</v>
      </c>
      <c r="AL24" s="12">
        <f t="shared" si="9"/>
        <v>18</v>
      </c>
      <c r="AM24" s="14" t="str">
        <f t="shared" si="7"/>
        <v>Potential</v>
      </c>
      <c r="AN24" s="82"/>
      <c r="AO24" s="84"/>
      <c r="AP24" s="82" t="s">
        <v>348</v>
      </c>
    </row>
    <row r="25" spans="1:42" ht="16">
      <c r="A25" s="87">
        <v>45178</v>
      </c>
      <c r="C25" s="82">
        <v>15600190</v>
      </c>
      <c r="D25" s="82" t="s">
        <v>99</v>
      </c>
      <c r="E25" s="88">
        <v>10</v>
      </c>
      <c r="F25" s="89">
        <v>431924</v>
      </c>
      <c r="G25" s="89">
        <v>5991893</v>
      </c>
      <c r="H25" s="88" t="s">
        <v>163</v>
      </c>
      <c r="I25" s="88" t="s">
        <v>164</v>
      </c>
      <c r="K25" s="88" t="s">
        <v>119</v>
      </c>
      <c r="L25" s="82" t="s">
        <v>243</v>
      </c>
      <c r="M25" s="82" t="s">
        <v>244</v>
      </c>
      <c r="N25" s="84">
        <v>1.8</v>
      </c>
      <c r="O25" s="84">
        <v>12</v>
      </c>
      <c r="P25" s="82" t="s">
        <v>252</v>
      </c>
      <c r="Q25" s="86"/>
      <c r="R25" s="82" t="s">
        <v>252</v>
      </c>
      <c r="S25" s="82" t="s">
        <v>252</v>
      </c>
      <c r="T25" s="86"/>
      <c r="U25" s="84">
        <v>0.5</v>
      </c>
      <c r="V25" s="82">
        <v>0</v>
      </c>
      <c r="W25" s="84">
        <v>0.3</v>
      </c>
      <c r="X25" s="82" t="s">
        <v>252</v>
      </c>
      <c r="Y25" s="84">
        <v>1</v>
      </c>
      <c r="Z25" s="84">
        <v>1.6</v>
      </c>
      <c r="AA25" s="82">
        <v>1</v>
      </c>
      <c r="AB25" s="82" t="s">
        <v>252</v>
      </c>
      <c r="AC25" s="82" t="s">
        <v>252</v>
      </c>
      <c r="AD25" s="82" t="s">
        <v>254</v>
      </c>
      <c r="AE25" s="82" t="s">
        <v>257</v>
      </c>
      <c r="AF25" s="20">
        <f t="shared" si="8"/>
        <v>0.88888888888888895</v>
      </c>
      <c r="AG25" s="13">
        <f t="shared" si="1"/>
        <v>0</v>
      </c>
      <c r="AH25" s="7">
        <f t="shared" si="2"/>
        <v>10</v>
      </c>
      <c r="AI25" s="7">
        <f t="shared" si="3"/>
        <v>0</v>
      </c>
      <c r="AJ25" s="7">
        <f t="shared" si="4"/>
        <v>5</v>
      </c>
      <c r="AK25" s="7">
        <f t="shared" si="5"/>
        <v>0</v>
      </c>
      <c r="AL25" s="12">
        <f t="shared" si="9"/>
        <v>15</v>
      </c>
      <c r="AM25" s="14" t="str">
        <f t="shared" si="7"/>
        <v>Potential</v>
      </c>
      <c r="AN25" s="82"/>
      <c r="AO25" s="84"/>
      <c r="AP25" s="82" t="s">
        <v>349</v>
      </c>
    </row>
    <row r="26" spans="1:42" ht="16">
      <c r="A26" s="87">
        <v>45178</v>
      </c>
      <c r="C26" s="82">
        <v>15603995</v>
      </c>
      <c r="D26" s="82" t="s">
        <v>99</v>
      </c>
      <c r="E26" s="88">
        <v>10</v>
      </c>
      <c r="F26" s="89">
        <v>431910</v>
      </c>
      <c r="G26" s="89">
        <v>5995592</v>
      </c>
      <c r="H26" s="88" t="s">
        <v>163</v>
      </c>
      <c r="I26" s="88" t="s">
        <v>165</v>
      </c>
      <c r="K26" s="88" t="s">
        <v>119</v>
      </c>
      <c r="L26" s="82" t="s">
        <v>243</v>
      </c>
      <c r="M26" s="82" t="s">
        <v>244</v>
      </c>
      <c r="N26" s="84">
        <v>0.5</v>
      </c>
      <c r="O26" s="84">
        <v>10</v>
      </c>
      <c r="P26" s="82" t="s">
        <v>252</v>
      </c>
      <c r="Q26" s="86"/>
      <c r="R26" s="82" t="s">
        <v>252</v>
      </c>
      <c r="S26" s="82" t="s">
        <v>252</v>
      </c>
      <c r="T26" s="86"/>
      <c r="U26" s="84">
        <v>1</v>
      </c>
      <c r="V26" s="82">
        <v>0</v>
      </c>
      <c r="W26" s="84">
        <v>0</v>
      </c>
      <c r="X26" s="82" t="s">
        <v>252</v>
      </c>
      <c r="Y26" s="84">
        <v>1</v>
      </c>
      <c r="Z26" s="84">
        <v>0.7</v>
      </c>
      <c r="AA26" s="82">
        <v>1.5</v>
      </c>
      <c r="AB26" s="82" t="s">
        <v>252</v>
      </c>
      <c r="AC26" s="82" t="s">
        <v>252</v>
      </c>
      <c r="AD26" s="82" t="s">
        <v>254</v>
      </c>
      <c r="AE26" s="82" t="s">
        <v>257</v>
      </c>
      <c r="AF26" s="20">
        <f t="shared" si="8"/>
        <v>1.4</v>
      </c>
      <c r="AG26" s="13">
        <f t="shared" si="1"/>
        <v>0</v>
      </c>
      <c r="AH26" s="7">
        <f t="shared" si="2"/>
        <v>10</v>
      </c>
      <c r="AI26" s="7">
        <f t="shared" si="3"/>
        <v>0</v>
      </c>
      <c r="AJ26" s="7">
        <f t="shared" si="4"/>
        <v>5</v>
      </c>
      <c r="AK26" s="7">
        <f t="shared" si="5"/>
        <v>6</v>
      </c>
      <c r="AL26" s="12">
        <f t="shared" si="9"/>
        <v>21</v>
      </c>
      <c r="AM26" s="14" t="str">
        <f t="shared" si="7"/>
        <v>Barrier</v>
      </c>
      <c r="AN26" s="82"/>
      <c r="AO26" s="84"/>
      <c r="AP26" s="82" t="s">
        <v>350</v>
      </c>
    </row>
    <row r="27" spans="1:42" ht="16">
      <c r="A27" s="87">
        <v>45178</v>
      </c>
      <c r="C27" s="82">
        <v>15600011</v>
      </c>
      <c r="D27" s="82" t="s">
        <v>99</v>
      </c>
      <c r="E27" s="88">
        <v>10</v>
      </c>
      <c r="F27" s="89">
        <v>439543</v>
      </c>
      <c r="G27" s="89">
        <v>5988470</v>
      </c>
      <c r="H27" s="88" t="s">
        <v>166</v>
      </c>
      <c r="I27" s="88" t="s">
        <v>168</v>
      </c>
      <c r="K27" s="88" t="s">
        <v>119</v>
      </c>
      <c r="L27" s="82" t="s">
        <v>243</v>
      </c>
      <c r="M27" s="82" t="s">
        <v>244</v>
      </c>
      <c r="N27" s="84">
        <v>1.7</v>
      </c>
      <c r="O27" s="84">
        <v>14</v>
      </c>
      <c r="P27" s="82" t="s">
        <v>252</v>
      </c>
      <c r="Q27" s="86"/>
      <c r="R27" s="82" t="s">
        <v>252</v>
      </c>
      <c r="S27" s="82" t="s">
        <v>252</v>
      </c>
      <c r="T27" s="86"/>
      <c r="U27" s="84">
        <v>1.5</v>
      </c>
      <c r="V27" s="82">
        <v>0</v>
      </c>
      <c r="W27" s="84">
        <v>2</v>
      </c>
      <c r="X27" s="82" t="s">
        <v>252</v>
      </c>
      <c r="Y27" s="84">
        <v>1</v>
      </c>
      <c r="Z27" s="84">
        <v>1.7</v>
      </c>
      <c r="AA27" s="82">
        <v>1.5</v>
      </c>
      <c r="AB27" s="82" t="s">
        <v>252</v>
      </c>
      <c r="AC27" s="82" t="s">
        <v>252</v>
      </c>
      <c r="AD27" s="82" t="s">
        <v>254</v>
      </c>
      <c r="AE27" s="82" t="s">
        <v>256</v>
      </c>
      <c r="AF27" s="20">
        <f t="shared" si="8"/>
        <v>1</v>
      </c>
      <c r="AG27" s="13">
        <f t="shared" si="1"/>
        <v>0</v>
      </c>
      <c r="AH27" s="7">
        <f t="shared" si="2"/>
        <v>10</v>
      </c>
      <c r="AI27" s="7">
        <f t="shared" si="3"/>
        <v>0</v>
      </c>
      <c r="AJ27" s="7">
        <f t="shared" si="4"/>
        <v>5</v>
      </c>
      <c r="AK27" s="7">
        <f t="shared" si="5"/>
        <v>3</v>
      </c>
      <c r="AL27" s="12">
        <f t="shared" si="9"/>
        <v>18</v>
      </c>
      <c r="AM27" s="14" t="str">
        <f t="shared" si="7"/>
        <v>Potential</v>
      </c>
      <c r="AN27" s="82"/>
      <c r="AO27" s="84"/>
      <c r="AP27" s="82" t="s">
        <v>351</v>
      </c>
    </row>
    <row r="28" spans="1:42" ht="16">
      <c r="A28" s="87">
        <v>45178</v>
      </c>
      <c r="C28" s="82">
        <v>15600572</v>
      </c>
      <c r="D28" s="82" t="s">
        <v>99</v>
      </c>
      <c r="E28" s="88">
        <v>10</v>
      </c>
      <c r="F28" s="89">
        <v>449681</v>
      </c>
      <c r="G28" s="89">
        <v>5990078</v>
      </c>
      <c r="H28" s="88" t="s">
        <v>169</v>
      </c>
      <c r="I28" s="88" t="s">
        <v>170</v>
      </c>
      <c r="J28" s="93"/>
      <c r="K28" s="88" t="s">
        <v>104</v>
      </c>
      <c r="L28" s="82" t="s">
        <v>243</v>
      </c>
      <c r="M28" s="82" t="s">
        <v>244</v>
      </c>
      <c r="N28" s="84">
        <v>3</v>
      </c>
      <c r="O28" s="84">
        <v>16</v>
      </c>
      <c r="P28" s="82" t="s">
        <v>252</v>
      </c>
      <c r="Q28" s="86"/>
      <c r="R28" s="82" t="s">
        <v>252</v>
      </c>
      <c r="S28" s="82" t="s">
        <v>252</v>
      </c>
      <c r="T28" s="86"/>
      <c r="U28" s="84">
        <v>1</v>
      </c>
      <c r="V28" s="82">
        <v>0</v>
      </c>
      <c r="W28" s="84">
        <v>0</v>
      </c>
      <c r="X28" s="82" t="s">
        <v>252</v>
      </c>
      <c r="Y28" s="84">
        <v>1.5</v>
      </c>
      <c r="Z28" s="84">
        <v>3</v>
      </c>
      <c r="AA28" s="82">
        <v>1</v>
      </c>
      <c r="AB28" s="82" t="s">
        <v>252</v>
      </c>
      <c r="AC28" s="82" t="s">
        <v>252</v>
      </c>
      <c r="AD28" s="82" t="s">
        <v>254</v>
      </c>
      <c r="AE28" s="82" t="s">
        <v>257</v>
      </c>
      <c r="AF28" s="20">
        <f t="shared" si="8"/>
        <v>1</v>
      </c>
      <c r="AG28" s="13">
        <f t="shared" si="1"/>
        <v>3</v>
      </c>
      <c r="AH28" s="7">
        <f t="shared" si="2"/>
        <v>10</v>
      </c>
      <c r="AI28" s="7">
        <f t="shared" si="3"/>
        <v>0</v>
      </c>
      <c r="AJ28" s="7">
        <f t="shared" si="4"/>
        <v>5</v>
      </c>
      <c r="AK28" s="7">
        <f t="shared" si="5"/>
        <v>3</v>
      </c>
      <c r="AL28" s="12">
        <f t="shared" si="9"/>
        <v>21</v>
      </c>
      <c r="AM28" s="14" t="str">
        <f t="shared" si="7"/>
        <v>Barrier</v>
      </c>
      <c r="AN28" s="82"/>
      <c r="AO28" s="84"/>
      <c r="AP28" s="82" t="s">
        <v>352</v>
      </c>
    </row>
    <row r="29" spans="1:42" ht="16">
      <c r="A29" s="87">
        <v>45179</v>
      </c>
      <c r="C29" s="82">
        <v>15600483</v>
      </c>
      <c r="D29" s="82" t="s">
        <v>99</v>
      </c>
      <c r="E29" s="88">
        <v>10</v>
      </c>
      <c r="F29" s="89">
        <v>425343</v>
      </c>
      <c r="G29" s="89">
        <v>5991993</v>
      </c>
      <c r="H29" s="88" t="s">
        <v>171</v>
      </c>
      <c r="I29" s="88" t="s">
        <v>172</v>
      </c>
      <c r="K29" s="88" t="s">
        <v>104</v>
      </c>
      <c r="L29" s="82" t="s">
        <v>243</v>
      </c>
      <c r="M29" s="82" t="s">
        <v>248</v>
      </c>
      <c r="N29" s="84">
        <v>3.9</v>
      </c>
      <c r="O29" s="84">
        <v>17</v>
      </c>
      <c r="P29" s="82" t="s">
        <v>252</v>
      </c>
      <c r="Q29" s="86"/>
      <c r="R29" s="82" t="s">
        <v>252</v>
      </c>
      <c r="S29" s="82" t="s">
        <v>252</v>
      </c>
      <c r="T29" s="86"/>
      <c r="U29" s="84">
        <v>2</v>
      </c>
      <c r="V29" s="82">
        <v>0</v>
      </c>
      <c r="W29" s="84">
        <v>0.6</v>
      </c>
      <c r="X29" s="82" t="s">
        <v>252</v>
      </c>
      <c r="Y29" s="84">
        <v>1.5</v>
      </c>
      <c r="Z29" s="84">
        <v>4.7</v>
      </c>
      <c r="AA29" s="82">
        <v>0.5</v>
      </c>
      <c r="AB29" s="82" t="s">
        <v>252</v>
      </c>
      <c r="AC29" s="82" t="s">
        <v>252</v>
      </c>
      <c r="AD29" s="82" t="s">
        <v>254</v>
      </c>
      <c r="AE29" s="82" t="s">
        <v>255</v>
      </c>
      <c r="AF29" s="20">
        <f t="shared" si="8"/>
        <v>1.2051282051282053</v>
      </c>
      <c r="AG29" s="13">
        <f t="shared" si="1"/>
        <v>3</v>
      </c>
      <c r="AH29" s="7">
        <f t="shared" si="2"/>
        <v>10</v>
      </c>
      <c r="AI29" s="7">
        <f t="shared" si="3"/>
        <v>0</v>
      </c>
      <c r="AJ29" s="7">
        <f t="shared" si="4"/>
        <v>5</v>
      </c>
      <c r="AK29" s="7">
        <f t="shared" si="5"/>
        <v>3</v>
      </c>
      <c r="AL29" s="12">
        <f t="shared" si="9"/>
        <v>21</v>
      </c>
      <c r="AM29" s="14" t="str">
        <f t="shared" si="7"/>
        <v>Barrier</v>
      </c>
      <c r="AN29" s="82"/>
      <c r="AO29" s="84"/>
      <c r="AP29" s="82" t="s">
        <v>353</v>
      </c>
    </row>
    <row r="30" spans="1:42" ht="32">
      <c r="A30" s="87">
        <v>45179</v>
      </c>
      <c r="C30" s="82">
        <v>15600493</v>
      </c>
      <c r="D30" s="82" t="s">
        <v>99</v>
      </c>
      <c r="E30" s="88">
        <v>10</v>
      </c>
      <c r="F30" s="89">
        <v>425987</v>
      </c>
      <c r="G30" s="89">
        <v>5997655</v>
      </c>
      <c r="H30" s="88" t="s">
        <v>173</v>
      </c>
      <c r="I30" s="88" t="s">
        <v>175</v>
      </c>
      <c r="K30" s="88" t="s">
        <v>119</v>
      </c>
      <c r="L30" s="82" t="s">
        <v>243</v>
      </c>
      <c r="M30" s="82" t="s">
        <v>244</v>
      </c>
      <c r="N30" s="84">
        <v>0.95</v>
      </c>
      <c r="O30" s="84">
        <v>10</v>
      </c>
      <c r="P30" s="82" t="s">
        <v>252</v>
      </c>
      <c r="Q30" s="86"/>
      <c r="R30" s="82" t="s">
        <v>252</v>
      </c>
      <c r="S30" s="82" t="s">
        <v>252</v>
      </c>
      <c r="T30" s="86"/>
      <c r="U30" s="84">
        <v>1</v>
      </c>
      <c r="V30" s="82">
        <v>0.7</v>
      </c>
      <c r="W30" s="84">
        <v>0.7</v>
      </c>
      <c r="X30" s="82" t="s">
        <v>252</v>
      </c>
      <c r="Y30" s="84">
        <v>1</v>
      </c>
      <c r="Z30" s="84">
        <v>1.1000000000000001</v>
      </c>
      <c r="AA30" s="82">
        <v>4</v>
      </c>
      <c r="AB30" s="82" t="s">
        <v>252</v>
      </c>
      <c r="AC30" s="82" t="s">
        <v>252</v>
      </c>
      <c r="AD30" s="82" t="s">
        <v>254</v>
      </c>
      <c r="AE30" s="82" t="s">
        <v>256</v>
      </c>
      <c r="AF30" s="20">
        <f t="shared" si="8"/>
        <v>1.1578947368421053</v>
      </c>
      <c r="AG30" s="13">
        <f t="shared" si="1"/>
        <v>0</v>
      </c>
      <c r="AH30" s="7">
        <f t="shared" si="2"/>
        <v>10</v>
      </c>
      <c r="AI30" s="7">
        <f t="shared" si="3"/>
        <v>10</v>
      </c>
      <c r="AJ30" s="7">
        <f t="shared" si="4"/>
        <v>5</v>
      </c>
      <c r="AK30" s="7">
        <f t="shared" si="5"/>
        <v>3</v>
      </c>
      <c r="AL30" s="12">
        <f t="shared" si="9"/>
        <v>28</v>
      </c>
      <c r="AM30" s="14" t="str">
        <f t="shared" si="7"/>
        <v>Barrier</v>
      </c>
      <c r="AN30" s="82"/>
      <c r="AO30" s="84"/>
      <c r="AP30" s="82" t="s">
        <v>354</v>
      </c>
    </row>
    <row r="31" spans="1:42" ht="16">
      <c r="A31" s="87">
        <v>45179</v>
      </c>
      <c r="C31" s="82">
        <v>15600520</v>
      </c>
      <c r="D31" s="82" t="s">
        <v>99</v>
      </c>
      <c r="E31" s="88">
        <v>10</v>
      </c>
      <c r="F31" s="89">
        <v>424104</v>
      </c>
      <c r="G31" s="89">
        <v>6000564</v>
      </c>
      <c r="H31" s="88" t="s">
        <v>171</v>
      </c>
      <c r="I31" s="88" t="s">
        <v>177</v>
      </c>
      <c r="K31" s="88" t="s">
        <v>104</v>
      </c>
      <c r="L31" s="82" t="s">
        <v>243</v>
      </c>
      <c r="M31" s="82" t="s">
        <v>244</v>
      </c>
      <c r="N31" s="84">
        <v>1.6</v>
      </c>
      <c r="O31" s="84">
        <v>20</v>
      </c>
      <c r="P31" s="82" t="s">
        <v>252</v>
      </c>
      <c r="Q31" s="86"/>
      <c r="R31" s="82" t="s">
        <v>252</v>
      </c>
      <c r="S31" s="82" t="s">
        <v>252</v>
      </c>
      <c r="T31" s="86"/>
      <c r="U31" s="84">
        <v>2</v>
      </c>
      <c r="V31" s="82">
        <v>0.1</v>
      </c>
      <c r="W31" s="84">
        <v>0.6</v>
      </c>
      <c r="X31" s="82" t="s">
        <v>252</v>
      </c>
      <c r="Y31" s="84">
        <v>0</v>
      </c>
      <c r="Z31" s="84">
        <v>2.2000000000000002</v>
      </c>
      <c r="AA31" s="82">
        <v>0</v>
      </c>
      <c r="AB31" s="82" t="s">
        <v>252</v>
      </c>
      <c r="AC31" s="82" t="s">
        <v>252</v>
      </c>
      <c r="AD31" s="82" t="s">
        <v>254</v>
      </c>
      <c r="AE31" s="82" t="s">
        <v>256</v>
      </c>
      <c r="AF31" s="20">
        <f t="shared" si="8"/>
        <v>1.375</v>
      </c>
      <c r="AG31" s="13">
        <f t="shared" si="1"/>
        <v>3</v>
      </c>
      <c r="AH31" s="7">
        <f t="shared" si="2"/>
        <v>10</v>
      </c>
      <c r="AI31" s="7">
        <f t="shared" si="3"/>
        <v>0</v>
      </c>
      <c r="AJ31" s="7">
        <f t="shared" si="4"/>
        <v>0</v>
      </c>
      <c r="AK31" s="7">
        <f t="shared" si="5"/>
        <v>6</v>
      </c>
      <c r="AL31" s="12">
        <f t="shared" si="9"/>
        <v>19</v>
      </c>
      <c r="AM31" s="14" t="str">
        <f t="shared" si="7"/>
        <v>Potential</v>
      </c>
      <c r="AN31" s="82"/>
      <c r="AO31" s="84"/>
      <c r="AP31" s="82" t="s">
        <v>355</v>
      </c>
    </row>
    <row r="32" spans="1:42" ht="16">
      <c r="A32" s="87">
        <v>45179</v>
      </c>
      <c r="C32" s="82">
        <v>15600119</v>
      </c>
      <c r="D32" s="82" t="s">
        <v>99</v>
      </c>
      <c r="E32" s="88">
        <v>10</v>
      </c>
      <c r="F32" s="89">
        <v>425557</v>
      </c>
      <c r="G32" s="89">
        <v>5996141</v>
      </c>
      <c r="H32" s="88" t="s">
        <v>171</v>
      </c>
      <c r="I32" s="88" t="s">
        <v>177</v>
      </c>
      <c r="K32" s="88" t="s">
        <v>104</v>
      </c>
      <c r="L32" s="82" t="s">
        <v>243</v>
      </c>
      <c r="M32" s="82" t="s">
        <v>244</v>
      </c>
      <c r="N32" s="84">
        <v>1.7</v>
      </c>
      <c r="O32" s="84">
        <v>22</v>
      </c>
      <c r="P32" s="82" t="s">
        <v>252</v>
      </c>
      <c r="Q32" s="86"/>
      <c r="R32" s="82" t="s">
        <v>252</v>
      </c>
      <c r="S32" s="82" t="s">
        <v>252</v>
      </c>
      <c r="T32" s="86"/>
      <c r="U32" s="84">
        <v>2.5</v>
      </c>
      <c r="V32" s="82">
        <v>0.3</v>
      </c>
      <c r="W32" s="84">
        <v>0.4</v>
      </c>
      <c r="X32" s="82" t="s">
        <v>252</v>
      </c>
      <c r="Y32" s="84">
        <v>7</v>
      </c>
      <c r="Z32" s="84">
        <v>2.5</v>
      </c>
      <c r="AA32" s="82">
        <v>5</v>
      </c>
      <c r="AB32" s="82" t="s">
        <v>252</v>
      </c>
      <c r="AC32" s="82" t="s">
        <v>252</v>
      </c>
      <c r="AD32" s="82" t="s">
        <v>254</v>
      </c>
      <c r="AE32" s="82" t="s">
        <v>255</v>
      </c>
      <c r="AF32" s="20">
        <f t="shared" si="8"/>
        <v>1.4705882352941178</v>
      </c>
      <c r="AG32" s="13">
        <f t="shared" si="1"/>
        <v>3</v>
      </c>
      <c r="AH32" s="7">
        <f t="shared" si="2"/>
        <v>10</v>
      </c>
      <c r="AI32" s="7">
        <f t="shared" si="3"/>
        <v>10</v>
      </c>
      <c r="AJ32" s="7">
        <f t="shared" si="4"/>
        <v>10</v>
      </c>
      <c r="AK32" s="7">
        <f t="shared" si="5"/>
        <v>6</v>
      </c>
      <c r="AL32" s="12">
        <f t="shared" si="9"/>
        <v>39</v>
      </c>
      <c r="AM32" s="14" t="str">
        <f t="shared" si="7"/>
        <v>Barrier</v>
      </c>
      <c r="AN32" s="82"/>
      <c r="AO32" s="84"/>
      <c r="AP32" s="82" t="s">
        <v>356</v>
      </c>
    </row>
    <row r="33" spans="1:42" ht="16">
      <c r="A33" s="87">
        <v>45179</v>
      </c>
      <c r="C33" s="82">
        <v>24716705</v>
      </c>
      <c r="D33" s="82" t="s">
        <v>99</v>
      </c>
      <c r="E33" s="88">
        <v>10</v>
      </c>
      <c r="F33" s="89">
        <v>422841</v>
      </c>
      <c r="G33" s="89">
        <v>5993387</v>
      </c>
      <c r="H33" s="88" t="s">
        <v>178</v>
      </c>
      <c r="I33" s="88" t="s">
        <v>172</v>
      </c>
      <c r="K33" s="88" t="s">
        <v>104</v>
      </c>
      <c r="L33" s="82" t="s">
        <v>243</v>
      </c>
      <c r="M33" s="82" t="s">
        <v>244</v>
      </c>
      <c r="N33" s="84">
        <v>1.6</v>
      </c>
      <c r="O33" s="84">
        <v>18</v>
      </c>
      <c r="P33" s="82" t="s">
        <v>252</v>
      </c>
      <c r="Q33" s="86"/>
      <c r="R33" s="82" t="s">
        <v>252</v>
      </c>
      <c r="S33" s="82" t="s">
        <v>252</v>
      </c>
      <c r="T33" s="86"/>
      <c r="U33" s="84">
        <v>2.5</v>
      </c>
      <c r="V33" s="82">
        <v>0</v>
      </c>
      <c r="W33" s="84">
        <v>0.2</v>
      </c>
      <c r="X33" s="82" t="s">
        <v>252</v>
      </c>
      <c r="Y33" s="84">
        <v>1</v>
      </c>
      <c r="Z33" s="84">
        <v>2.2000000000000002</v>
      </c>
      <c r="AA33" s="82">
        <v>1</v>
      </c>
      <c r="AB33" s="82" t="s">
        <v>253</v>
      </c>
      <c r="AC33" s="82" t="s">
        <v>252</v>
      </c>
      <c r="AD33" s="82" t="s">
        <v>254</v>
      </c>
      <c r="AE33" s="82" t="s">
        <v>258</v>
      </c>
      <c r="AF33" s="20">
        <f t="shared" si="8"/>
        <v>1.375</v>
      </c>
      <c r="AG33" s="13">
        <f t="shared" si="1"/>
        <v>3</v>
      </c>
      <c r="AH33" s="7">
        <f t="shared" si="2"/>
        <v>10</v>
      </c>
      <c r="AI33" s="7">
        <f t="shared" si="3"/>
        <v>0</v>
      </c>
      <c r="AJ33" s="7">
        <f t="shared" si="4"/>
        <v>5</v>
      </c>
      <c r="AK33" s="7">
        <f t="shared" si="5"/>
        <v>6</v>
      </c>
      <c r="AL33" s="12">
        <f t="shared" si="9"/>
        <v>24</v>
      </c>
      <c r="AM33" s="14" t="str">
        <f t="shared" si="7"/>
        <v>Barrier</v>
      </c>
      <c r="AN33" s="82"/>
      <c r="AO33" s="84"/>
      <c r="AP33" s="82" t="s">
        <v>357</v>
      </c>
    </row>
    <row r="34" spans="1:42" ht="16">
      <c r="A34" s="87">
        <v>45179</v>
      </c>
      <c r="C34" s="82">
        <v>15600122</v>
      </c>
      <c r="D34" s="82" t="s">
        <v>99</v>
      </c>
      <c r="E34" s="88">
        <v>10</v>
      </c>
      <c r="F34" s="89">
        <v>420920</v>
      </c>
      <c r="G34" s="89">
        <v>5993688</v>
      </c>
      <c r="H34" s="88" t="s">
        <v>179</v>
      </c>
      <c r="I34" s="88" t="s">
        <v>172</v>
      </c>
      <c r="K34" s="88" t="s">
        <v>104</v>
      </c>
      <c r="L34" s="82" t="s">
        <v>243</v>
      </c>
      <c r="M34" s="82" t="s">
        <v>244</v>
      </c>
      <c r="N34" s="84">
        <v>1.5</v>
      </c>
      <c r="O34" s="84">
        <v>30</v>
      </c>
      <c r="P34" s="82" t="s">
        <v>252</v>
      </c>
      <c r="Q34" s="86"/>
      <c r="R34" s="82" t="s">
        <v>252</v>
      </c>
      <c r="S34" s="82" t="s">
        <v>252</v>
      </c>
      <c r="T34" s="86"/>
      <c r="U34" s="84">
        <v>6</v>
      </c>
      <c r="V34" s="82">
        <v>0.5</v>
      </c>
      <c r="W34" s="84">
        <v>1</v>
      </c>
      <c r="X34" s="82" t="s">
        <v>252</v>
      </c>
      <c r="Y34" s="84">
        <v>2.5</v>
      </c>
      <c r="Z34" s="84">
        <v>1.9</v>
      </c>
      <c r="AA34" s="82">
        <v>3</v>
      </c>
      <c r="AB34" s="82" t="s">
        <v>252</v>
      </c>
      <c r="AC34" s="82" t="s">
        <v>252</v>
      </c>
      <c r="AD34" s="82" t="s">
        <v>254</v>
      </c>
      <c r="AE34" s="82" t="s">
        <v>255</v>
      </c>
      <c r="AF34" s="20">
        <f t="shared" si="8"/>
        <v>1.2666666666666666</v>
      </c>
      <c r="AG34" s="13">
        <f t="shared" si="1"/>
        <v>6</v>
      </c>
      <c r="AH34" s="7">
        <f t="shared" si="2"/>
        <v>10</v>
      </c>
      <c r="AI34" s="7">
        <f t="shared" si="3"/>
        <v>10</v>
      </c>
      <c r="AJ34" s="7">
        <f t="shared" si="4"/>
        <v>5</v>
      </c>
      <c r="AK34" s="7">
        <f t="shared" si="5"/>
        <v>3</v>
      </c>
      <c r="AL34" s="12">
        <f t="shared" si="9"/>
        <v>34</v>
      </c>
      <c r="AM34" s="14" t="str">
        <f t="shared" si="7"/>
        <v>Barrier</v>
      </c>
      <c r="AN34" s="82"/>
      <c r="AO34" s="84"/>
      <c r="AP34" s="82" t="s">
        <v>358</v>
      </c>
    </row>
    <row r="35" spans="1:42" ht="16">
      <c r="A35" s="87">
        <v>45179</v>
      </c>
      <c r="C35" s="82">
        <v>15600124</v>
      </c>
      <c r="D35" s="82" t="s">
        <v>99</v>
      </c>
      <c r="E35" s="88">
        <v>10</v>
      </c>
      <c r="F35" s="89">
        <v>419953</v>
      </c>
      <c r="G35" s="89">
        <v>5995257</v>
      </c>
      <c r="H35" s="88" t="s">
        <v>179</v>
      </c>
      <c r="I35" s="88" t="s">
        <v>181</v>
      </c>
      <c r="K35" s="88" t="s">
        <v>119</v>
      </c>
      <c r="L35" s="82" t="s">
        <v>243</v>
      </c>
      <c r="M35" s="82" t="s">
        <v>244</v>
      </c>
      <c r="N35" s="84">
        <v>0.6</v>
      </c>
      <c r="O35" s="84">
        <v>10</v>
      </c>
      <c r="P35" s="82" t="s">
        <v>252</v>
      </c>
      <c r="Q35" s="86"/>
      <c r="R35" s="82" t="s">
        <v>252</v>
      </c>
      <c r="S35" s="82" t="s">
        <v>252</v>
      </c>
      <c r="T35" s="86"/>
      <c r="U35" s="84">
        <v>1</v>
      </c>
      <c r="V35" s="82">
        <v>0.5</v>
      </c>
      <c r="W35" s="84">
        <v>0.3</v>
      </c>
      <c r="X35" s="82" t="s">
        <v>252</v>
      </c>
      <c r="Y35" s="84">
        <v>0</v>
      </c>
      <c r="Z35" s="84">
        <v>0.9</v>
      </c>
      <c r="AA35" s="82">
        <v>1</v>
      </c>
      <c r="AB35" s="82" t="s">
        <v>252</v>
      </c>
      <c r="AC35" s="82" t="s">
        <v>252</v>
      </c>
      <c r="AD35" s="82" t="s">
        <v>254</v>
      </c>
      <c r="AE35" s="82" t="s">
        <v>256</v>
      </c>
      <c r="AF35" s="20">
        <f t="shared" si="8"/>
        <v>1.5</v>
      </c>
      <c r="AG35" s="13">
        <f t="shared" si="1"/>
        <v>0</v>
      </c>
      <c r="AH35" s="7">
        <f t="shared" si="2"/>
        <v>10</v>
      </c>
      <c r="AI35" s="7">
        <f t="shared" si="3"/>
        <v>10</v>
      </c>
      <c r="AJ35" s="7">
        <f t="shared" si="4"/>
        <v>0</v>
      </c>
      <c r="AK35" s="7">
        <f t="shared" si="5"/>
        <v>6</v>
      </c>
      <c r="AL35" s="12">
        <f t="shared" si="9"/>
        <v>26</v>
      </c>
      <c r="AM35" s="14" t="str">
        <f t="shared" si="7"/>
        <v>Barrier</v>
      </c>
      <c r="AN35" s="82"/>
      <c r="AO35" s="84"/>
      <c r="AP35" s="82" t="s">
        <v>359</v>
      </c>
    </row>
    <row r="36" spans="1:42" ht="32">
      <c r="A36" s="87">
        <v>45179</v>
      </c>
      <c r="C36" s="82">
        <v>15600362</v>
      </c>
      <c r="D36" s="82" t="s">
        <v>99</v>
      </c>
      <c r="E36" s="88">
        <v>10</v>
      </c>
      <c r="F36" s="89">
        <v>449050</v>
      </c>
      <c r="G36" s="89">
        <v>5977312</v>
      </c>
      <c r="H36" s="88" t="s">
        <v>184</v>
      </c>
      <c r="I36" s="88" t="s">
        <v>185</v>
      </c>
      <c r="K36" s="88" t="s">
        <v>119</v>
      </c>
      <c r="L36" s="82" t="s">
        <v>243</v>
      </c>
      <c r="M36" s="82" t="s">
        <v>244</v>
      </c>
      <c r="N36" s="84">
        <v>0.8</v>
      </c>
      <c r="O36" s="84">
        <v>9</v>
      </c>
      <c r="P36" s="82" t="s">
        <v>252</v>
      </c>
      <c r="Q36" s="86"/>
      <c r="R36" s="82" t="s">
        <v>252</v>
      </c>
      <c r="S36" s="82" t="s">
        <v>252</v>
      </c>
      <c r="T36" s="86"/>
      <c r="U36" s="84">
        <v>0.5</v>
      </c>
      <c r="V36" s="82">
        <v>0</v>
      </c>
      <c r="W36" s="84">
        <v>0</v>
      </c>
      <c r="X36" s="82" t="s">
        <v>252</v>
      </c>
      <c r="Y36" s="84">
        <v>1</v>
      </c>
      <c r="Z36" s="84">
        <v>0.8</v>
      </c>
      <c r="AA36" s="82">
        <v>1</v>
      </c>
      <c r="AB36" s="82" t="s">
        <v>252</v>
      </c>
      <c r="AC36" s="82" t="s">
        <v>252</v>
      </c>
      <c r="AD36" s="82" t="s">
        <v>254</v>
      </c>
      <c r="AE36" s="82" t="s">
        <v>257</v>
      </c>
      <c r="AF36" s="20">
        <f t="shared" si="8"/>
        <v>1</v>
      </c>
      <c r="AG36" s="13">
        <f t="shared" si="1"/>
        <v>0</v>
      </c>
      <c r="AH36" s="7">
        <f t="shared" si="2"/>
        <v>10</v>
      </c>
      <c r="AI36" s="7">
        <f t="shared" si="3"/>
        <v>0</v>
      </c>
      <c r="AJ36" s="7">
        <f t="shared" si="4"/>
        <v>5</v>
      </c>
      <c r="AK36" s="7">
        <f t="shared" si="5"/>
        <v>3</v>
      </c>
      <c r="AL36" s="12">
        <f t="shared" si="9"/>
        <v>18</v>
      </c>
      <c r="AM36" s="14" t="str">
        <f t="shared" si="7"/>
        <v>Potential</v>
      </c>
      <c r="AN36" s="82"/>
      <c r="AO36" s="84"/>
      <c r="AP36" s="82" t="s">
        <v>360</v>
      </c>
    </row>
    <row r="37" spans="1:42" ht="16">
      <c r="A37" s="87">
        <v>45180</v>
      </c>
      <c r="C37" s="82">
        <v>15600434</v>
      </c>
      <c r="D37" s="82" t="s">
        <v>99</v>
      </c>
      <c r="E37" s="88">
        <v>10</v>
      </c>
      <c r="F37" s="89">
        <v>442800</v>
      </c>
      <c r="G37" s="89">
        <v>5991029</v>
      </c>
      <c r="H37" s="88" t="s">
        <v>186</v>
      </c>
      <c r="I37" s="88" t="s">
        <v>187</v>
      </c>
      <c r="K37" s="88" t="s">
        <v>119</v>
      </c>
      <c r="L37" s="82" t="s">
        <v>243</v>
      </c>
      <c r="M37" s="82" t="s">
        <v>244</v>
      </c>
      <c r="N37" s="84">
        <v>0.9</v>
      </c>
      <c r="O37" s="84">
        <v>10</v>
      </c>
      <c r="P37" s="82" t="s">
        <v>252</v>
      </c>
      <c r="Q37" s="86"/>
      <c r="R37" s="82" t="s">
        <v>252</v>
      </c>
      <c r="S37" s="82" t="s">
        <v>252</v>
      </c>
      <c r="T37" s="86"/>
      <c r="U37" s="84">
        <v>2</v>
      </c>
      <c r="V37" s="82">
        <v>0</v>
      </c>
      <c r="W37" s="84">
        <v>0</v>
      </c>
      <c r="X37" s="82" t="s">
        <v>252</v>
      </c>
      <c r="Y37" s="84">
        <v>1.5</v>
      </c>
      <c r="Z37" s="84">
        <v>1.9</v>
      </c>
      <c r="AA37" s="82">
        <v>2.5</v>
      </c>
      <c r="AB37" s="82" t="s">
        <v>252</v>
      </c>
      <c r="AC37" s="82" t="s">
        <v>252</v>
      </c>
      <c r="AD37" s="82" t="s">
        <v>254</v>
      </c>
      <c r="AE37" s="82" t="s">
        <v>257</v>
      </c>
      <c r="AF37" s="20">
        <f t="shared" si="8"/>
        <v>2.1111111111111112</v>
      </c>
      <c r="AG37" s="13">
        <f t="shared" si="1"/>
        <v>0</v>
      </c>
      <c r="AH37" s="7">
        <f t="shared" si="2"/>
        <v>10</v>
      </c>
      <c r="AI37" s="7">
        <f t="shared" si="3"/>
        <v>0</v>
      </c>
      <c r="AJ37" s="7">
        <f t="shared" si="4"/>
        <v>5</v>
      </c>
      <c r="AK37" s="7">
        <f t="shared" si="5"/>
        <v>6</v>
      </c>
      <c r="AL37" s="12">
        <f t="shared" si="9"/>
        <v>21</v>
      </c>
      <c r="AM37" s="14" t="str">
        <f t="shared" si="7"/>
        <v>Barrier</v>
      </c>
      <c r="AN37" s="82"/>
      <c r="AO37" s="84"/>
      <c r="AP37" s="82" t="s">
        <v>361</v>
      </c>
    </row>
    <row r="38" spans="1:42" ht="16">
      <c r="A38" s="87">
        <v>45180</v>
      </c>
      <c r="C38" s="82">
        <v>15600431</v>
      </c>
      <c r="D38" s="82" t="s">
        <v>99</v>
      </c>
      <c r="E38" s="88">
        <v>10</v>
      </c>
      <c r="F38" s="89">
        <v>441794</v>
      </c>
      <c r="G38" s="89">
        <v>5990161</v>
      </c>
      <c r="H38" s="88" t="s">
        <v>186</v>
      </c>
      <c r="I38" s="88" t="s">
        <v>188</v>
      </c>
      <c r="K38" s="88" t="s">
        <v>104</v>
      </c>
      <c r="L38" s="82" t="s">
        <v>243</v>
      </c>
      <c r="M38" s="82" t="s">
        <v>244</v>
      </c>
      <c r="N38" s="84">
        <v>0.9</v>
      </c>
      <c r="O38" s="84">
        <v>15</v>
      </c>
      <c r="P38" s="82" t="s">
        <v>252</v>
      </c>
      <c r="Q38" s="86"/>
      <c r="R38" s="82" t="s">
        <v>252</v>
      </c>
      <c r="S38" s="82" t="s">
        <v>252</v>
      </c>
      <c r="T38" s="86"/>
      <c r="U38" s="84">
        <v>1</v>
      </c>
      <c r="V38" s="82">
        <v>0.6</v>
      </c>
      <c r="W38" s="84">
        <v>0.2</v>
      </c>
      <c r="X38" s="82" t="s">
        <v>252</v>
      </c>
      <c r="Y38" s="84">
        <v>1</v>
      </c>
      <c r="Z38" s="84">
        <v>1.2</v>
      </c>
      <c r="AA38" s="82">
        <v>1</v>
      </c>
      <c r="AB38" s="82" t="s">
        <v>252</v>
      </c>
      <c r="AC38" s="82" t="s">
        <v>252</v>
      </c>
      <c r="AD38" s="82" t="s">
        <v>254</v>
      </c>
      <c r="AE38" s="82" t="s">
        <v>256</v>
      </c>
      <c r="AF38" s="20">
        <f t="shared" si="8"/>
        <v>1.3333333333333333</v>
      </c>
      <c r="AG38" s="13">
        <f t="shared" si="1"/>
        <v>3</v>
      </c>
      <c r="AH38" s="7">
        <f t="shared" si="2"/>
        <v>10</v>
      </c>
      <c r="AI38" s="7">
        <f t="shared" si="3"/>
        <v>10</v>
      </c>
      <c r="AJ38" s="7">
        <f t="shared" si="4"/>
        <v>5</v>
      </c>
      <c r="AK38" s="7">
        <f t="shared" si="5"/>
        <v>6</v>
      </c>
      <c r="AL38" s="12">
        <f t="shared" si="9"/>
        <v>34</v>
      </c>
      <c r="AM38" s="14" t="str">
        <f t="shared" si="7"/>
        <v>Barrier</v>
      </c>
      <c r="AN38" s="82"/>
      <c r="AO38" s="84"/>
      <c r="AP38" s="82" t="s">
        <v>362</v>
      </c>
    </row>
    <row r="39" spans="1:42" ht="16">
      <c r="A39" s="87">
        <v>45180</v>
      </c>
      <c r="C39" s="82">
        <v>15600311</v>
      </c>
      <c r="D39" s="82" t="s">
        <v>99</v>
      </c>
      <c r="E39" s="88">
        <v>10</v>
      </c>
      <c r="F39" s="89">
        <v>444371</v>
      </c>
      <c r="G39" s="89">
        <v>5989869</v>
      </c>
      <c r="H39" s="88" t="s">
        <v>166</v>
      </c>
      <c r="I39" s="88" t="s">
        <v>189</v>
      </c>
      <c r="K39" s="88" t="s">
        <v>119</v>
      </c>
      <c r="L39" s="82" t="s">
        <v>243</v>
      </c>
      <c r="M39" s="82" t="s">
        <v>244</v>
      </c>
      <c r="N39" s="84">
        <v>3</v>
      </c>
      <c r="O39" s="84">
        <v>14</v>
      </c>
      <c r="P39" s="82" t="s">
        <v>252</v>
      </c>
      <c r="Q39" s="86"/>
      <c r="R39" s="82" t="s">
        <v>252</v>
      </c>
      <c r="S39" s="82" t="s">
        <v>252</v>
      </c>
      <c r="T39" s="86"/>
      <c r="U39" s="84">
        <v>1.5</v>
      </c>
      <c r="V39" s="82">
        <v>0.6</v>
      </c>
      <c r="W39" s="84">
        <v>0</v>
      </c>
      <c r="X39" s="82" t="s">
        <v>252</v>
      </c>
      <c r="Y39" s="84">
        <v>1.5</v>
      </c>
      <c r="Z39" s="84">
        <v>1.3</v>
      </c>
      <c r="AA39" s="82">
        <v>1</v>
      </c>
      <c r="AB39" s="82" t="s">
        <v>252</v>
      </c>
      <c r="AC39" s="82" t="s">
        <v>252</v>
      </c>
      <c r="AD39" s="82" t="s">
        <v>254</v>
      </c>
      <c r="AE39" s="82" t="s">
        <v>256</v>
      </c>
      <c r="AF39" s="20">
        <f t="shared" si="8"/>
        <v>0.43333333333333335</v>
      </c>
      <c r="AG39" s="13">
        <f t="shared" si="1"/>
        <v>0</v>
      </c>
      <c r="AH39" s="7">
        <f t="shared" si="2"/>
        <v>10</v>
      </c>
      <c r="AI39" s="7">
        <f t="shared" si="3"/>
        <v>10</v>
      </c>
      <c r="AJ39" s="7">
        <f t="shared" si="4"/>
        <v>5</v>
      </c>
      <c r="AK39" s="7">
        <f t="shared" si="5"/>
        <v>0</v>
      </c>
      <c r="AL39" s="12">
        <f t="shared" si="9"/>
        <v>25</v>
      </c>
      <c r="AM39" s="14" t="str">
        <f t="shared" si="7"/>
        <v>Barrier</v>
      </c>
      <c r="AN39" s="82"/>
      <c r="AO39" s="84"/>
      <c r="AP39" s="82" t="s">
        <v>363</v>
      </c>
    </row>
    <row r="40" spans="1:42" ht="16">
      <c r="A40" s="87">
        <v>45180</v>
      </c>
      <c r="C40" s="82">
        <v>15600314</v>
      </c>
      <c r="D40" s="82" t="s">
        <v>99</v>
      </c>
      <c r="E40" s="88">
        <v>10</v>
      </c>
      <c r="F40" s="89">
        <v>446488</v>
      </c>
      <c r="G40" s="89">
        <v>5982434</v>
      </c>
      <c r="H40" s="88" t="s">
        <v>190</v>
      </c>
      <c r="I40" s="88" t="s">
        <v>191</v>
      </c>
      <c r="K40" s="88" t="s">
        <v>119</v>
      </c>
      <c r="L40" s="82" t="s">
        <v>243</v>
      </c>
      <c r="M40" s="82" t="s">
        <v>244</v>
      </c>
      <c r="N40" s="84">
        <v>1.45</v>
      </c>
      <c r="O40" s="84">
        <v>18</v>
      </c>
      <c r="P40" s="82" t="s">
        <v>252</v>
      </c>
      <c r="Q40" s="86"/>
      <c r="R40" s="82" t="s">
        <v>252</v>
      </c>
      <c r="S40" s="82" t="s">
        <v>252</v>
      </c>
      <c r="T40" s="86"/>
      <c r="U40" s="84">
        <v>5</v>
      </c>
      <c r="V40" s="82">
        <v>0</v>
      </c>
      <c r="W40" s="84">
        <v>0</v>
      </c>
      <c r="X40" s="82" t="s">
        <v>252</v>
      </c>
      <c r="Y40" s="84">
        <v>0</v>
      </c>
      <c r="Z40" s="84">
        <v>0.7</v>
      </c>
      <c r="AA40" s="82">
        <v>2</v>
      </c>
      <c r="AB40" s="82" t="s">
        <v>252</v>
      </c>
      <c r="AC40" s="82" t="s">
        <v>252</v>
      </c>
      <c r="AD40" s="82" t="s">
        <v>254</v>
      </c>
      <c r="AE40" s="82" t="s">
        <v>257</v>
      </c>
      <c r="AF40" s="20">
        <f t="shared" si="8"/>
        <v>0.48275862068965514</v>
      </c>
      <c r="AG40" s="13">
        <f t="shared" si="1"/>
        <v>3</v>
      </c>
      <c r="AH40" s="7">
        <f t="shared" si="2"/>
        <v>10</v>
      </c>
      <c r="AI40" s="7">
        <f t="shared" si="3"/>
        <v>0</v>
      </c>
      <c r="AJ40" s="7">
        <f t="shared" si="4"/>
        <v>0</v>
      </c>
      <c r="AK40" s="7">
        <f t="shared" si="5"/>
        <v>0</v>
      </c>
      <c r="AL40" s="12">
        <f t="shared" si="9"/>
        <v>13</v>
      </c>
      <c r="AM40" s="14" t="str">
        <f t="shared" si="7"/>
        <v>Passable</v>
      </c>
      <c r="AN40" s="82"/>
      <c r="AO40" s="84"/>
      <c r="AP40" s="82" t="s">
        <v>364</v>
      </c>
    </row>
    <row r="41" spans="1:42" ht="16">
      <c r="A41" s="87">
        <v>45180</v>
      </c>
      <c r="C41" s="82">
        <v>15600305</v>
      </c>
      <c r="D41" s="82" t="s">
        <v>99</v>
      </c>
      <c r="E41" s="88">
        <v>10</v>
      </c>
      <c r="F41" s="89">
        <v>442969</v>
      </c>
      <c r="G41" s="89">
        <v>5985328</v>
      </c>
      <c r="H41" s="88" t="s">
        <v>192</v>
      </c>
      <c r="I41" s="88" t="s">
        <v>191</v>
      </c>
      <c r="K41" s="88" t="s">
        <v>119</v>
      </c>
      <c r="L41" s="82" t="s">
        <v>243</v>
      </c>
      <c r="M41" s="82" t="s">
        <v>244</v>
      </c>
      <c r="N41" s="84">
        <v>1.4</v>
      </c>
      <c r="O41" s="84">
        <v>30</v>
      </c>
      <c r="P41" s="82" t="s">
        <v>252</v>
      </c>
      <c r="Q41" s="86"/>
      <c r="R41" s="82" t="s">
        <v>252</v>
      </c>
      <c r="S41" s="82" t="s">
        <v>252</v>
      </c>
      <c r="T41" s="86"/>
      <c r="U41" s="84">
        <v>4</v>
      </c>
      <c r="V41" s="82">
        <v>0</v>
      </c>
      <c r="W41" s="84">
        <v>0</v>
      </c>
      <c r="X41" s="82" t="s">
        <v>252</v>
      </c>
      <c r="Y41" s="84">
        <v>0.5</v>
      </c>
      <c r="Z41" s="84">
        <v>1</v>
      </c>
      <c r="AA41" s="82">
        <v>1</v>
      </c>
      <c r="AB41" s="82" t="s">
        <v>252</v>
      </c>
      <c r="AC41" s="82" t="s">
        <v>252</v>
      </c>
      <c r="AD41" s="82" t="s">
        <v>254</v>
      </c>
      <c r="AE41" s="82" t="s">
        <v>257</v>
      </c>
      <c r="AF41" s="20">
        <f t="shared" si="8"/>
        <v>0.7142857142857143</v>
      </c>
      <c r="AG41" s="13">
        <f t="shared" si="1"/>
        <v>6</v>
      </c>
      <c r="AH41" s="7">
        <f t="shared" si="2"/>
        <v>10</v>
      </c>
      <c r="AI41" s="7">
        <f t="shared" si="3"/>
        <v>0</v>
      </c>
      <c r="AJ41" s="7">
        <f t="shared" si="4"/>
        <v>0</v>
      </c>
      <c r="AK41" s="7">
        <f t="shared" si="5"/>
        <v>0</v>
      </c>
      <c r="AL41" s="12">
        <f t="shared" si="9"/>
        <v>16</v>
      </c>
      <c r="AM41" s="14" t="str">
        <f t="shared" si="7"/>
        <v>Potential</v>
      </c>
      <c r="AN41" s="82"/>
      <c r="AO41" s="84"/>
      <c r="AP41" s="82" t="s">
        <v>365</v>
      </c>
    </row>
    <row r="42" spans="1:42" ht="16">
      <c r="A42" s="87">
        <v>45180</v>
      </c>
      <c r="C42" s="82">
        <v>15600459</v>
      </c>
      <c r="D42" s="82" t="s">
        <v>99</v>
      </c>
      <c r="E42" s="88">
        <v>10</v>
      </c>
      <c r="F42" s="89">
        <v>433132</v>
      </c>
      <c r="G42" s="89">
        <v>5991214</v>
      </c>
      <c r="H42" s="88" t="s">
        <v>162</v>
      </c>
      <c r="I42" s="88" t="s">
        <v>193</v>
      </c>
      <c r="K42" s="88" t="s">
        <v>119</v>
      </c>
      <c r="L42" s="82" t="s">
        <v>243</v>
      </c>
      <c r="M42" s="82" t="s">
        <v>244</v>
      </c>
      <c r="N42" s="84">
        <v>3.6</v>
      </c>
      <c r="O42" s="84">
        <v>16</v>
      </c>
      <c r="P42" s="82" t="s">
        <v>252</v>
      </c>
      <c r="Q42" s="86"/>
      <c r="R42" s="82" t="s">
        <v>252</v>
      </c>
      <c r="S42" s="82" t="s">
        <v>252</v>
      </c>
      <c r="T42" s="86"/>
      <c r="U42" s="84">
        <v>0.5</v>
      </c>
      <c r="V42" s="82">
        <v>0</v>
      </c>
      <c r="W42" s="84">
        <v>0</v>
      </c>
      <c r="X42" s="82" t="s">
        <v>252</v>
      </c>
      <c r="Y42" s="84">
        <v>1</v>
      </c>
      <c r="Z42" s="84">
        <v>2.6</v>
      </c>
      <c r="AA42" s="82">
        <v>0</v>
      </c>
      <c r="AB42" s="82" t="s">
        <v>252</v>
      </c>
      <c r="AC42" s="82" t="s">
        <v>252</v>
      </c>
      <c r="AD42" s="82" t="s">
        <v>254</v>
      </c>
      <c r="AE42" s="82" t="s">
        <v>257</v>
      </c>
      <c r="AF42" s="20">
        <f t="shared" si="8"/>
        <v>0.72222222222222221</v>
      </c>
      <c r="AG42" s="13">
        <f t="shared" si="1"/>
        <v>3</v>
      </c>
      <c r="AH42" s="7">
        <f t="shared" si="2"/>
        <v>10</v>
      </c>
      <c r="AI42" s="7">
        <f t="shared" si="3"/>
        <v>0</v>
      </c>
      <c r="AJ42" s="7">
        <f t="shared" si="4"/>
        <v>5</v>
      </c>
      <c r="AK42" s="7">
        <f t="shared" si="5"/>
        <v>0</v>
      </c>
      <c r="AL42" s="12">
        <f t="shared" si="9"/>
        <v>18</v>
      </c>
      <c r="AM42" s="14" t="str">
        <f t="shared" si="7"/>
        <v>Potential</v>
      </c>
      <c r="AN42" s="82"/>
      <c r="AO42" s="84"/>
      <c r="AP42" s="82" t="s">
        <v>366</v>
      </c>
    </row>
    <row r="43" spans="1:42" ht="32">
      <c r="A43" s="87">
        <v>45180</v>
      </c>
      <c r="C43" s="82">
        <v>15600182</v>
      </c>
      <c r="D43" s="82" t="s">
        <v>99</v>
      </c>
      <c r="E43" s="88">
        <v>10</v>
      </c>
      <c r="F43" s="89">
        <v>435117</v>
      </c>
      <c r="G43" s="89">
        <v>5987010</v>
      </c>
      <c r="H43" s="88" t="s">
        <v>137</v>
      </c>
      <c r="I43" s="88" t="s">
        <v>191</v>
      </c>
      <c r="K43" s="88" t="s">
        <v>119</v>
      </c>
      <c r="L43" s="82" t="s">
        <v>243</v>
      </c>
      <c r="M43" s="82" t="s">
        <v>244</v>
      </c>
      <c r="N43" s="84">
        <v>1.2</v>
      </c>
      <c r="O43" s="84">
        <v>30</v>
      </c>
      <c r="P43" s="82" t="s">
        <v>252</v>
      </c>
      <c r="Q43" s="86"/>
      <c r="R43" s="82" t="s">
        <v>252</v>
      </c>
      <c r="S43" s="82" t="s">
        <v>252</v>
      </c>
      <c r="T43" s="86"/>
      <c r="U43" s="84">
        <v>9.9</v>
      </c>
      <c r="V43" s="82">
        <v>1.2</v>
      </c>
      <c r="W43" s="84">
        <v>1.6</v>
      </c>
      <c r="X43" s="82" t="s">
        <v>252</v>
      </c>
      <c r="Y43" s="84">
        <v>1</v>
      </c>
      <c r="Z43" s="84">
        <v>1.3</v>
      </c>
      <c r="AA43" s="82">
        <v>3</v>
      </c>
      <c r="AB43" s="82" t="s">
        <v>252</v>
      </c>
      <c r="AC43" s="82" t="s">
        <v>252</v>
      </c>
      <c r="AD43" s="82" t="s">
        <v>254</v>
      </c>
      <c r="AE43" s="82" t="s">
        <v>256</v>
      </c>
      <c r="AF43" s="20">
        <f t="shared" si="8"/>
        <v>1.0833333333333335</v>
      </c>
      <c r="AG43" s="13">
        <f t="shared" si="1"/>
        <v>6</v>
      </c>
      <c r="AH43" s="7">
        <f t="shared" si="2"/>
        <v>10</v>
      </c>
      <c r="AI43" s="7">
        <f t="shared" si="3"/>
        <v>10</v>
      </c>
      <c r="AJ43" s="7">
        <f t="shared" si="4"/>
        <v>5</v>
      </c>
      <c r="AK43" s="7">
        <f t="shared" si="5"/>
        <v>3</v>
      </c>
      <c r="AL43" s="12">
        <f t="shared" si="9"/>
        <v>34</v>
      </c>
      <c r="AM43" s="14" t="str">
        <f t="shared" si="7"/>
        <v>Barrier</v>
      </c>
      <c r="AN43" s="82"/>
      <c r="AO43" s="84"/>
      <c r="AP43" s="82" t="s">
        <v>367</v>
      </c>
    </row>
    <row r="44" spans="1:42" ht="32">
      <c r="A44" s="87">
        <v>45180</v>
      </c>
      <c r="C44" s="82">
        <v>15600490</v>
      </c>
      <c r="D44" s="82" t="s">
        <v>99</v>
      </c>
      <c r="E44" s="88">
        <v>10</v>
      </c>
      <c r="F44" s="89">
        <v>426233</v>
      </c>
      <c r="G44" s="89">
        <v>5995486</v>
      </c>
      <c r="H44" s="88" t="s">
        <v>173</v>
      </c>
      <c r="I44" s="88" t="s">
        <v>177</v>
      </c>
      <c r="K44" s="88" t="s">
        <v>104</v>
      </c>
      <c r="L44" s="82" t="s">
        <v>243</v>
      </c>
      <c r="M44" s="82" t="s">
        <v>244</v>
      </c>
      <c r="N44" s="84">
        <v>0.9</v>
      </c>
      <c r="O44" s="84">
        <v>20</v>
      </c>
      <c r="P44" s="82" t="s">
        <v>252</v>
      </c>
      <c r="Q44" s="86"/>
      <c r="R44" s="82" t="s">
        <v>252</v>
      </c>
      <c r="S44" s="82" t="s">
        <v>252</v>
      </c>
      <c r="T44" s="86"/>
      <c r="U44" s="84">
        <v>3</v>
      </c>
      <c r="V44" s="82">
        <v>0.9</v>
      </c>
      <c r="W44" s="84">
        <v>0.5</v>
      </c>
      <c r="X44" s="82" t="s">
        <v>252</v>
      </c>
      <c r="Y44" s="84">
        <v>4</v>
      </c>
      <c r="Z44" s="84">
        <v>1.1000000000000001</v>
      </c>
      <c r="AA44" s="82">
        <v>3</v>
      </c>
      <c r="AB44" s="82" t="s">
        <v>252</v>
      </c>
      <c r="AC44" s="82" t="s">
        <v>252</v>
      </c>
      <c r="AD44" s="82" t="s">
        <v>254</v>
      </c>
      <c r="AE44" s="82" t="s">
        <v>256</v>
      </c>
      <c r="AF44" s="20">
        <f t="shared" si="8"/>
        <v>1.2222222222222223</v>
      </c>
      <c r="AG44" s="13">
        <f t="shared" si="1"/>
        <v>3</v>
      </c>
      <c r="AH44" s="7">
        <f t="shared" si="2"/>
        <v>10</v>
      </c>
      <c r="AI44" s="7">
        <f t="shared" si="3"/>
        <v>10</v>
      </c>
      <c r="AJ44" s="7">
        <f t="shared" si="4"/>
        <v>10</v>
      </c>
      <c r="AK44" s="7">
        <f t="shared" si="5"/>
        <v>3</v>
      </c>
      <c r="AL44" s="12">
        <f t="shared" si="9"/>
        <v>36</v>
      </c>
      <c r="AM44" s="14" t="str">
        <f t="shared" si="7"/>
        <v>Barrier</v>
      </c>
      <c r="AN44" s="82"/>
      <c r="AO44" s="84"/>
      <c r="AP44" s="82" t="s">
        <v>368</v>
      </c>
    </row>
    <row r="45" spans="1:42" ht="32">
      <c r="A45" s="87">
        <v>45180</v>
      </c>
      <c r="C45" s="82">
        <v>15603729</v>
      </c>
      <c r="D45" s="82" t="s">
        <v>99</v>
      </c>
      <c r="E45" s="88">
        <v>10</v>
      </c>
      <c r="F45" s="89">
        <v>403775</v>
      </c>
      <c r="G45" s="89">
        <v>6000768</v>
      </c>
      <c r="H45" s="88" t="s">
        <v>198</v>
      </c>
      <c r="I45" s="88" t="s">
        <v>199</v>
      </c>
      <c r="J45" s="22">
        <v>3.5</v>
      </c>
      <c r="K45" s="88" t="s">
        <v>200</v>
      </c>
      <c r="L45" s="82" t="s">
        <v>243</v>
      </c>
      <c r="M45" s="82" t="s">
        <v>244</v>
      </c>
      <c r="N45" s="84">
        <v>2.6</v>
      </c>
      <c r="O45" s="84">
        <v>12</v>
      </c>
      <c r="P45" s="82" t="s">
        <v>252</v>
      </c>
      <c r="Q45" s="86"/>
      <c r="R45" s="82" t="s">
        <v>252</v>
      </c>
      <c r="S45" s="82" t="s">
        <v>252</v>
      </c>
      <c r="T45" s="86"/>
      <c r="U45" s="84">
        <v>0.5</v>
      </c>
      <c r="V45" s="82">
        <v>0</v>
      </c>
      <c r="W45" s="84">
        <v>0.5</v>
      </c>
      <c r="X45" s="82" t="s">
        <v>252</v>
      </c>
      <c r="Y45" s="84">
        <v>1</v>
      </c>
      <c r="Z45" s="84">
        <v>2.4</v>
      </c>
      <c r="AA45" s="82">
        <v>1</v>
      </c>
      <c r="AB45" s="82" t="s">
        <v>252</v>
      </c>
      <c r="AC45" s="82" t="s">
        <v>252</v>
      </c>
      <c r="AD45" s="82" t="s">
        <v>254</v>
      </c>
      <c r="AE45" s="82" t="s">
        <v>255</v>
      </c>
      <c r="AF45" s="20">
        <f t="shared" si="8"/>
        <v>0.92307692307692302</v>
      </c>
      <c r="AG45" s="13">
        <f t="shared" si="1"/>
        <v>0</v>
      </c>
      <c r="AH45" s="7">
        <f t="shared" si="2"/>
        <v>10</v>
      </c>
      <c r="AI45" s="7">
        <f t="shared" si="3"/>
        <v>0</v>
      </c>
      <c r="AJ45" s="7">
        <f t="shared" si="4"/>
        <v>5</v>
      </c>
      <c r="AK45" s="7">
        <f t="shared" si="5"/>
        <v>0</v>
      </c>
      <c r="AL45" s="12">
        <f t="shared" si="9"/>
        <v>15</v>
      </c>
      <c r="AM45" s="14" t="str">
        <f t="shared" si="7"/>
        <v>Potential</v>
      </c>
      <c r="AN45" s="82"/>
      <c r="AO45" s="84"/>
      <c r="AP45" s="82" t="s">
        <v>369</v>
      </c>
    </row>
    <row r="46" spans="1:42" ht="16">
      <c r="A46" s="87">
        <v>45180</v>
      </c>
      <c r="C46" s="82">
        <v>15600285</v>
      </c>
      <c r="D46" s="82" t="s">
        <v>99</v>
      </c>
      <c r="E46" s="88">
        <v>10</v>
      </c>
      <c r="F46" s="89">
        <v>403897</v>
      </c>
      <c r="G46" s="89">
        <v>5998780</v>
      </c>
      <c r="H46" s="88" t="s">
        <v>198</v>
      </c>
      <c r="I46" s="88" t="s">
        <v>201</v>
      </c>
      <c r="K46" s="88" t="s">
        <v>119</v>
      </c>
      <c r="L46" s="82" t="s">
        <v>243</v>
      </c>
      <c r="M46" s="82" t="s">
        <v>244</v>
      </c>
      <c r="N46" s="84">
        <v>3</v>
      </c>
      <c r="O46" s="84">
        <v>9</v>
      </c>
      <c r="P46" s="82" t="s">
        <v>252</v>
      </c>
      <c r="Q46" s="86"/>
      <c r="R46" s="82" t="s">
        <v>252</v>
      </c>
      <c r="S46" s="82" t="s">
        <v>252</v>
      </c>
      <c r="T46" s="86"/>
      <c r="U46" s="84">
        <v>0.5</v>
      </c>
      <c r="V46" s="82">
        <v>0.5</v>
      </c>
      <c r="W46" s="84">
        <v>2</v>
      </c>
      <c r="X46" s="82" t="s">
        <v>252</v>
      </c>
      <c r="Y46" s="84">
        <v>1</v>
      </c>
      <c r="Z46" s="84">
        <v>3</v>
      </c>
      <c r="AA46" s="82">
        <v>2</v>
      </c>
      <c r="AB46" s="82" t="s">
        <v>253</v>
      </c>
      <c r="AC46" s="82" t="s">
        <v>252</v>
      </c>
      <c r="AD46" s="82" t="s">
        <v>254</v>
      </c>
      <c r="AE46" s="82" t="s">
        <v>256</v>
      </c>
      <c r="AF46" s="20">
        <f t="shared" si="8"/>
        <v>1</v>
      </c>
      <c r="AG46" s="13">
        <f t="shared" si="1"/>
        <v>0</v>
      </c>
      <c r="AH46" s="7">
        <f t="shared" si="2"/>
        <v>10</v>
      </c>
      <c r="AI46" s="7">
        <f t="shared" si="3"/>
        <v>10</v>
      </c>
      <c r="AJ46" s="7">
        <f t="shared" si="4"/>
        <v>5</v>
      </c>
      <c r="AK46" s="7">
        <f t="shared" si="5"/>
        <v>3</v>
      </c>
      <c r="AL46" s="12">
        <f t="shared" si="9"/>
        <v>28</v>
      </c>
      <c r="AM46" s="14" t="str">
        <f t="shared" si="7"/>
        <v>Barrier</v>
      </c>
      <c r="AN46" s="82"/>
      <c r="AO46" s="84"/>
      <c r="AP46" s="82" t="s">
        <v>370</v>
      </c>
    </row>
    <row r="47" spans="1:42" ht="16">
      <c r="A47" s="87">
        <v>45181</v>
      </c>
      <c r="C47" s="82">
        <v>15600427</v>
      </c>
      <c r="D47" s="82" t="s">
        <v>99</v>
      </c>
      <c r="E47" s="88">
        <v>10</v>
      </c>
      <c r="F47" s="89">
        <v>424186</v>
      </c>
      <c r="G47" s="89">
        <v>5985604</v>
      </c>
      <c r="H47" s="88" t="s">
        <v>202</v>
      </c>
      <c r="I47" s="88" t="s">
        <v>103</v>
      </c>
      <c r="K47" s="88" t="s">
        <v>104</v>
      </c>
      <c r="L47" s="82" t="s">
        <v>243</v>
      </c>
      <c r="M47" s="82" t="s">
        <v>244</v>
      </c>
      <c r="N47" s="84">
        <v>2</v>
      </c>
      <c r="O47" s="84">
        <v>26</v>
      </c>
      <c r="P47" s="82" t="s">
        <v>252</v>
      </c>
      <c r="Q47" s="86"/>
      <c r="R47" s="82" t="s">
        <v>252</v>
      </c>
      <c r="S47" s="82" t="s">
        <v>252</v>
      </c>
      <c r="T47" s="86"/>
      <c r="U47" s="84">
        <v>1</v>
      </c>
      <c r="V47" s="82">
        <v>0</v>
      </c>
      <c r="W47" s="84">
        <v>0.4</v>
      </c>
      <c r="X47" s="82" t="s">
        <v>252</v>
      </c>
      <c r="Y47" s="84">
        <v>2</v>
      </c>
      <c r="Z47" s="84">
        <v>3.1</v>
      </c>
      <c r="AA47" s="82">
        <v>0.5</v>
      </c>
      <c r="AB47" s="82" t="s">
        <v>252</v>
      </c>
      <c r="AC47" s="82" t="s">
        <v>252</v>
      </c>
      <c r="AD47" s="82" t="s">
        <v>254</v>
      </c>
      <c r="AE47" s="82" t="s">
        <v>256</v>
      </c>
      <c r="AF47" s="20">
        <f t="shared" si="8"/>
        <v>1.55</v>
      </c>
      <c r="AG47" s="13">
        <f t="shared" si="1"/>
        <v>3</v>
      </c>
      <c r="AH47" s="7">
        <f t="shared" si="2"/>
        <v>10</v>
      </c>
      <c r="AI47" s="7">
        <f t="shared" si="3"/>
        <v>0</v>
      </c>
      <c r="AJ47" s="7">
        <f t="shared" si="4"/>
        <v>5</v>
      </c>
      <c r="AK47" s="7">
        <f t="shared" si="5"/>
        <v>6</v>
      </c>
      <c r="AL47" s="12">
        <f t="shared" si="9"/>
        <v>24</v>
      </c>
      <c r="AM47" s="14" t="str">
        <f t="shared" si="7"/>
        <v>Barrier</v>
      </c>
      <c r="AN47" s="82"/>
      <c r="AO47" s="84"/>
      <c r="AP47" s="82" t="s">
        <v>371</v>
      </c>
    </row>
    <row r="48" spans="1:42" ht="16">
      <c r="A48" s="87">
        <v>45181</v>
      </c>
      <c r="C48" s="82">
        <v>15600478</v>
      </c>
      <c r="D48" s="82" t="s">
        <v>99</v>
      </c>
      <c r="E48" s="88">
        <v>10</v>
      </c>
      <c r="F48" s="89">
        <v>418610</v>
      </c>
      <c r="G48" s="89">
        <v>5987801</v>
      </c>
      <c r="H48" s="88" t="s">
        <v>203</v>
      </c>
      <c r="I48" s="88" t="s">
        <v>204</v>
      </c>
      <c r="K48" s="88" t="s">
        <v>119</v>
      </c>
      <c r="L48" s="82" t="s">
        <v>243</v>
      </c>
      <c r="M48" s="82" t="s">
        <v>244</v>
      </c>
      <c r="N48" s="84">
        <v>0.9</v>
      </c>
      <c r="O48" s="84">
        <v>10</v>
      </c>
      <c r="P48" s="82" t="s">
        <v>252</v>
      </c>
      <c r="Q48" s="86"/>
      <c r="R48" s="82" t="s">
        <v>252</v>
      </c>
      <c r="S48" s="82" t="s">
        <v>252</v>
      </c>
      <c r="T48" s="86"/>
      <c r="U48" s="84">
        <v>0.5</v>
      </c>
      <c r="V48" s="82">
        <v>0</v>
      </c>
      <c r="W48" s="84">
        <v>0</v>
      </c>
      <c r="X48" s="82" t="s">
        <v>252</v>
      </c>
      <c r="Y48" s="84">
        <v>1</v>
      </c>
      <c r="Z48" s="84">
        <v>0.9</v>
      </c>
      <c r="AA48" s="82">
        <v>0</v>
      </c>
      <c r="AB48" s="82" t="s">
        <v>252</v>
      </c>
      <c r="AC48" s="82" t="s">
        <v>252</v>
      </c>
      <c r="AD48" s="82" t="s">
        <v>254</v>
      </c>
      <c r="AE48" s="82" t="s">
        <v>256</v>
      </c>
      <c r="AF48" s="20">
        <f t="shared" si="8"/>
        <v>1</v>
      </c>
      <c r="AG48" s="13">
        <f t="shared" si="1"/>
        <v>0</v>
      </c>
      <c r="AH48" s="7">
        <f t="shared" si="2"/>
        <v>10</v>
      </c>
      <c r="AI48" s="7">
        <f t="shared" si="3"/>
        <v>0</v>
      </c>
      <c r="AJ48" s="7">
        <f t="shared" si="4"/>
        <v>5</v>
      </c>
      <c r="AK48" s="7">
        <f t="shared" si="5"/>
        <v>3</v>
      </c>
      <c r="AL48" s="12">
        <f t="shared" si="9"/>
        <v>18</v>
      </c>
      <c r="AM48" s="14" t="str">
        <f t="shared" si="7"/>
        <v>Potential</v>
      </c>
      <c r="AN48" s="82"/>
      <c r="AO48" s="84"/>
      <c r="AP48" s="82" t="s">
        <v>372</v>
      </c>
    </row>
    <row r="49" spans="1:42" ht="16">
      <c r="A49" s="87">
        <v>45197</v>
      </c>
      <c r="C49" s="82">
        <v>5400450</v>
      </c>
      <c r="D49" s="82" t="s">
        <v>99</v>
      </c>
      <c r="E49" s="88">
        <v>9</v>
      </c>
      <c r="F49" s="89">
        <v>693922</v>
      </c>
      <c r="G49" s="89">
        <v>6032097</v>
      </c>
      <c r="H49" s="88" t="s">
        <v>102</v>
      </c>
      <c r="I49" s="88" t="s">
        <v>103</v>
      </c>
      <c r="K49" s="88" t="s">
        <v>104</v>
      </c>
      <c r="L49" s="82" t="s">
        <v>243</v>
      </c>
      <c r="M49" s="82" t="s">
        <v>244</v>
      </c>
      <c r="N49" s="84">
        <v>2.5</v>
      </c>
      <c r="O49" s="84">
        <v>32</v>
      </c>
      <c r="P49" s="82" t="s">
        <v>252</v>
      </c>
      <c r="Q49" s="86"/>
      <c r="R49" s="82" t="s">
        <v>252</v>
      </c>
      <c r="S49" s="82" t="s">
        <v>252</v>
      </c>
      <c r="T49" s="86"/>
      <c r="U49" s="84">
        <v>2</v>
      </c>
      <c r="V49" s="82">
        <v>1</v>
      </c>
      <c r="W49" s="84">
        <v>0.9</v>
      </c>
      <c r="X49" s="82" t="s">
        <v>252</v>
      </c>
      <c r="Y49" s="84">
        <v>0</v>
      </c>
      <c r="Z49" s="84">
        <v>3.1</v>
      </c>
      <c r="AA49" s="82">
        <v>2</v>
      </c>
      <c r="AB49" s="82" t="s">
        <v>252</v>
      </c>
      <c r="AC49" s="82" t="s">
        <v>252</v>
      </c>
      <c r="AD49" s="82" t="s">
        <v>254</v>
      </c>
      <c r="AE49" s="82" t="s">
        <v>255</v>
      </c>
      <c r="AF49" s="20">
        <f t="shared" si="8"/>
        <v>1.24</v>
      </c>
      <c r="AG49" s="13">
        <f t="shared" si="1"/>
        <v>6</v>
      </c>
      <c r="AH49" s="7">
        <f t="shared" si="2"/>
        <v>10</v>
      </c>
      <c r="AI49" s="7">
        <f t="shared" si="3"/>
        <v>10</v>
      </c>
      <c r="AJ49" s="7">
        <f t="shared" si="4"/>
        <v>0</v>
      </c>
      <c r="AK49" s="7">
        <f t="shared" si="5"/>
        <v>3</v>
      </c>
      <c r="AL49" s="12">
        <f t="shared" si="9"/>
        <v>29</v>
      </c>
      <c r="AM49" s="14" t="str">
        <f t="shared" si="7"/>
        <v>Barrier</v>
      </c>
      <c r="AN49" s="82"/>
      <c r="AO49" s="84"/>
      <c r="AP49" s="82" t="s">
        <v>373</v>
      </c>
    </row>
    <row r="50" spans="1:42" ht="16">
      <c r="A50" s="87">
        <v>45197</v>
      </c>
      <c r="C50" s="82">
        <v>5400445</v>
      </c>
      <c r="D50" s="82" t="s">
        <v>99</v>
      </c>
      <c r="E50" s="88">
        <v>10</v>
      </c>
      <c r="F50" s="89">
        <v>309133</v>
      </c>
      <c r="G50" s="89">
        <v>6028926</v>
      </c>
      <c r="H50" s="88" t="s">
        <v>206</v>
      </c>
      <c r="I50" s="88" t="s">
        <v>103</v>
      </c>
      <c r="K50" s="88" t="s">
        <v>104</v>
      </c>
      <c r="L50" s="82" t="s">
        <v>243</v>
      </c>
      <c r="M50" s="82" t="s">
        <v>248</v>
      </c>
      <c r="N50" s="84">
        <v>2.6</v>
      </c>
      <c r="O50" s="84">
        <v>16</v>
      </c>
      <c r="P50" s="82" t="s">
        <v>252</v>
      </c>
      <c r="Q50" s="86"/>
      <c r="R50" s="82" t="s">
        <v>252</v>
      </c>
      <c r="S50" s="82" t="s">
        <v>252</v>
      </c>
      <c r="T50" s="86"/>
      <c r="U50" s="84">
        <v>0.4</v>
      </c>
      <c r="V50" s="82">
        <v>0</v>
      </c>
      <c r="W50" s="84">
        <v>0</v>
      </c>
      <c r="X50" s="82" t="s">
        <v>252</v>
      </c>
      <c r="Y50" s="84">
        <v>3</v>
      </c>
      <c r="Z50" s="84">
        <v>3.4</v>
      </c>
      <c r="AA50" s="82">
        <v>1</v>
      </c>
      <c r="AB50" s="82" t="s">
        <v>252</v>
      </c>
      <c r="AC50" s="82" t="s">
        <v>252</v>
      </c>
      <c r="AD50" s="82" t="s">
        <v>254</v>
      </c>
      <c r="AE50" s="82" t="s">
        <v>256</v>
      </c>
      <c r="AF50" s="20">
        <f t="shared" si="8"/>
        <v>1.3076923076923077</v>
      </c>
      <c r="AG50" s="13">
        <f t="shared" si="1"/>
        <v>3</v>
      </c>
      <c r="AH50" s="7">
        <f t="shared" si="2"/>
        <v>10</v>
      </c>
      <c r="AI50" s="7">
        <f t="shared" si="3"/>
        <v>0</v>
      </c>
      <c r="AJ50" s="7">
        <f t="shared" si="4"/>
        <v>10</v>
      </c>
      <c r="AK50" s="7">
        <f t="shared" si="5"/>
        <v>6</v>
      </c>
      <c r="AL50" s="12">
        <f t="shared" si="9"/>
        <v>29</v>
      </c>
      <c r="AM50" s="14" t="str">
        <f t="shared" si="7"/>
        <v>Barrier</v>
      </c>
      <c r="AN50" s="82"/>
      <c r="AO50" s="84"/>
      <c r="AP50" s="82" t="s">
        <v>374</v>
      </c>
    </row>
    <row r="51" spans="1:42" ht="16">
      <c r="A51" s="87">
        <v>45197</v>
      </c>
      <c r="C51" s="82">
        <v>5400440</v>
      </c>
      <c r="D51" s="82" t="s">
        <v>99</v>
      </c>
      <c r="E51" s="88">
        <v>10</v>
      </c>
      <c r="F51" s="89">
        <v>313583</v>
      </c>
      <c r="G51" s="89">
        <v>6022421</v>
      </c>
      <c r="H51" s="88" t="s">
        <v>207</v>
      </c>
      <c r="I51" s="88" t="s">
        <v>103</v>
      </c>
      <c r="K51" s="88" t="s">
        <v>104</v>
      </c>
      <c r="L51" s="82" t="s">
        <v>243</v>
      </c>
      <c r="M51" s="82" t="s">
        <v>248</v>
      </c>
      <c r="N51" s="84">
        <v>2.2999999999999998</v>
      </c>
      <c r="O51" s="84">
        <v>20</v>
      </c>
      <c r="P51" s="82" t="s">
        <v>252</v>
      </c>
      <c r="Q51" s="86"/>
      <c r="R51" s="82" t="s">
        <v>252</v>
      </c>
      <c r="S51" s="82" t="s">
        <v>252</v>
      </c>
      <c r="T51" s="86"/>
      <c r="U51" s="84">
        <v>1</v>
      </c>
      <c r="V51" s="82">
        <v>0.2</v>
      </c>
      <c r="W51" s="84">
        <v>0</v>
      </c>
      <c r="X51" s="82" t="s">
        <v>253</v>
      </c>
      <c r="Y51" s="84">
        <v>5</v>
      </c>
      <c r="Z51" s="84">
        <v>3.5</v>
      </c>
      <c r="AA51" s="82">
        <v>4</v>
      </c>
      <c r="AB51" s="82" t="s">
        <v>252</v>
      </c>
      <c r="AC51" s="82" t="s">
        <v>252</v>
      </c>
      <c r="AD51" s="82" t="s">
        <v>254</v>
      </c>
      <c r="AE51" s="82" t="s">
        <v>256</v>
      </c>
      <c r="AF51" s="20">
        <f t="shared" si="8"/>
        <v>1.5217391304347827</v>
      </c>
      <c r="AG51" s="13">
        <f t="shared" si="1"/>
        <v>3</v>
      </c>
      <c r="AH51" s="7">
        <f t="shared" si="2"/>
        <v>10</v>
      </c>
      <c r="AI51" s="7">
        <f t="shared" si="3"/>
        <v>5</v>
      </c>
      <c r="AJ51" s="7">
        <f t="shared" si="4"/>
        <v>10</v>
      </c>
      <c r="AK51" s="7">
        <f t="shared" si="5"/>
        <v>6</v>
      </c>
      <c r="AL51" s="12">
        <f t="shared" si="9"/>
        <v>34</v>
      </c>
      <c r="AM51" s="14" t="str">
        <f t="shared" si="7"/>
        <v>Barrier</v>
      </c>
      <c r="AN51" s="82"/>
      <c r="AO51" s="84"/>
      <c r="AP51" s="82" t="s">
        <v>375</v>
      </c>
    </row>
    <row r="52" spans="1:42" ht="16">
      <c r="A52" s="87">
        <v>45197</v>
      </c>
      <c r="C52" s="82">
        <v>5406295</v>
      </c>
      <c r="D52" s="82" t="s">
        <v>99</v>
      </c>
      <c r="E52" s="88">
        <v>10</v>
      </c>
      <c r="F52" s="89">
        <v>313514</v>
      </c>
      <c r="G52" s="89">
        <v>6022401</v>
      </c>
      <c r="H52" s="88" t="s">
        <v>207</v>
      </c>
      <c r="I52" s="88" t="s">
        <v>195</v>
      </c>
      <c r="K52" s="88" t="s">
        <v>196</v>
      </c>
      <c r="L52" s="82" t="s">
        <v>243</v>
      </c>
      <c r="M52" s="82" t="s">
        <v>244</v>
      </c>
      <c r="N52" s="84">
        <v>2.2000000000000002</v>
      </c>
      <c r="O52" s="84">
        <v>12</v>
      </c>
      <c r="P52" s="82" t="s">
        <v>252</v>
      </c>
      <c r="Q52" s="86"/>
      <c r="R52" s="82" t="s">
        <v>252</v>
      </c>
      <c r="S52" s="82" t="s">
        <v>252</v>
      </c>
      <c r="T52" s="86"/>
      <c r="U52" s="84">
        <v>1.2</v>
      </c>
      <c r="V52" s="82">
        <v>0.5</v>
      </c>
      <c r="W52" s="84">
        <v>0</v>
      </c>
      <c r="X52" s="82" t="s">
        <v>252</v>
      </c>
      <c r="Y52" s="84">
        <v>5</v>
      </c>
      <c r="Z52" s="84">
        <v>4.0999999999999996</v>
      </c>
      <c r="AA52" s="82">
        <v>2</v>
      </c>
      <c r="AB52" s="82" t="s">
        <v>252</v>
      </c>
      <c r="AC52" s="82" t="s">
        <v>252</v>
      </c>
      <c r="AD52" s="82" t="s">
        <v>254</v>
      </c>
      <c r="AE52" s="82" t="s">
        <v>256</v>
      </c>
      <c r="AF52" s="20">
        <f t="shared" si="8"/>
        <v>1.8636363636363633</v>
      </c>
      <c r="AG52" s="13">
        <f t="shared" si="1"/>
        <v>0</v>
      </c>
      <c r="AH52" s="7">
        <f t="shared" si="2"/>
        <v>10</v>
      </c>
      <c r="AI52" s="7">
        <f t="shared" si="3"/>
        <v>10</v>
      </c>
      <c r="AJ52" s="7">
        <f t="shared" si="4"/>
        <v>10</v>
      </c>
      <c r="AK52" s="7">
        <f t="shared" si="5"/>
        <v>6</v>
      </c>
      <c r="AL52" s="12">
        <f t="shared" si="9"/>
        <v>36</v>
      </c>
      <c r="AM52" s="14" t="str">
        <f t="shared" si="7"/>
        <v>Barrier</v>
      </c>
      <c r="AN52" s="82"/>
      <c r="AO52" s="84"/>
      <c r="AP52" s="82" t="s">
        <v>376</v>
      </c>
    </row>
    <row r="53" spans="1:42" ht="16">
      <c r="A53" s="87">
        <v>45197</v>
      </c>
      <c r="C53" s="82">
        <v>5400044</v>
      </c>
      <c r="D53" s="82" t="s">
        <v>99</v>
      </c>
      <c r="E53" s="88">
        <v>10</v>
      </c>
      <c r="F53" s="89">
        <v>316235</v>
      </c>
      <c r="G53" s="89">
        <v>6018694</v>
      </c>
      <c r="H53" s="88" t="s">
        <v>208</v>
      </c>
      <c r="I53" s="88" t="s">
        <v>103</v>
      </c>
      <c r="K53" s="88" t="s">
        <v>104</v>
      </c>
      <c r="L53" s="82" t="s">
        <v>243</v>
      </c>
      <c r="M53" s="82" t="s">
        <v>244</v>
      </c>
      <c r="N53" s="84">
        <v>2.6</v>
      </c>
      <c r="O53" s="84">
        <v>32</v>
      </c>
      <c r="P53" s="82" t="s">
        <v>252</v>
      </c>
      <c r="Q53" s="86"/>
      <c r="R53" s="82" t="s">
        <v>252</v>
      </c>
      <c r="S53" s="82" t="s">
        <v>252</v>
      </c>
      <c r="T53" s="86"/>
      <c r="U53" s="84">
        <v>1.3</v>
      </c>
      <c r="V53" s="82">
        <v>0.6</v>
      </c>
      <c r="W53" s="84">
        <v>0</v>
      </c>
      <c r="X53" s="82" t="s">
        <v>252</v>
      </c>
      <c r="Y53" s="84">
        <v>2</v>
      </c>
      <c r="Z53" s="84">
        <v>4.3</v>
      </c>
      <c r="AA53" s="82">
        <v>4</v>
      </c>
      <c r="AB53" s="82" t="s">
        <v>252</v>
      </c>
      <c r="AC53" s="82" t="s">
        <v>252</v>
      </c>
      <c r="AD53" s="82" t="s">
        <v>254</v>
      </c>
      <c r="AE53" s="82" t="s">
        <v>256</v>
      </c>
      <c r="AF53" s="20">
        <f t="shared" si="8"/>
        <v>1.6538461538461537</v>
      </c>
      <c r="AG53" s="13">
        <f t="shared" si="1"/>
        <v>6</v>
      </c>
      <c r="AH53" s="7">
        <f t="shared" si="2"/>
        <v>10</v>
      </c>
      <c r="AI53" s="7">
        <f t="shared" si="3"/>
        <v>10</v>
      </c>
      <c r="AJ53" s="7">
        <f t="shared" si="4"/>
        <v>5</v>
      </c>
      <c r="AK53" s="7">
        <f t="shared" si="5"/>
        <v>6</v>
      </c>
      <c r="AL53" s="12">
        <f t="shared" si="9"/>
        <v>37</v>
      </c>
      <c r="AM53" s="14" t="str">
        <f t="shared" si="7"/>
        <v>Barrier</v>
      </c>
      <c r="AN53" s="82"/>
      <c r="AO53" s="84"/>
      <c r="AP53" s="82" t="s">
        <v>377</v>
      </c>
    </row>
    <row r="54" spans="1:42" ht="16">
      <c r="A54" s="87">
        <v>45197</v>
      </c>
      <c r="C54" s="82">
        <v>5400227</v>
      </c>
      <c r="D54" s="82" t="s">
        <v>99</v>
      </c>
      <c r="E54" s="88">
        <v>10</v>
      </c>
      <c r="F54" s="89">
        <v>317315</v>
      </c>
      <c r="G54" s="89">
        <v>6016973</v>
      </c>
      <c r="H54" s="88" t="s">
        <v>209</v>
      </c>
      <c r="I54" s="88" t="s">
        <v>103</v>
      </c>
      <c r="K54" s="88" t="s">
        <v>104</v>
      </c>
      <c r="L54" s="82" t="s">
        <v>243</v>
      </c>
      <c r="M54" s="82" t="s">
        <v>244</v>
      </c>
      <c r="N54" s="84">
        <v>1.2</v>
      </c>
      <c r="O54" s="84">
        <v>48</v>
      </c>
      <c r="P54" s="82" t="s">
        <v>252</v>
      </c>
      <c r="Q54" s="86"/>
      <c r="R54" s="82" t="s">
        <v>252</v>
      </c>
      <c r="S54" s="82" t="s">
        <v>252</v>
      </c>
      <c r="T54" s="86"/>
      <c r="U54" s="84">
        <v>4</v>
      </c>
      <c r="V54" s="82">
        <v>0.2</v>
      </c>
      <c r="W54" s="84">
        <v>0</v>
      </c>
      <c r="X54" s="82" t="s">
        <v>252</v>
      </c>
      <c r="Y54" s="84">
        <v>2</v>
      </c>
      <c r="Z54" s="84">
        <v>1.1000000000000001</v>
      </c>
      <c r="AA54" s="82">
        <v>2</v>
      </c>
      <c r="AB54" s="82" t="s">
        <v>252</v>
      </c>
      <c r="AC54" s="82" t="s">
        <v>252</v>
      </c>
      <c r="AD54" s="82" t="s">
        <v>254</v>
      </c>
      <c r="AE54" s="82" t="s">
        <v>257</v>
      </c>
      <c r="AF54" s="20">
        <f t="shared" si="8"/>
        <v>0.91666666666666674</v>
      </c>
      <c r="AG54" s="13">
        <f t="shared" si="1"/>
        <v>6</v>
      </c>
      <c r="AH54" s="7">
        <f t="shared" si="2"/>
        <v>10</v>
      </c>
      <c r="AI54" s="7">
        <f t="shared" si="3"/>
        <v>5</v>
      </c>
      <c r="AJ54" s="7">
        <f t="shared" si="4"/>
        <v>5</v>
      </c>
      <c r="AK54" s="7">
        <f t="shared" si="5"/>
        <v>0</v>
      </c>
      <c r="AL54" s="12">
        <f t="shared" si="9"/>
        <v>26</v>
      </c>
      <c r="AM54" s="14" t="str">
        <f t="shared" si="7"/>
        <v>Barrier</v>
      </c>
      <c r="AN54" s="82"/>
      <c r="AO54" s="84"/>
      <c r="AP54" s="82" t="s">
        <v>378</v>
      </c>
    </row>
    <row r="55" spans="1:42" ht="16">
      <c r="A55" s="87">
        <v>45197</v>
      </c>
      <c r="C55" s="82">
        <v>5400286</v>
      </c>
      <c r="D55" s="82" t="s">
        <v>99</v>
      </c>
      <c r="E55" s="88">
        <v>10</v>
      </c>
      <c r="F55" s="89">
        <v>320733</v>
      </c>
      <c r="G55" s="89">
        <v>6009596</v>
      </c>
      <c r="H55" s="88" t="s">
        <v>210</v>
      </c>
      <c r="I55" s="88" t="s">
        <v>211</v>
      </c>
      <c r="K55" s="88" t="s">
        <v>104</v>
      </c>
      <c r="L55" s="82" t="s">
        <v>243</v>
      </c>
      <c r="M55" s="82" t="s">
        <v>248</v>
      </c>
      <c r="N55" s="84">
        <v>4</v>
      </c>
      <c r="O55" s="84">
        <v>22</v>
      </c>
      <c r="P55" s="82" t="s">
        <v>252</v>
      </c>
      <c r="Q55" s="86"/>
      <c r="R55" s="82" t="s">
        <v>252</v>
      </c>
      <c r="S55" s="82" t="s">
        <v>252</v>
      </c>
      <c r="T55" s="86"/>
      <c r="U55" s="84">
        <v>0.1</v>
      </c>
      <c r="V55" s="82">
        <v>0.6</v>
      </c>
      <c r="W55" s="84">
        <v>0.5</v>
      </c>
      <c r="X55" s="82" t="s">
        <v>252</v>
      </c>
      <c r="Y55" s="84">
        <v>2</v>
      </c>
      <c r="Z55" s="84">
        <v>2.8</v>
      </c>
      <c r="AA55" s="82">
        <v>3</v>
      </c>
      <c r="AB55" s="82" t="s">
        <v>252</v>
      </c>
      <c r="AC55" s="82" t="s">
        <v>253</v>
      </c>
      <c r="AD55" s="82" t="s">
        <v>254</v>
      </c>
      <c r="AE55" s="82" t="s">
        <v>255</v>
      </c>
      <c r="AF55" s="20">
        <f t="shared" si="8"/>
        <v>0.7</v>
      </c>
      <c r="AG55" s="13">
        <f t="shared" si="1"/>
        <v>3</v>
      </c>
      <c r="AH55" s="7">
        <f t="shared" si="2"/>
        <v>10</v>
      </c>
      <c r="AI55" s="7">
        <f t="shared" si="3"/>
        <v>10</v>
      </c>
      <c r="AJ55" s="7">
        <f t="shared" si="4"/>
        <v>5</v>
      </c>
      <c r="AK55" s="7">
        <f t="shared" si="5"/>
        <v>0</v>
      </c>
      <c r="AL55" s="12">
        <f t="shared" si="9"/>
        <v>28</v>
      </c>
      <c r="AM55" s="14" t="str">
        <f t="shared" si="7"/>
        <v>Barrier</v>
      </c>
      <c r="AN55" s="82"/>
      <c r="AO55" s="84"/>
      <c r="AP55" s="82" t="s">
        <v>379</v>
      </c>
    </row>
    <row r="56" spans="1:42" ht="16">
      <c r="A56" s="87">
        <v>45197</v>
      </c>
      <c r="C56" s="82">
        <v>5400042</v>
      </c>
      <c r="D56" s="82" t="s">
        <v>99</v>
      </c>
      <c r="E56" s="88">
        <v>10</v>
      </c>
      <c r="F56" s="89">
        <v>322424</v>
      </c>
      <c r="G56" s="89">
        <v>6011731</v>
      </c>
      <c r="H56" s="88" t="s">
        <v>212</v>
      </c>
      <c r="I56" s="88" t="s">
        <v>106</v>
      </c>
      <c r="K56" s="88" t="s">
        <v>104</v>
      </c>
      <c r="L56" s="82" t="s">
        <v>243</v>
      </c>
      <c r="M56" s="82" t="s">
        <v>244</v>
      </c>
      <c r="N56" s="84">
        <v>3.5</v>
      </c>
      <c r="O56" s="84">
        <v>30</v>
      </c>
      <c r="P56" s="82" t="s">
        <v>252</v>
      </c>
      <c r="Q56" s="86"/>
      <c r="R56" s="82" t="s">
        <v>252</v>
      </c>
      <c r="S56" s="82" t="s">
        <v>252</v>
      </c>
      <c r="T56" s="86"/>
      <c r="U56" s="84">
        <v>4</v>
      </c>
      <c r="V56" s="82">
        <v>0</v>
      </c>
      <c r="W56" s="84">
        <v>0</v>
      </c>
      <c r="X56" s="82" t="s">
        <v>252</v>
      </c>
      <c r="Y56" s="84">
        <v>4</v>
      </c>
      <c r="Z56" s="84">
        <v>2.4</v>
      </c>
      <c r="AA56" s="82">
        <v>3</v>
      </c>
      <c r="AB56" s="82" t="s">
        <v>252</v>
      </c>
      <c r="AC56" s="82" t="s">
        <v>253</v>
      </c>
      <c r="AD56" s="82" t="s">
        <v>254</v>
      </c>
      <c r="AE56" s="82" t="s">
        <v>255</v>
      </c>
      <c r="AF56" s="20">
        <f t="shared" si="8"/>
        <v>0.68571428571428572</v>
      </c>
      <c r="AG56" s="13">
        <f t="shared" si="1"/>
        <v>6</v>
      </c>
      <c r="AH56" s="7">
        <f t="shared" si="2"/>
        <v>10</v>
      </c>
      <c r="AI56" s="7">
        <f t="shared" si="3"/>
        <v>0</v>
      </c>
      <c r="AJ56" s="7">
        <f t="shared" si="4"/>
        <v>10</v>
      </c>
      <c r="AK56" s="7">
        <f t="shared" si="5"/>
        <v>0</v>
      </c>
      <c r="AL56" s="12">
        <f t="shared" si="9"/>
        <v>26</v>
      </c>
      <c r="AM56" s="14" t="str">
        <f t="shared" si="7"/>
        <v>Barrier</v>
      </c>
      <c r="AN56" s="82"/>
      <c r="AO56" s="84"/>
      <c r="AP56" s="82" t="s">
        <v>380</v>
      </c>
    </row>
    <row r="57" spans="1:42" ht="16">
      <c r="A57" s="87">
        <v>45198</v>
      </c>
      <c r="C57" s="82">
        <v>5400157</v>
      </c>
      <c r="D57" s="82" t="s">
        <v>99</v>
      </c>
      <c r="E57" s="88">
        <v>10</v>
      </c>
      <c r="F57" s="89">
        <v>337777</v>
      </c>
      <c r="G57" s="89">
        <v>6007094</v>
      </c>
      <c r="H57" s="88" t="s">
        <v>217</v>
      </c>
      <c r="I57" s="88" t="s">
        <v>106</v>
      </c>
      <c r="K57" s="88" t="s">
        <v>104</v>
      </c>
      <c r="L57" s="82" t="s">
        <v>243</v>
      </c>
      <c r="M57" s="82" t="s">
        <v>244</v>
      </c>
      <c r="N57" s="84">
        <v>2.6</v>
      </c>
      <c r="O57" s="84">
        <v>52</v>
      </c>
      <c r="P57" s="82" t="s">
        <v>252</v>
      </c>
      <c r="Q57" s="86"/>
      <c r="R57" s="82" t="s">
        <v>252</v>
      </c>
      <c r="S57" s="82" t="s">
        <v>252</v>
      </c>
      <c r="T57" s="86"/>
      <c r="U57" s="84">
        <v>4</v>
      </c>
      <c r="V57" s="82">
        <v>1.8</v>
      </c>
      <c r="W57" s="84">
        <v>1.5</v>
      </c>
      <c r="X57" s="82" t="s">
        <v>252</v>
      </c>
      <c r="Y57" s="84">
        <v>3</v>
      </c>
      <c r="Z57" s="84">
        <v>6.5</v>
      </c>
      <c r="AA57" s="82">
        <v>4</v>
      </c>
      <c r="AB57" s="82" t="s">
        <v>252</v>
      </c>
      <c r="AC57" s="82" t="s">
        <v>253</v>
      </c>
      <c r="AD57" s="82" t="s">
        <v>254</v>
      </c>
      <c r="AE57" s="82" t="s">
        <v>255</v>
      </c>
      <c r="AF57" s="20">
        <f t="shared" si="8"/>
        <v>2.5</v>
      </c>
      <c r="AG57" s="13">
        <f t="shared" si="1"/>
        <v>6</v>
      </c>
      <c r="AH57" s="7">
        <f t="shared" si="2"/>
        <v>10</v>
      </c>
      <c r="AI57" s="7">
        <f t="shared" si="3"/>
        <v>10</v>
      </c>
      <c r="AJ57" s="7">
        <f t="shared" si="4"/>
        <v>10</v>
      </c>
      <c r="AK57" s="7">
        <f t="shared" si="5"/>
        <v>6</v>
      </c>
      <c r="AL57" s="12">
        <f t="shared" si="9"/>
        <v>42</v>
      </c>
      <c r="AM57" s="14" t="str">
        <f t="shared" si="7"/>
        <v>Barrier</v>
      </c>
      <c r="AN57" s="82"/>
      <c r="AO57" s="84"/>
      <c r="AP57" s="82" t="s">
        <v>381</v>
      </c>
    </row>
    <row r="58" spans="1:42" ht="16">
      <c r="A58" s="87">
        <v>45198</v>
      </c>
      <c r="C58" s="82">
        <v>5401774</v>
      </c>
      <c r="D58" s="82" t="s">
        <v>99</v>
      </c>
      <c r="E58" s="88">
        <v>10</v>
      </c>
      <c r="F58" s="89">
        <v>337850</v>
      </c>
      <c r="G58" s="89">
        <v>6006827</v>
      </c>
      <c r="H58" s="88" t="s">
        <v>217</v>
      </c>
      <c r="I58" s="88" t="s">
        <v>216</v>
      </c>
      <c r="K58" s="88" t="s">
        <v>113</v>
      </c>
      <c r="L58" s="82" t="s">
        <v>243</v>
      </c>
      <c r="M58" s="82" t="s">
        <v>244</v>
      </c>
      <c r="N58" s="84">
        <v>2.5</v>
      </c>
      <c r="O58" s="84">
        <v>14</v>
      </c>
      <c r="P58" s="82" t="s">
        <v>252</v>
      </c>
      <c r="Q58" s="86"/>
      <c r="R58" s="82" t="s">
        <v>252</v>
      </c>
      <c r="S58" s="82" t="s">
        <v>252</v>
      </c>
      <c r="T58" s="86"/>
      <c r="U58" s="84">
        <v>1</v>
      </c>
      <c r="V58" s="82">
        <v>1.4</v>
      </c>
      <c r="W58" s="84">
        <v>2</v>
      </c>
      <c r="X58" s="82" t="s">
        <v>252</v>
      </c>
      <c r="Y58" s="84">
        <v>3</v>
      </c>
      <c r="Z58" s="84">
        <v>5.6</v>
      </c>
      <c r="AA58" s="82">
        <v>3</v>
      </c>
      <c r="AB58" s="82" t="s">
        <v>252</v>
      </c>
      <c r="AC58" s="82" t="s">
        <v>252</v>
      </c>
      <c r="AD58" s="82" t="s">
        <v>254</v>
      </c>
      <c r="AE58" s="82" t="s">
        <v>255</v>
      </c>
      <c r="AF58" s="20">
        <f t="shared" si="8"/>
        <v>2.2399999999999998</v>
      </c>
      <c r="AG58" s="13">
        <f t="shared" si="1"/>
        <v>0</v>
      </c>
      <c r="AH58" s="7">
        <f t="shared" si="2"/>
        <v>10</v>
      </c>
      <c r="AI58" s="7">
        <f t="shared" si="3"/>
        <v>10</v>
      </c>
      <c r="AJ58" s="7">
        <f t="shared" si="4"/>
        <v>10</v>
      </c>
      <c r="AK58" s="7">
        <f t="shared" si="5"/>
        <v>6</v>
      </c>
      <c r="AL58" s="12">
        <f t="shared" si="9"/>
        <v>36</v>
      </c>
      <c r="AM58" s="14" t="str">
        <f t="shared" si="7"/>
        <v>Barrier</v>
      </c>
      <c r="AN58" s="82"/>
      <c r="AO58" s="84"/>
      <c r="AP58" s="82" t="s">
        <v>382</v>
      </c>
    </row>
    <row r="59" spans="1:42" ht="16">
      <c r="A59" s="87">
        <v>45198</v>
      </c>
      <c r="C59" s="82">
        <v>5400019</v>
      </c>
      <c r="D59" s="82" t="s">
        <v>99</v>
      </c>
      <c r="E59" s="88">
        <v>10</v>
      </c>
      <c r="F59" s="89">
        <v>366638</v>
      </c>
      <c r="G59" s="89">
        <v>5995282</v>
      </c>
      <c r="H59" s="88" t="s">
        <v>219</v>
      </c>
      <c r="I59" s="88" t="s">
        <v>106</v>
      </c>
      <c r="K59" s="88" t="s">
        <v>104</v>
      </c>
      <c r="L59" s="82" t="s">
        <v>243</v>
      </c>
      <c r="M59" s="82" t="s">
        <v>244</v>
      </c>
      <c r="N59" s="84">
        <v>1.2</v>
      </c>
      <c r="O59" s="84">
        <v>99.9</v>
      </c>
      <c r="P59" s="82" t="s">
        <v>252</v>
      </c>
      <c r="Q59" s="86"/>
      <c r="R59" s="82" t="s">
        <v>252</v>
      </c>
      <c r="S59" s="82" t="s">
        <v>252</v>
      </c>
      <c r="T59" s="86"/>
      <c r="U59" s="84">
        <v>6</v>
      </c>
      <c r="V59" s="82">
        <v>0</v>
      </c>
      <c r="W59" s="84">
        <v>0</v>
      </c>
      <c r="X59" s="82" t="s">
        <v>252</v>
      </c>
      <c r="Y59" s="84">
        <v>1</v>
      </c>
      <c r="Z59" s="84">
        <v>1.1000000000000001</v>
      </c>
      <c r="AA59" s="82">
        <v>3</v>
      </c>
      <c r="AB59" s="82" t="s">
        <v>252</v>
      </c>
      <c r="AC59" s="82" t="s">
        <v>252</v>
      </c>
      <c r="AD59" s="82" t="s">
        <v>254</v>
      </c>
      <c r="AE59" s="82" t="s">
        <v>257</v>
      </c>
      <c r="AF59" s="20">
        <f t="shared" si="8"/>
        <v>0.91666666666666674</v>
      </c>
      <c r="AG59" s="13">
        <f t="shared" si="1"/>
        <v>6</v>
      </c>
      <c r="AH59" s="7">
        <f t="shared" si="2"/>
        <v>10</v>
      </c>
      <c r="AI59" s="7">
        <f t="shared" si="3"/>
        <v>0</v>
      </c>
      <c r="AJ59" s="7">
        <f t="shared" si="4"/>
        <v>5</v>
      </c>
      <c r="AK59" s="7">
        <f t="shared" si="5"/>
        <v>0</v>
      </c>
      <c r="AL59" s="12">
        <f t="shared" si="9"/>
        <v>21</v>
      </c>
      <c r="AM59" s="14" t="str">
        <f t="shared" si="7"/>
        <v>Barrier</v>
      </c>
      <c r="AN59" s="82"/>
      <c r="AO59" s="84"/>
      <c r="AP59" s="82" t="s">
        <v>383</v>
      </c>
    </row>
    <row r="60" spans="1:42" ht="16">
      <c r="A60" s="87">
        <v>45198</v>
      </c>
      <c r="C60" s="82">
        <v>5400239</v>
      </c>
      <c r="D60" s="82" t="s">
        <v>99</v>
      </c>
      <c r="E60" s="88">
        <v>10</v>
      </c>
      <c r="F60" s="89">
        <v>381850</v>
      </c>
      <c r="G60" s="89">
        <v>5991183</v>
      </c>
      <c r="H60" s="88" t="s">
        <v>220</v>
      </c>
      <c r="I60" s="88" t="s">
        <v>106</v>
      </c>
      <c r="K60" s="88" t="s">
        <v>104</v>
      </c>
      <c r="L60" s="82" t="s">
        <v>243</v>
      </c>
      <c r="M60" s="82" t="s">
        <v>244</v>
      </c>
      <c r="N60" s="84">
        <v>1.5</v>
      </c>
      <c r="O60" s="84">
        <v>45</v>
      </c>
      <c r="P60" s="82" t="s">
        <v>252</v>
      </c>
      <c r="Q60" s="86"/>
      <c r="R60" s="82" t="s">
        <v>252</v>
      </c>
      <c r="S60" s="82" t="s">
        <v>252</v>
      </c>
      <c r="T60" s="86"/>
      <c r="U60" s="84">
        <v>5</v>
      </c>
      <c r="V60" s="82">
        <v>0.2</v>
      </c>
      <c r="W60" s="84">
        <v>0</v>
      </c>
      <c r="X60" s="82" t="s">
        <v>252</v>
      </c>
      <c r="Y60" s="84">
        <v>5</v>
      </c>
      <c r="Z60" s="84">
        <v>2.2999999999999998</v>
      </c>
      <c r="AA60" s="82">
        <v>2</v>
      </c>
      <c r="AB60" s="82" t="s">
        <v>252</v>
      </c>
      <c r="AC60" s="82" t="s">
        <v>252</v>
      </c>
      <c r="AD60" s="82" t="s">
        <v>254</v>
      </c>
      <c r="AE60" s="82" t="s">
        <v>257</v>
      </c>
      <c r="AF60" s="20">
        <f t="shared" si="8"/>
        <v>1.5333333333333332</v>
      </c>
      <c r="AG60" s="13">
        <f t="shared" si="1"/>
        <v>6</v>
      </c>
      <c r="AH60" s="7">
        <f t="shared" si="2"/>
        <v>10</v>
      </c>
      <c r="AI60" s="7">
        <f t="shared" si="3"/>
        <v>5</v>
      </c>
      <c r="AJ60" s="7">
        <f t="shared" si="4"/>
        <v>10</v>
      </c>
      <c r="AK60" s="7">
        <f t="shared" si="5"/>
        <v>6</v>
      </c>
      <c r="AL60" s="12">
        <f t="shared" si="9"/>
        <v>37</v>
      </c>
      <c r="AM60" s="14" t="str">
        <f t="shared" si="7"/>
        <v>Barrier</v>
      </c>
      <c r="AN60" s="82"/>
      <c r="AO60" s="84"/>
      <c r="AP60" s="82" t="s">
        <v>384</v>
      </c>
    </row>
    <row r="61" spans="1:42" ht="32">
      <c r="A61" s="87">
        <v>45198</v>
      </c>
      <c r="C61" s="82">
        <v>15600265</v>
      </c>
      <c r="D61" s="82" t="s">
        <v>99</v>
      </c>
      <c r="E61" s="88">
        <v>10</v>
      </c>
      <c r="F61" s="89">
        <v>399029</v>
      </c>
      <c r="G61" s="89">
        <v>5988757</v>
      </c>
      <c r="H61" s="88" t="s">
        <v>137</v>
      </c>
      <c r="I61" s="88" t="s">
        <v>221</v>
      </c>
      <c r="K61" s="88" t="s">
        <v>119</v>
      </c>
      <c r="L61" s="82" t="s">
        <v>243</v>
      </c>
      <c r="M61" s="82" t="s">
        <v>244</v>
      </c>
      <c r="N61" s="84">
        <v>1.4</v>
      </c>
      <c r="O61" s="84">
        <v>18</v>
      </c>
      <c r="P61" s="82" t="s">
        <v>252</v>
      </c>
      <c r="Q61" s="86"/>
      <c r="R61" s="82" t="s">
        <v>252</v>
      </c>
      <c r="S61" s="82" t="s">
        <v>252</v>
      </c>
      <c r="T61" s="86"/>
      <c r="U61" s="84">
        <v>1.5</v>
      </c>
      <c r="V61" s="82">
        <v>0.4</v>
      </c>
      <c r="W61" s="84">
        <v>0</v>
      </c>
      <c r="X61" s="82" t="s">
        <v>252</v>
      </c>
      <c r="Y61" s="84">
        <v>3</v>
      </c>
      <c r="Z61" s="84">
        <v>1.9</v>
      </c>
      <c r="AA61" s="82">
        <v>3</v>
      </c>
      <c r="AB61" s="82" t="s">
        <v>252</v>
      </c>
      <c r="AC61" s="82" t="s">
        <v>252</v>
      </c>
      <c r="AD61" s="82" t="s">
        <v>254</v>
      </c>
      <c r="AE61" s="82" t="s">
        <v>257</v>
      </c>
      <c r="AF61" s="20">
        <f t="shared" si="8"/>
        <v>1.3571428571428572</v>
      </c>
      <c r="AG61" s="13">
        <f t="shared" si="1"/>
        <v>3</v>
      </c>
      <c r="AH61" s="7">
        <f t="shared" si="2"/>
        <v>10</v>
      </c>
      <c r="AI61" s="7">
        <f t="shared" si="3"/>
        <v>10</v>
      </c>
      <c r="AJ61" s="7">
        <f t="shared" si="4"/>
        <v>10</v>
      </c>
      <c r="AK61" s="7">
        <f t="shared" si="5"/>
        <v>6</v>
      </c>
      <c r="AL61" s="12">
        <f t="shared" si="9"/>
        <v>39</v>
      </c>
      <c r="AM61" s="14" t="str">
        <f t="shared" si="7"/>
        <v>Barrier</v>
      </c>
      <c r="AN61" s="82"/>
      <c r="AO61" s="84"/>
      <c r="AP61" s="82" t="s">
        <v>385</v>
      </c>
    </row>
    <row r="62" spans="1:42" ht="32">
      <c r="A62" s="87">
        <v>45198</v>
      </c>
      <c r="C62" s="82">
        <v>15600301</v>
      </c>
      <c r="D62" s="82" t="s">
        <v>99</v>
      </c>
      <c r="E62" s="88">
        <v>10</v>
      </c>
      <c r="F62" s="89">
        <v>401104</v>
      </c>
      <c r="G62" s="89">
        <v>5983401</v>
      </c>
      <c r="H62" s="88" t="s">
        <v>222</v>
      </c>
      <c r="I62" s="88" t="s">
        <v>221</v>
      </c>
      <c r="K62" s="88" t="s">
        <v>119</v>
      </c>
      <c r="L62" s="82" t="s">
        <v>243</v>
      </c>
      <c r="M62" s="82" t="s">
        <v>244</v>
      </c>
      <c r="N62" s="84">
        <v>1.2</v>
      </c>
      <c r="O62" s="84">
        <v>24</v>
      </c>
      <c r="P62" s="82" t="s">
        <v>252</v>
      </c>
      <c r="Q62" s="86"/>
      <c r="R62" s="82" t="s">
        <v>252</v>
      </c>
      <c r="S62" s="82" t="s">
        <v>252</v>
      </c>
      <c r="T62" s="86"/>
      <c r="U62" s="84">
        <v>3</v>
      </c>
      <c r="V62" s="82">
        <v>0</v>
      </c>
      <c r="W62" s="84">
        <v>0</v>
      </c>
      <c r="X62" s="82" t="s">
        <v>252</v>
      </c>
      <c r="Y62" s="84">
        <v>2</v>
      </c>
      <c r="Z62" s="84">
        <v>1.2</v>
      </c>
      <c r="AA62" s="82">
        <v>1</v>
      </c>
      <c r="AB62" s="82" t="s">
        <v>253</v>
      </c>
      <c r="AC62" s="82" t="s">
        <v>252</v>
      </c>
      <c r="AD62" s="82" t="s">
        <v>254</v>
      </c>
      <c r="AE62" s="82" t="s">
        <v>256</v>
      </c>
      <c r="AF62" s="20">
        <f t="shared" si="8"/>
        <v>1</v>
      </c>
      <c r="AG62" s="13">
        <f t="shared" si="1"/>
        <v>3</v>
      </c>
      <c r="AH62" s="7">
        <f t="shared" si="2"/>
        <v>10</v>
      </c>
      <c r="AI62" s="7">
        <f t="shared" si="3"/>
        <v>0</v>
      </c>
      <c r="AJ62" s="7">
        <f t="shared" si="4"/>
        <v>5</v>
      </c>
      <c r="AK62" s="7">
        <f t="shared" si="5"/>
        <v>3</v>
      </c>
      <c r="AL62" s="12">
        <f t="shared" si="9"/>
        <v>21</v>
      </c>
      <c r="AM62" s="14" t="str">
        <f t="shared" si="7"/>
        <v>Barrier</v>
      </c>
      <c r="AN62" s="82"/>
      <c r="AO62" s="84"/>
      <c r="AP62" s="82" t="s">
        <v>386</v>
      </c>
    </row>
    <row r="63" spans="1:42" ht="16">
      <c r="A63" s="87">
        <v>45198</v>
      </c>
      <c r="C63" s="82">
        <v>15600302</v>
      </c>
      <c r="D63" s="82" t="s">
        <v>99</v>
      </c>
      <c r="E63" s="88">
        <v>10</v>
      </c>
      <c r="F63" s="89">
        <v>400866</v>
      </c>
      <c r="G63" s="89">
        <v>5982476</v>
      </c>
      <c r="H63" s="88" t="s">
        <v>223</v>
      </c>
      <c r="I63" s="88" t="s">
        <v>126</v>
      </c>
      <c r="K63" s="88" t="s">
        <v>119</v>
      </c>
      <c r="L63" s="82" t="s">
        <v>243</v>
      </c>
      <c r="M63" s="82" t="s">
        <v>248</v>
      </c>
      <c r="N63" s="84">
        <v>4</v>
      </c>
      <c r="O63" s="84">
        <v>30</v>
      </c>
      <c r="P63" s="82" t="s">
        <v>252</v>
      </c>
      <c r="Q63" s="86"/>
      <c r="R63" s="82" t="s">
        <v>252</v>
      </c>
      <c r="S63" s="82" t="s">
        <v>252</v>
      </c>
      <c r="T63" s="86"/>
      <c r="U63" s="84">
        <v>0.8</v>
      </c>
      <c r="V63" s="82">
        <v>0</v>
      </c>
      <c r="W63" s="84">
        <v>0</v>
      </c>
      <c r="X63" s="82" t="s">
        <v>252</v>
      </c>
      <c r="Y63" s="84">
        <v>2</v>
      </c>
      <c r="Z63" s="84">
        <v>6.1</v>
      </c>
      <c r="AA63" s="82">
        <v>2</v>
      </c>
      <c r="AB63" s="82" t="s">
        <v>252</v>
      </c>
      <c r="AC63" s="82" t="s">
        <v>252</v>
      </c>
      <c r="AD63" s="82" t="s">
        <v>254</v>
      </c>
      <c r="AE63" s="82" t="s">
        <v>256</v>
      </c>
      <c r="AF63" s="20">
        <f t="shared" si="8"/>
        <v>1.5249999999999999</v>
      </c>
      <c r="AG63" s="13">
        <f t="shared" si="1"/>
        <v>6</v>
      </c>
      <c r="AH63" s="7">
        <f t="shared" si="2"/>
        <v>10</v>
      </c>
      <c r="AI63" s="7">
        <f t="shared" si="3"/>
        <v>0</v>
      </c>
      <c r="AJ63" s="7">
        <f t="shared" si="4"/>
        <v>5</v>
      </c>
      <c r="AK63" s="7">
        <f t="shared" si="5"/>
        <v>6</v>
      </c>
      <c r="AL63" s="12">
        <f t="shared" si="9"/>
        <v>27</v>
      </c>
      <c r="AM63" s="14" t="str">
        <f t="shared" si="7"/>
        <v>Barrier</v>
      </c>
      <c r="AN63" s="82"/>
      <c r="AO63" s="84"/>
      <c r="AP63" s="82" t="s">
        <v>387</v>
      </c>
    </row>
    <row r="64" spans="1:42" ht="16">
      <c r="A64" s="87">
        <v>45199</v>
      </c>
      <c r="C64" s="82">
        <v>15600624</v>
      </c>
      <c r="D64" s="82" t="s">
        <v>99</v>
      </c>
      <c r="E64" s="88">
        <v>10</v>
      </c>
      <c r="F64" s="89">
        <v>438428</v>
      </c>
      <c r="G64" s="89">
        <v>5982155</v>
      </c>
      <c r="H64" s="88" t="s">
        <v>224</v>
      </c>
      <c r="I64" s="88" t="s">
        <v>225</v>
      </c>
      <c r="K64" s="88" t="s">
        <v>157</v>
      </c>
      <c r="L64" s="82" t="s">
        <v>243</v>
      </c>
      <c r="M64" s="82" t="s">
        <v>244</v>
      </c>
      <c r="N64" s="84">
        <v>0.9</v>
      </c>
      <c r="O64" s="84">
        <v>18</v>
      </c>
      <c r="P64" s="82" t="s">
        <v>252</v>
      </c>
      <c r="Q64" s="86"/>
      <c r="R64" s="82" t="s">
        <v>252</v>
      </c>
      <c r="S64" s="82" t="s">
        <v>252</v>
      </c>
      <c r="T64" s="86"/>
      <c r="U64" s="84">
        <v>2.2000000000000002</v>
      </c>
      <c r="V64" s="82">
        <v>0</v>
      </c>
      <c r="W64" s="84">
        <v>0</v>
      </c>
      <c r="X64" s="82" t="s">
        <v>252</v>
      </c>
      <c r="Y64" s="84">
        <v>2.5</v>
      </c>
      <c r="Z64" s="84">
        <v>0.9</v>
      </c>
      <c r="AA64" s="82">
        <v>1</v>
      </c>
      <c r="AB64" s="82" t="s">
        <v>252</v>
      </c>
      <c r="AC64" s="82" t="s">
        <v>252</v>
      </c>
      <c r="AD64" s="82" t="s">
        <v>254</v>
      </c>
      <c r="AE64" s="82" t="s">
        <v>257</v>
      </c>
      <c r="AF64" s="20">
        <f t="shared" si="8"/>
        <v>1</v>
      </c>
      <c r="AG64" s="13">
        <f t="shared" si="1"/>
        <v>3</v>
      </c>
      <c r="AH64" s="7">
        <f t="shared" si="2"/>
        <v>10</v>
      </c>
      <c r="AI64" s="7">
        <f t="shared" si="3"/>
        <v>0</v>
      </c>
      <c r="AJ64" s="7">
        <f t="shared" si="4"/>
        <v>5</v>
      </c>
      <c r="AK64" s="7">
        <f t="shared" si="5"/>
        <v>3</v>
      </c>
      <c r="AL64" s="12">
        <f t="shared" si="9"/>
        <v>21</v>
      </c>
      <c r="AM64" s="14" t="str">
        <f t="shared" si="7"/>
        <v>Barrier</v>
      </c>
      <c r="AN64" s="82"/>
      <c r="AO64" s="84"/>
      <c r="AP64" s="82" t="s">
        <v>388</v>
      </c>
    </row>
    <row r="65" spans="1:42" ht="32">
      <c r="A65" s="87">
        <v>45199</v>
      </c>
      <c r="C65" s="82">
        <v>15600626</v>
      </c>
      <c r="D65" s="82" t="s">
        <v>99</v>
      </c>
      <c r="E65" s="88">
        <v>10</v>
      </c>
      <c r="F65" s="89">
        <v>438529</v>
      </c>
      <c r="G65" s="89">
        <v>5982155</v>
      </c>
      <c r="H65" s="88" t="s">
        <v>226</v>
      </c>
      <c r="I65" s="88" t="s">
        <v>225</v>
      </c>
      <c r="K65" s="88" t="s">
        <v>157</v>
      </c>
      <c r="L65" s="82" t="s">
        <v>243</v>
      </c>
      <c r="M65" s="82" t="s">
        <v>244</v>
      </c>
      <c r="N65" s="84">
        <v>1.5</v>
      </c>
      <c r="O65" s="84">
        <v>20</v>
      </c>
      <c r="P65" s="82" t="s">
        <v>252</v>
      </c>
      <c r="Q65" s="86"/>
      <c r="R65" s="82" t="s">
        <v>252</v>
      </c>
      <c r="S65" s="82" t="s">
        <v>252</v>
      </c>
      <c r="T65" s="86"/>
      <c r="U65" s="84">
        <v>2</v>
      </c>
      <c r="V65" s="82">
        <v>0.6</v>
      </c>
      <c r="W65" s="84">
        <v>0</v>
      </c>
      <c r="X65" s="82" t="s">
        <v>252</v>
      </c>
      <c r="Y65" s="84">
        <v>1</v>
      </c>
      <c r="Z65" s="84">
        <v>1.6</v>
      </c>
      <c r="AA65" s="82">
        <v>0.5</v>
      </c>
      <c r="AB65" s="82" t="s">
        <v>252</v>
      </c>
      <c r="AC65" s="82" t="s">
        <v>252</v>
      </c>
      <c r="AD65" s="82" t="s">
        <v>254</v>
      </c>
      <c r="AE65" s="82" t="s">
        <v>257</v>
      </c>
      <c r="AF65" s="20">
        <f t="shared" si="8"/>
        <v>1.0666666666666667</v>
      </c>
      <c r="AG65" s="13">
        <f t="shared" si="1"/>
        <v>3</v>
      </c>
      <c r="AH65" s="7">
        <f t="shared" si="2"/>
        <v>10</v>
      </c>
      <c r="AI65" s="7">
        <f t="shared" si="3"/>
        <v>10</v>
      </c>
      <c r="AJ65" s="7">
        <f t="shared" si="4"/>
        <v>5</v>
      </c>
      <c r="AK65" s="7">
        <f t="shared" si="5"/>
        <v>3</v>
      </c>
      <c r="AL65" s="12">
        <f t="shared" si="9"/>
        <v>31</v>
      </c>
      <c r="AM65" s="14" t="str">
        <f t="shared" si="7"/>
        <v>Barrier</v>
      </c>
      <c r="AN65" s="82"/>
      <c r="AO65" s="84"/>
      <c r="AP65" s="82" t="s">
        <v>389</v>
      </c>
    </row>
    <row r="66" spans="1:42" ht="32">
      <c r="A66" s="87">
        <v>45199</v>
      </c>
      <c r="C66" s="82">
        <v>15600076</v>
      </c>
      <c r="D66" s="82" t="s">
        <v>99</v>
      </c>
      <c r="E66" s="88">
        <v>10</v>
      </c>
      <c r="F66" s="89">
        <v>449834</v>
      </c>
      <c r="G66" s="89">
        <v>5977830</v>
      </c>
      <c r="H66" s="88" t="s">
        <v>184</v>
      </c>
      <c r="I66" s="88" t="s">
        <v>106</v>
      </c>
      <c r="K66" s="88" t="s">
        <v>104</v>
      </c>
      <c r="L66" s="82" t="s">
        <v>243</v>
      </c>
      <c r="M66" s="82" t="s">
        <v>244</v>
      </c>
      <c r="N66" s="84">
        <v>1.8</v>
      </c>
      <c r="O66" s="84">
        <v>48</v>
      </c>
      <c r="P66" s="82" t="s">
        <v>252</v>
      </c>
      <c r="Q66" s="86"/>
      <c r="R66" s="82" t="s">
        <v>252</v>
      </c>
      <c r="S66" s="82" t="s">
        <v>252</v>
      </c>
      <c r="T66" s="86"/>
      <c r="U66" s="84">
        <v>5</v>
      </c>
      <c r="V66" s="82">
        <v>0</v>
      </c>
      <c r="W66" s="84">
        <v>0</v>
      </c>
      <c r="X66" s="82" t="s">
        <v>252</v>
      </c>
      <c r="Y66" s="84">
        <v>1</v>
      </c>
      <c r="Z66" s="84">
        <v>1.2</v>
      </c>
      <c r="AA66" s="82">
        <v>1</v>
      </c>
      <c r="AB66" s="82" t="s">
        <v>252</v>
      </c>
      <c r="AC66" s="82" t="s">
        <v>252</v>
      </c>
      <c r="AD66" s="82" t="s">
        <v>254</v>
      </c>
      <c r="AE66" s="82" t="s">
        <v>257</v>
      </c>
      <c r="AF66" s="20">
        <f t="shared" si="8"/>
        <v>0.66666666666666663</v>
      </c>
      <c r="AG66" s="13">
        <f t="shared" si="1"/>
        <v>6</v>
      </c>
      <c r="AH66" s="7">
        <f t="shared" si="2"/>
        <v>10</v>
      </c>
      <c r="AI66" s="7">
        <f t="shared" si="3"/>
        <v>0</v>
      </c>
      <c r="AJ66" s="7">
        <f t="shared" si="4"/>
        <v>5</v>
      </c>
      <c r="AK66" s="7">
        <f t="shared" si="5"/>
        <v>0</v>
      </c>
      <c r="AL66" s="12">
        <f t="shared" si="9"/>
        <v>21</v>
      </c>
      <c r="AM66" s="14" t="str">
        <f t="shared" si="7"/>
        <v>Barrier</v>
      </c>
      <c r="AN66" s="82"/>
      <c r="AO66" s="84"/>
      <c r="AP66" s="82" t="s">
        <v>390</v>
      </c>
    </row>
    <row r="67" spans="1:42" ht="16">
      <c r="A67" s="87">
        <v>45199</v>
      </c>
      <c r="C67" s="82">
        <v>15600629</v>
      </c>
      <c r="D67" s="82" t="s">
        <v>99</v>
      </c>
      <c r="E67" s="88">
        <v>10</v>
      </c>
      <c r="F67" s="89">
        <v>451599</v>
      </c>
      <c r="G67" s="89">
        <v>5975913</v>
      </c>
      <c r="H67" s="88" t="s">
        <v>227</v>
      </c>
      <c r="I67" s="88" t="s">
        <v>106</v>
      </c>
      <c r="K67" s="88" t="s">
        <v>104</v>
      </c>
      <c r="L67" s="82" t="s">
        <v>243</v>
      </c>
      <c r="M67" s="82" t="s">
        <v>244</v>
      </c>
      <c r="N67" s="84">
        <v>1.5</v>
      </c>
      <c r="O67" s="84">
        <v>90</v>
      </c>
      <c r="P67" s="82" t="s">
        <v>252</v>
      </c>
      <c r="Q67" s="86"/>
      <c r="R67" s="82" t="s">
        <v>252</v>
      </c>
      <c r="S67" s="82" t="s">
        <v>252</v>
      </c>
      <c r="T67" s="86"/>
      <c r="U67" s="84">
        <v>8</v>
      </c>
      <c r="V67" s="82">
        <v>0</v>
      </c>
      <c r="W67" s="84">
        <v>0</v>
      </c>
      <c r="X67" s="82" t="s">
        <v>252</v>
      </c>
      <c r="Y67" s="84">
        <v>3</v>
      </c>
      <c r="Z67" s="84">
        <v>3.3</v>
      </c>
      <c r="AA67" s="82">
        <v>2</v>
      </c>
      <c r="AB67" s="82" t="s">
        <v>252</v>
      </c>
      <c r="AC67" s="82" t="s">
        <v>252</v>
      </c>
      <c r="AD67" s="82" t="s">
        <v>254</v>
      </c>
      <c r="AE67" s="82" t="s">
        <v>257</v>
      </c>
      <c r="AF67" s="20">
        <f t="shared" si="8"/>
        <v>2.1999999999999997</v>
      </c>
      <c r="AG67" s="13">
        <f t="shared" si="1"/>
        <v>6</v>
      </c>
      <c r="AH67" s="7">
        <f t="shared" si="2"/>
        <v>10</v>
      </c>
      <c r="AI67" s="7">
        <f t="shared" si="3"/>
        <v>0</v>
      </c>
      <c r="AJ67" s="7">
        <f t="shared" si="4"/>
        <v>10</v>
      </c>
      <c r="AK67" s="7">
        <f t="shared" si="5"/>
        <v>6</v>
      </c>
      <c r="AL67" s="12">
        <f t="shared" si="9"/>
        <v>32</v>
      </c>
      <c r="AM67" s="14" t="str">
        <f t="shared" si="7"/>
        <v>Barrier</v>
      </c>
      <c r="AN67" s="82"/>
      <c r="AO67" s="84"/>
      <c r="AP67" s="82" t="s">
        <v>391</v>
      </c>
    </row>
    <row r="68" spans="1:42" ht="32">
      <c r="A68" s="87">
        <v>45199</v>
      </c>
      <c r="C68" s="82">
        <v>15600057</v>
      </c>
      <c r="D68" s="82" t="s">
        <v>99</v>
      </c>
      <c r="E68" s="88">
        <v>10</v>
      </c>
      <c r="F68" s="89">
        <v>464822</v>
      </c>
      <c r="G68" s="89">
        <v>5971609</v>
      </c>
      <c r="H68" s="88" t="s">
        <v>228</v>
      </c>
      <c r="I68" s="88" t="s">
        <v>106</v>
      </c>
      <c r="K68" s="88" t="s">
        <v>104</v>
      </c>
      <c r="L68" s="82" t="s">
        <v>243</v>
      </c>
      <c r="M68" s="82" t="s">
        <v>244</v>
      </c>
      <c r="N68" s="84">
        <v>2.4</v>
      </c>
      <c r="O68" s="84">
        <v>66</v>
      </c>
      <c r="P68" s="82" t="s">
        <v>252</v>
      </c>
      <c r="Q68" s="86"/>
      <c r="R68" s="82" t="s">
        <v>252</v>
      </c>
      <c r="S68" s="82" t="s">
        <v>252</v>
      </c>
      <c r="T68" s="86"/>
      <c r="U68" s="84">
        <v>5</v>
      </c>
      <c r="V68" s="82">
        <v>0</v>
      </c>
      <c r="W68" s="84">
        <v>0</v>
      </c>
      <c r="X68" s="82" t="s">
        <v>252</v>
      </c>
      <c r="Y68" s="84">
        <v>1</v>
      </c>
      <c r="Z68" s="84">
        <v>2.6</v>
      </c>
      <c r="AA68" s="82">
        <v>0</v>
      </c>
      <c r="AB68" s="82" t="s">
        <v>252</v>
      </c>
      <c r="AC68" s="82" t="s">
        <v>252</v>
      </c>
      <c r="AD68" s="82" t="s">
        <v>254</v>
      </c>
      <c r="AE68" s="82" t="s">
        <v>256</v>
      </c>
      <c r="AF68" s="20">
        <f t="shared" si="8"/>
        <v>1.0833333333333335</v>
      </c>
      <c r="AG68" s="13">
        <f t="shared" ref="AG68:AG131" si="10">IF(O68&lt;15,0,IF(AND(O68&gt;=15,O68&lt;30),3,IF(O68&gt;=30,6,0)))</f>
        <v>6</v>
      </c>
      <c r="AH68" s="7">
        <f t="shared" ref="AH68:AH131" si="11">IF(P68 = "No", 10, IF(ISBLANK(N68), 0, IF(ISBLANK(Q68), 0, IF(OR(Q68 / N68 &lt;= 0.2, Q68 &lt; 0.3), 5, IF(OR(Q68 / N68 &gt;= 0.2, Q68 &gt;= 0.3), 0)))))</f>
        <v>10</v>
      </c>
      <c r="AI68" s="7">
        <f t="shared" ref="AI68:AI131" si="12">IF(V68&lt;0.15,0,IF(AND(V68&gt;=0.15,V68&lt;0.3),5,IF(V68&gt;=0.3,10,0)))</f>
        <v>0</v>
      </c>
      <c r="AJ68" s="7">
        <f t="shared" ref="AJ68:AJ131" si="13">IF(Y68&lt;1,0,IF(AND(Y68&gt;=1,Y68&lt;3),5,IF(Y68&gt;=3,10,0)))</f>
        <v>5</v>
      </c>
      <c r="AK68" s="7">
        <f t="shared" ref="AK68:AK131" si="14">IF(AF68&lt;1,0,IF(AND(AF68&gt;=1,AF68&lt;1.3),3,IF(AF68&gt;=1.3,6,0)))</f>
        <v>3</v>
      </c>
      <c r="AL68" s="12">
        <f t="shared" si="9"/>
        <v>24</v>
      </c>
      <c r="AM68" s="14" t="str">
        <f t="shared" ref="AM68:AM131" si="15">IF(ISBLANK(L68), "", IF(L68 = "Open Bottom Structure", "Passable", IF(L68 = "Other", "Unknown", IF(AL68 &lt; 15, "Passable", IF(AND(AL68 &gt;= 15,AL68 &lt;= 19), "Potential", IF(AL68 &gt; 19, "Barrier", ""))))))</f>
        <v>Barrier</v>
      </c>
      <c r="AN68" s="82"/>
      <c r="AO68" s="84"/>
      <c r="AP68" s="82" t="s">
        <v>392</v>
      </c>
    </row>
    <row r="69" spans="1:42" ht="16">
      <c r="A69" s="87">
        <v>45199</v>
      </c>
      <c r="C69" s="82">
        <v>15603872</v>
      </c>
      <c r="D69" s="82" t="s">
        <v>99</v>
      </c>
      <c r="E69" s="88">
        <v>10</v>
      </c>
      <c r="F69" s="89">
        <v>462928</v>
      </c>
      <c r="G69" s="89">
        <v>5969213</v>
      </c>
      <c r="H69" s="88" t="s">
        <v>229</v>
      </c>
      <c r="I69" s="88" t="s">
        <v>230</v>
      </c>
      <c r="K69" s="88" t="s">
        <v>119</v>
      </c>
      <c r="L69" s="82" t="s">
        <v>243</v>
      </c>
      <c r="M69" s="82" t="s">
        <v>244</v>
      </c>
      <c r="N69" s="84">
        <v>2.5</v>
      </c>
      <c r="O69" s="84">
        <v>78</v>
      </c>
      <c r="P69" s="82" t="s">
        <v>252</v>
      </c>
      <c r="Q69" s="86"/>
      <c r="R69" s="82" t="s">
        <v>252</v>
      </c>
      <c r="S69" s="82" t="s">
        <v>252</v>
      </c>
      <c r="T69" s="86"/>
      <c r="U69" s="84">
        <v>5</v>
      </c>
      <c r="V69" s="82">
        <v>0</v>
      </c>
      <c r="W69" s="84">
        <v>0.3</v>
      </c>
      <c r="X69" s="82" t="s">
        <v>252</v>
      </c>
      <c r="Y69" s="84">
        <v>0</v>
      </c>
      <c r="Z69" s="84">
        <v>3.1</v>
      </c>
      <c r="AA69" s="82">
        <v>3</v>
      </c>
      <c r="AB69" s="82" t="s">
        <v>252</v>
      </c>
      <c r="AC69" s="82" t="s">
        <v>252</v>
      </c>
      <c r="AD69" s="82" t="s">
        <v>254</v>
      </c>
      <c r="AE69" s="82" t="s">
        <v>256</v>
      </c>
      <c r="AF69" s="20">
        <f t="shared" si="8"/>
        <v>1.24</v>
      </c>
      <c r="AG69" s="13">
        <f t="shared" si="10"/>
        <v>6</v>
      </c>
      <c r="AH69" s="7">
        <f t="shared" si="11"/>
        <v>10</v>
      </c>
      <c r="AI69" s="7">
        <f t="shared" si="12"/>
        <v>0</v>
      </c>
      <c r="AJ69" s="7">
        <f t="shared" si="13"/>
        <v>0</v>
      </c>
      <c r="AK69" s="7">
        <f t="shared" si="14"/>
        <v>3</v>
      </c>
      <c r="AL69" s="12">
        <f t="shared" si="9"/>
        <v>19</v>
      </c>
      <c r="AM69" s="14" t="str">
        <f t="shared" si="15"/>
        <v>Potential</v>
      </c>
      <c r="AN69" s="82"/>
      <c r="AO69" s="84"/>
      <c r="AP69" s="82" t="s">
        <v>393</v>
      </c>
    </row>
    <row r="70" spans="1:42" ht="32">
      <c r="A70" s="87">
        <v>45199</v>
      </c>
      <c r="C70" s="82">
        <v>9902601</v>
      </c>
      <c r="D70" s="82" t="s">
        <v>99</v>
      </c>
      <c r="E70" s="88">
        <v>10</v>
      </c>
      <c r="F70" s="89">
        <v>474705</v>
      </c>
      <c r="G70" s="89">
        <v>5969325</v>
      </c>
      <c r="H70" s="88" t="s">
        <v>231</v>
      </c>
      <c r="I70" s="88" t="s">
        <v>106</v>
      </c>
      <c r="K70" s="88" t="s">
        <v>104</v>
      </c>
      <c r="L70" s="82" t="s">
        <v>243</v>
      </c>
      <c r="M70" s="82" t="s">
        <v>244</v>
      </c>
      <c r="N70" s="84">
        <v>2</v>
      </c>
      <c r="O70" s="84">
        <v>60</v>
      </c>
      <c r="P70" s="82" t="s">
        <v>252</v>
      </c>
      <c r="Q70" s="86"/>
      <c r="R70" s="82" t="s">
        <v>252</v>
      </c>
      <c r="S70" s="82" t="s">
        <v>252</v>
      </c>
      <c r="T70" s="86"/>
      <c r="U70" s="84">
        <v>8</v>
      </c>
      <c r="V70" s="82">
        <v>0</v>
      </c>
      <c r="W70" s="84">
        <v>0</v>
      </c>
      <c r="X70" s="82" t="s">
        <v>252</v>
      </c>
      <c r="Y70" s="84">
        <v>3.5</v>
      </c>
      <c r="Z70" s="84">
        <v>1.7</v>
      </c>
      <c r="AA70" s="82">
        <v>6</v>
      </c>
      <c r="AB70" s="82" t="s">
        <v>252</v>
      </c>
      <c r="AC70" s="82" t="s">
        <v>252</v>
      </c>
      <c r="AD70" s="82" t="s">
        <v>254</v>
      </c>
      <c r="AE70" s="82" t="s">
        <v>256</v>
      </c>
      <c r="AF70" s="20">
        <f t="shared" si="8"/>
        <v>0.85</v>
      </c>
      <c r="AG70" s="13">
        <f t="shared" si="10"/>
        <v>6</v>
      </c>
      <c r="AH70" s="7">
        <f t="shared" si="11"/>
        <v>10</v>
      </c>
      <c r="AI70" s="7">
        <f t="shared" si="12"/>
        <v>0</v>
      </c>
      <c r="AJ70" s="7">
        <f t="shared" si="13"/>
        <v>10</v>
      </c>
      <c r="AK70" s="7">
        <f t="shared" si="14"/>
        <v>0</v>
      </c>
      <c r="AL70" s="12">
        <f t="shared" si="9"/>
        <v>26</v>
      </c>
      <c r="AM70" s="14" t="str">
        <f t="shared" si="15"/>
        <v>Barrier</v>
      </c>
      <c r="AN70" s="82"/>
      <c r="AO70" s="84"/>
      <c r="AP70" s="82" t="s">
        <v>394</v>
      </c>
    </row>
    <row r="71" spans="1:42" ht="16">
      <c r="A71" s="87">
        <v>45199</v>
      </c>
      <c r="C71" s="82">
        <v>9903105</v>
      </c>
      <c r="D71" s="82" t="s">
        <v>99</v>
      </c>
      <c r="E71" s="88">
        <v>10</v>
      </c>
      <c r="F71" s="89">
        <v>482695</v>
      </c>
      <c r="G71" s="89">
        <v>5969819</v>
      </c>
      <c r="H71" s="88" t="s">
        <v>232</v>
      </c>
      <c r="I71" s="88" t="s">
        <v>233</v>
      </c>
      <c r="K71" s="88" t="s">
        <v>119</v>
      </c>
      <c r="L71" s="82" t="s">
        <v>243</v>
      </c>
      <c r="M71" s="82" t="s">
        <v>244</v>
      </c>
      <c r="N71" s="84">
        <v>2.2000000000000002</v>
      </c>
      <c r="O71" s="84">
        <v>16</v>
      </c>
      <c r="P71" s="82" t="s">
        <v>252</v>
      </c>
      <c r="Q71" s="86"/>
      <c r="R71" s="82" t="s">
        <v>252</v>
      </c>
      <c r="S71" s="82" t="s">
        <v>252</v>
      </c>
      <c r="T71" s="86"/>
      <c r="U71" s="84">
        <v>0.7</v>
      </c>
      <c r="V71" s="82">
        <v>0.1</v>
      </c>
      <c r="W71" s="84">
        <v>0.3</v>
      </c>
      <c r="X71" s="82" t="s">
        <v>252</v>
      </c>
      <c r="Y71" s="84">
        <v>1</v>
      </c>
      <c r="Z71" s="84">
        <v>2.2000000000000002</v>
      </c>
      <c r="AA71" s="82">
        <v>2</v>
      </c>
      <c r="AB71" s="82" t="s">
        <v>252</v>
      </c>
      <c r="AC71" s="82" t="s">
        <v>252</v>
      </c>
      <c r="AD71" s="82" t="s">
        <v>254</v>
      </c>
      <c r="AE71" s="82" t="s">
        <v>256</v>
      </c>
      <c r="AF71" s="20">
        <f t="shared" si="8"/>
        <v>1</v>
      </c>
      <c r="AG71" s="13">
        <f t="shared" si="10"/>
        <v>3</v>
      </c>
      <c r="AH71" s="7">
        <f t="shared" si="11"/>
        <v>10</v>
      </c>
      <c r="AI71" s="7">
        <f t="shared" si="12"/>
        <v>0</v>
      </c>
      <c r="AJ71" s="7">
        <f t="shared" si="13"/>
        <v>5</v>
      </c>
      <c r="AK71" s="7">
        <f t="shared" si="14"/>
        <v>3</v>
      </c>
      <c r="AL71" s="12">
        <f t="shared" ref="AL71:AL134" si="16">AG71 + AH71 + AI71 + AJ71 + AK71</f>
        <v>21</v>
      </c>
      <c r="AM71" s="14" t="str">
        <f t="shared" si="15"/>
        <v>Barrier</v>
      </c>
      <c r="AN71" s="82"/>
      <c r="AO71" s="84"/>
      <c r="AP71" s="82" t="s">
        <v>395</v>
      </c>
    </row>
    <row r="72" spans="1:42" ht="16">
      <c r="A72" s="87">
        <v>45199</v>
      </c>
      <c r="C72" s="82">
        <v>9900404</v>
      </c>
      <c r="D72" s="82" t="s">
        <v>99</v>
      </c>
      <c r="E72" s="88">
        <v>10</v>
      </c>
      <c r="F72" s="89">
        <v>494827</v>
      </c>
      <c r="G72" s="89">
        <v>5963256</v>
      </c>
      <c r="H72" s="88" t="s">
        <v>234</v>
      </c>
      <c r="I72" s="88" t="s">
        <v>106</v>
      </c>
      <c r="J72" s="93"/>
      <c r="K72" s="88" t="s">
        <v>104</v>
      </c>
      <c r="L72" s="82" t="s">
        <v>243</v>
      </c>
      <c r="M72" s="82" t="s">
        <v>244</v>
      </c>
      <c r="N72" s="84">
        <v>1.7</v>
      </c>
      <c r="O72" s="84">
        <v>56</v>
      </c>
      <c r="P72" s="82" t="s">
        <v>252</v>
      </c>
      <c r="Q72" s="86"/>
      <c r="R72" s="82" t="s">
        <v>252</v>
      </c>
      <c r="S72" s="82" t="s">
        <v>252</v>
      </c>
      <c r="T72" s="86"/>
      <c r="U72" s="84">
        <v>6</v>
      </c>
      <c r="V72" s="82">
        <v>0.4</v>
      </c>
      <c r="W72" s="84">
        <v>0</v>
      </c>
      <c r="X72" s="82" t="s">
        <v>252</v>
      </c>
      <c r="Y72" s="84">
        <v>2</v>
      </c>
      <c r="Z72" s="84">
        <v>2.2000000000000002</v>
      </c>
      <c r="AA72" s="82">
        <v>1</v>
      </c>
      <c r="AB72" s="82" t="s">
        <v>252</v>
      </c>
      <c r="AC72" s="82" t="s">
        <v>252</v>
      </c>
      <c r="AD72" s="82" t="s">
        <v>254</v>
      </c>
      <c r="AE72" s="82" t="s">
        <v>256</v>
      </c>
      <c r="AF72" s="20">
        <f t="shared" si="8"/>
        <v>1.2941176470588236</v>
      </c>
      <c r="AG72" s="13">
        <f t="shared" si="10"/>
        <v>6</v>
      </c>
      <c r="AH72" s="7">
        <f t="shared" si="11"/>
        <v>10</v>
      </c>
      <c r="AI72" s="7">
        <f t="shared" si="12"/>
        <v>10</v>
      </c>
      <c r="AJ72" s="7">
        <f t="shared" si="13"/>
        <v>5</v>
      </c>
      <c r="AK72" s="7">
        <f t="shared" si="14"/>
        <v>3</v>
      </c>
      <c r="AL72" s="12">
        <f t="shared" si="16"/>
        <v>34</v>
      </c>
      <c r="AM72" s="14" t="str">
        <f t="shared" si="15"/>
        <v>Barrier</v>
      </c>
      <c r="AN72" s="82"/>
      <c r="AO72" s="84"/>
      <c r="AP72" s="82" t="s">
        <v>396</v>
      </c>
    </row>
    <row r="73" spans="1:42" ht="16">
      <c r="A73" s="87">
        <v>45199</v>
      </c>
      <c r="C73" s="82">
        <v>9900446</v>
      </c>
      <c r="D73" s="82" t="s">
        <v>99</v>
      </c>
      <c r="E73" s="88">
        <v>10</v>
      </c>
      <c r="F73" s="89">
        <v>488990</v>
      </c>
      <c r="G73" s="89">
        <v>5965724</v>
      </c>
      <c r="H73" s="88" t="s">
        <v>235</v>
      </c>
      <c r="I73" s="88" t="s">
        <v>106</v>
      </c>
      <c r="K73" s="88" t="s">
        <v>104</v>
      </c>
      <c r="L73" s="82" t="s">
        <v>243</v>
      </c>
      <c r="M73" s="82" t="s">
        <v>244</v>
      </c>
      <c r="N73" s="84">
        <v>2.8</v>
      </c>
      <c r="O73" s="84">
        <v>45</v>
      </c>
      <c r="P73" s="82" t="s">
        <v>252</v>
      </c>
      <c r="Q73" s="86"/>
      <c r="R73" s="82" t="s">
        <v>252</v>
      </c>
      <c r="S73" s="82" t="s">
        <v>252</v>
      </c>
      <c r="T73" s="86"/>
      <c r="U73" s="84">
        <v>5</v>
      </c>
      <c r="V73" s="82">
        <v>0.4</v>
      </c>
      <c r="W73" s="84">
        <v>2</v>
      </c>
      <c r="X73" s="82" t="s">
        <v>252</v>
      </c>
      <c r="Y73" s="84">
        <v>2</v>
      </c>
      <c r="Z73" s="84">
        <v>4.0999999999999996</v>
      </c>
      <c r="AA73" s="82">
        <v>1.5</v>
      </c>
      <c r="AB73" s="82" t="s">
        <v>253</v>
      </c>
      <c r="AC73" s="82" t="s">
        <v>253</v>
      </c>
      <c r="AD73" s="82" t="s">
        <v>254</v>
      </c>
      <c r="AE73" s="82" t="s">
        <v>256</v>
      </c>
      <c r="AF73" s="20">
        <f t="shared" ref="AF73:AF136" si="17">IF(ISBLANK(Z73), 0, IF(ISBLANK(N73) &lt; 0, 0,Z73 / N73))</f>
        <v>1.4642857142857142</v>
      </c>
      <c r="AG73" s="13">
        <f t="shared" si="10"/>
        <v>6</v>
      </c>
      <c r="AH73" s="7">
        <f t="shared" si="11"/>
        <v>10</v>
      </c>
      <c r="AI73" s="7">
        <f t="shared" si="12"/>
        <v>10</v>
      </c>
      <c r="AJ73" s="7">
        <f t="shared" si="13"/>
        <v>5</v>
      </c>
      <c r="AK73" s="7">
        <f t="shared" si="14"/>
        <v>6</v>
      </c>
      <c r="AL73" s="12">
        <f t="shared" si="16"/>
        <v>37</v>
      </c>
      <c r="AM73" s="14" t="str">
        <f t="shared" si="15"/>
        <v>Barrier</v>
      </c>
      <c r="AN73" s="82"/>
      <c r="AO73" s="84"/>
      <c r="AP73" s="82" t="s">
        <v>397</v>
      </c>
    </row>
    <row r="74" spans="1:42" ht="16">
      <c r="A74" s="87">
        <v>45199</v>
      </c>
      <c r="C74" s="82">
        <v>9902577</v>
      </c>
      <c r="D74" s="82" t="s">
        <v>99</v>
      </c>
      <c r="E74" s="88">
        <v>10</v>
      </c>
      <c r="F74" s="89">
        <v>502368</v>
      </c>
      <c r="G74" s="89">
        <v>5962510</v>
      </c>
      <c r="H74" s="88" t="s">
        <v>150</v>
      </c>
      <c r="I74" s="88" t="s">
        <v>106</v>
      </c>
      <c r="K74" s="88" t="s">
        <v>104</v>
      </c>
      <c r="L74" s="82" t="s">
        <v>243</v>
      </c>
      <c r="M74" s="82" t="s">
        <v>248</v>
      </c>
      <c r="N74" s="84">
        <v>6.5</v>
      </c>
      <c r="O74" s="84">
        <v>26</v>
      </c>
      <c r="P74" s="82" t="s">
        <v>252</v>
      </c>
      <c r="Q74" s="86"/>
      <c r="R74" s="82" t="s">
        <v>252</v>
      </c>
      <c r="S74" s="82" t="s">
        <v>252</v>
      </c>
      <c r="T74" s="86"/>
      <c r="U74" s="84">
        <v>0.9</v>
      </c>
      <c r="V74" s="82">
        <v>0.6</v>
      </c>
      <c r="W74" s="84">
        <v>0.6</v>
      </c>
      <c r="X74" s="82" t="s">
        <v>252</v>
      </c>
      <c r="Y74" s="84">
        <v>3.5</v>
      </c>
      <c r="Z74" s="84">
        <v>7.6</v>
      </c>
      <c r="AA74" s="82">
        <v>2.5</v>
      </c>
      <c r="AB74" s="82" t="s">
        <v>252</v>
      </c>
      <c r="AC74" s="82" t="s">
        <v>252</v>
      </c>
      <c r="AD74" s="82" t="s">
        <v>254</v>
      </c>
      <c r="AE74" s="82" t="s">
        <v>255</v>
      </c>
      <c r="AF74" s="20">
        <f t="shared" si="17"/>
        <v>1.1692307692307691</v>
      </c>
      <c r="AG74" s="13">
        <f t="shared" si="10"/>
        <v>3</v>
      </c>
      <c r="AH74" s="7">
        <f t="shared" si="11"/>
        <v>10</v>
      </c>
      <c r="AI74" s="7">
        <f t="shared" si="12"/>
        <v>10</v>
      </c>
      <c r="AJ74" s="7">
        <f t="shared" si="13"/>
        <v>10</v>
      </c>
      <c r="AK74" s="7">
        <f t="shared" si="14"/>
        <v>3</v>
      </c>
      <c r="AL74" s="12">
        <f t="shared" si="16"/>
        <v>36</v>
      </c>
      <c r="AM74" s="14" t="str">
        <f t="shared" si="15"/>
        <v>Barrier</v>
      </c>
      <c r="AN74" s="82"/>
      <c r="AO74" s="84"/>
      <c r="AP74" s="82" t="s">
        <v>398</v>
      </c>
    </row>
    <row r="75" spans="1:42" ht="16">
      <c r="A75" s="87">
        <v>45199</v>
      </c>
      <c r="C75" s="82">
        <v>9900262</v>
      </c>
      <c r="D75" s="82" t="s">
        <v>99</v>
      </c>
      <c r="E75" s="88">
        <v>10</v>
      </c>
      <c r="F75" s="89">
        <v>502603</v>
      </c>
      <c r="G75" s="89">
        <v>5962435</v>
      </c>
      <c r="H75" s="88" t="s">
        <v>236</v>
      </c>
      <c r="I75" s="88" t="s">
        <v>106</v>
      </c>
      <c r="K75" s="88" t="s">
        <v>104</v>
      </c>
      <c r="L75" s="82" t="s">
        <v>243</v>
      </c>
      <c r="M75" s="82" t="s">
        <v>244</v>
      </c>
      <c r="N75" s="84">
        <v>0.9</v>
      </c>
      <c r="O75" s="84">
        <v>32</v>
      </c>
      <c r="P75" s="82" t="s">
        <v>252</v>
      </c>
      <c r="Q75" s="86"/>
      <c r="R75" s="82" t="s">
        <v>252</v>
      </c>
      <c r="S75" s="82" t="s">
        <v>252</v>
      </c>
      <c r="T75" s="86"/>
      <c r="U75" s="84">
        <v>2.5</v>
      </c>
      <c r="V75" s="82">
        <v>0</v>
      </c>
      <c r="W75" s="84">
        <v>0</v>
      </c>
      <c r="X75" s="82" t="s">
        <v>252</v>
      </c>
      <c r="Y75" s="84">
        <v>2</v>
      </c>
      <c r="Z75" s="84">
        <v>0.8</v>
      </c>
      <c r="AA75" s="82">
        <v>2</v>
      </c>
      <c r="AB75" s="82" t="s">
        <v>252</v>
      </c>
      <c r="AC75" s="82" t="s">
        <v>252</v>
      </c>
      <c r="AD75" s="82" t="s">
        <v>254</v>
      </c>
      <c r="AE75" s="82" t="s">
        <v>256</v>
      </c>
      <c r="AF75" s="20">
        <f t="shared" si="17"/>
        <v>0.88888888888888895</v>
      </c>
      <c r="AG75" s="13">
        <f t="shared" si="10"/>
        <v>6</v>
      </c>
      <c r="AH75" s="7">
        <f t="shared" si="11"/>
        <v>10</v>
      </c>
      <c r="AI75" s="7">
        <f t="shared" si="12"/>
        <v>0</v>
      </c>
      <c r="AJ75" s="7">
        <f t="shared" si="13"/>
        <v>5</v>
      </c>
      <c r="AK75" s="7">
        <f t="shared" si="14"/>
        <v>0</v>
      </c>
      <c r="AL75" s="12">
        <f t="shared" si="16"/>
        <v>21</v>
      </c>
      <c r="AM75" s="14" t="str">
        <f t="shared" si="15"/>
        <v>Barrier</v>
      </c>
      <c r="AN75" s="82"/>
      <c r="AO75" s="84"/>
      <c r="AP75" s="82" t="s">
        <v>399</v>
      </c>
    </row>
    <row r="76" spans="1:42" ht="32">
      <c r="A76" s="87">
        <v>45200</v>
      </c>
      <c r="C76" s="82">
        <v>9900380</v>
      </c>
      <c r="D76" s="82" t="s">
        <v>99</v>
      </c>
      <c r="E76" s="88">
        <v>10</v>
      </c>
      <c r="F76" s="89">
        <v>500461</v>
      </c>
      <c r="G76" s="89">
        <v>5958635</v>
      </c>
      <c r="H76" s="88" t="s">
        <v>148</v>
      </c>
      <c r="I76" s="88" t="s">
        <v>237</v>
      </c>
      <c r="K76" s="88" t="s">
        <v>119</v>
      </c>
      <c r="L76" s="82" t="s">
        <v>243</v>
      </c>
      <c r="M76" s="82" t="s">
        <v>244</v>
      </c>
      <c r="N76" s="84">
        <v>0.6</v>
      </c>
      <c r="O76" s="84">
        <v>22</v>
      </c>
      <c r="P76" s="82" t="s">
        <v>252</v>
      </c>
      <c r="Q76" s="86"/>
      <c r="R76" s="82" t="s">
        <v>252</v>
      </c>
      <c r="S76" s="82" t="s">
        <v>252</v>
      </c>
      <c r="T76" s="86"/>
      <c r="U76" s="84">
        <v>1</v>
      </c>
      <c r="V76" s="82">
        <v>1.5</v>
      </c>
      <c r="W76" s="84">
        <v>0.1</v>
      </c>
      <c r="X76" s="82" t="s">
        <v>252</v>
      </c>
      <c r="Y76" s="84">
        <v>4</v>
      </c>
      <c r="Z76" s="84">
        <v>1.6</v>
      </c>
      <c r="AA76" s="82">
        <v>6</v>
      </c>
      <c r="AB76" s="82" t="s">
        <v>252</v>
      </c>
      <c r="AC76" s="82" t="s">
        <v>252</v>
      </c>
      <c r="AD76" s="82" t="s">
        <v>254</v>
      </c>
      <c r="AE76" s="82" t="s">
        <v>256</v>
      </c>
      <c r="AF76" s="20">
        <f t="shared" si="17"/>
        <v>2.666666666666667</v>
      </c>
      <c r="AG76" s="13">
        <f t="shared" si="10"/>
        <v>3</v>
      </c>
      <c r="AH76" s="7">
        <f t="shared" si="11"/>
        <v>10</v>
      </c>
      <c r="AI76" s="7">
        <f t="shared" si="12"/>
        <v>10</v>
      </c>
      <c r="AJ76" s="7">
        <f t="shared" si="13"/>
        <v>10</v>
      </c>
      <c r="AK76" s="7">
        <f t="shared" si="14"/>
        <v>6</v>
      </c>
      <c r="AL76" s="12">
        <f t="shared" si="16"/>
        <v>39</v>
      </c>
      <c r="AM76" s="14" t="str">
        <f t="shared" si="15"/>
        <v>Barrier</v>
      </c>
      <c r="AN76" s="82"/>
      <c r="AO76" s="84"/>
      <c r="AP76" s="82" t="s">
        <v>400</v>
      </c>
    </row>
    <row r="77" spans="1:42" ht="32">
      <c r="A77" s="87">
        <v>45200</v>
      </c>
      <c r="C77" s="82">
        <v>9900385</v>
      </c>
      <c r="D77" s="82" t="s">
        <v>99</v>
      </c>
      <c r="E77" s="88">
        <v>10</v>
      </c>
      <c r="F77" s="89">
        <v>496344</v>
      </c>
      <c r="G77" s="89">
        <v>5954586</v>
      </c>
      <c r="H77" s="88" t="s">
        <v>238</v>
      </c>
      <c r="I77" s="88" t="s">
        <v>237</v>
      </c>
      <c r="K77" s="88" t="s">
        <v>119</v>
      </c>
      <c r="L77" s="82" t="s">
        <v>243</v>
      </c>
      <c r="M77" s="82" t="s">
        <v>244</v>
      </c>
      <c r="N77" s="84">
        <v>0.6</v>
      </c>
      <c r="O77" s="84">
        <v>15</v>
      </c>
      <c r="P77" s="82" t="s">
        <v>252</v>
      </c>
      <c r="Q77" s="86"/>
      <c r="R77" s="82" t="s">
        <v>252</v>
      </c>
      <c r="S77" s="82" t="s">
        <v>252</v>
      </c>
      <c r="T77" s="86"/>
      <c r="U77" s="84">
        <v>1.2</v>
      </c>
      <c r="V77" s="82">
        <v>0</v>
      </c>
      <c r="W77" s="84">
        <v>0</v>
      </c>
      <c r="X77" s="82" t="s">
        <v>252</v>
      </c>
      <c r="Y77" s="84">
        <v>3</v>
      </c>
      <c r="Z77" s="84">
        <v>1.4</v>
      </c>
      <c r="AA77" s="82">
        <v>4.5</v>
      </c>
      <c r="AB77" s="82" t="s">
        <v>252</v>
      </c>
      <c r="AC77" s="82" t="s">
        <v>252</v>
      </c>
      <c r="AD77" s="82" t="s">
        <v>254</v>
      </c>
      <c r="AE77" s="82" t="s">
        <v>257</v>
      </c>
      <c r="AF77" s="20">
        <f t="shared" si="17"/>
        <v>2.3333333333333335</v>
      </c>
      <c r="AG77" s="13">
        <f t="shared" si="10"/>
        <v>3</v>
      </c>
      <c r="AH77" s="7">
        <f t="shared" si="11"/>
        <v>10</v>
      </c>
      <c r="AI77" s="7">
        <f t="shared" si="12"/>
        <v>0</v>
      </c>
      <c r="AJ77" s="7">
        <f t="shared" si="13"/>
        <v>10</v>
      </c>
      <c r="AK77" s="7">
        <f t="shared" si="14"/>
        <v>6</v>
      </c>
      <c r="AL77" s="12">
        <f t="shared" si="16"/>
        <v>29</v>
      </c>
      <c r="AM77" s="14" t="str">
        <f t="shared" si="15"/>
        <v>Barrier</v>
      </c>
      <c r="AN77" s="82"/>
      <c r="AO77" s="84"/>
      <c r="AP77" s="82" t="s">
        <v>401</v>
      </c>
    </row>
    <row r="78" spans="1:42" ht="32">
      <c r="A78" s="87">
        <v>45200</v>
      </c>
      <c r="C78" s="82">
        <v>9900277</v>
      </c>
      <c r="D78" s="82" t="s">
        <v>99</v>
      </c>
      <c r="E78" s="88">
        <v>10</v>
      </c>
      <c r="F78" s="89">
        <v>508131</v>
      </c>
      <c r="G78" s="89">
        <v>5960681</v>
      </c>
      <c r="H78" s="88" t="s">
        <v>241</v>
      </c>
      <c r="I78" s="88" t="s">
        <v>242</v>
      </c>
      <c r="K78" s="88" t="s">
        <v>119</v>
      </c>
      <c r="L78" s="82" t="s">
        <v>243</v>
      </c>
      <c r="M78" s="82" t="s">
        <v>244</v>
      </c>
      <c r="N78" s="84">
        <v>2.5</v>
      </c>
      <c r="O78" s="84">
        <v>20</v>
      </c>
      <c r="P78" s="82" t="s">
        <v>252</v>
      </c>
      <c r="Q78" s="86"/>
      <c r="R78" s="82" t="s">
        <v>252</v>
      </c>
      <c r="S78" s="82" t="s">
        <v>252</v>
      </c>
      <c r="T78" s="86"/>
      <c r="U78" s="84">
        <v>2</v>
      </c>
      <c r="V78" s="82">
        <v>0</v>
      </c>
      <c r="W78" s="84">
        <v>0</v>
      </c>
      <c r="X78" s="82" t="s">
        <v>252</v>
      </c>
      <c r="Y78" s="84">
        <v>1</v>
      </c>
      <c r="Z78" s="84">
        <v>2.2999999999999998</v>
      </c>
      <c r="AA78" s="82">
        <v>2</v>
      </c>
      <c r="AB78" s="82" t="s">
        <v>253</v>
      </c>
      <c r="AC78" s="82" t="s">
        <v>252</v>
      </c>
      <c r="AD78" s="82" t="s">
        <v>254</v>
      </c>
      <c r="AE78" s="82" t="s">
        <v>256</v>
      </c>
      <c r="AF78" s="20">
        <f t="shared" si="17"/>
        <v>0.91999999999999993</v>
      </c>
      <c r="AG78" s="13">
        <f t="shared" si="10"/>
        <v>3</v>
      </c>
      <c r="AH78" s="7">
        <f t="shared" si="11"/>
        <v>10</v>
      </c>
      <c r="AI78" s="7">
        <f t="shared" si="12"/>
        <v>0</v>
      </c>
      <c r="AJ78" s="7">
        <f t="shared" si="13"/>
        <v>5</v>
      </c>
      <c r="AK78" s="7">
        <f t="shared" si="14"/>
        <v>0</v>
      </c>
      <c r="AL78" s="12">
        <f t="shared" si="16"/>
        <v>18</v>
      </c>
      <c r="AM78" s="14" t="str">
        <f t="shared" si="15"/>
        <v>Potential</v>
      </c>
      <c r="AN78" s="82"/>
      <c r="AO78" s="84"/>
      <c r="AP78" s="82" t="s">
        <v>402</v>
      </c>
    </row>
    <row r="79" spans="1:42" ht="16">
      <c r="A79" s="87">
        <v>45181</v>
      </c>
      <c r="C79" s="82">
        <v>13900100</v>
      </c>
      <c r="D79" s="82"/>
      <c r="E79" s="88">
        <v>10</v>
      </c>
      <c r="F79" s="89">
        <v>650774</v>
      </c>
      <c r="G79" s="89">
        <v>5934861</v>
      </c>
      <c r="H79" s="88" t="s">
        <v>259</v>
      </c>
      <c r="I79" s="88" t="s">
        <v>260</v>
      </c>
      <c r="K79" s="88" t="s">
        <v>104</v>
      </c>
      <c r="L79" s="82" t="s">
        <v>243</v>
      </c>
      <c r="M79" s="82" t="s">
        <v>248</v>
      </c>
      <c r="N79" s="84">
        <v>3.1</v>
      </c>
      <c r="O79" s="84">
        <v>44</v>
      </c>
      <c r="P79" s="82" t="s">
        <v>252</v>
      </c>
      <c r="Q79" s="86"/>
      <c r="R79" s="82" t="s">
        <v>252</v>
      </c>
      <c r="S79" s="82" t="s">
        <v>252</v>
      </c>
      <c r="T79" s="86"/>
      <c r="U79" s="84">
        <v>4.5</v>
      </c>
      <c r="V79" s="82">
        <v>0.35</v>
      </c>
      <c r="W79" s="84">
        <v>2</v>
      </c>
      <c r="X79" s="82" t="s">
        <v>252</v>
      </c>
      <c r="Y79" s="84">
        <v>2</v>
      </c>
      <c r="Z79" s="84">
        <v>15</v>
      </c>
      <c r="AA79" s="82">
        <v>0.5</v>
      </c>
      <c r="AB79" s="82" t="s">
        <v>252</v>
      </c>
      <c r="AC79" s="82" t="s">
        <v>252</v>
      </c>
      <c r="AD79" s="82" t="s">
        <v>254</v>
      </c>
      <c r="AE79" s="82" t="s">
        <v>255</v>
      </c>
      <c r="AF79" s="20">
        <f t="shared" si="17"/>
        <v>4.838709677419355</v>
      </c>
      <c r="AG79" s="13">
        <f t="shared" si="10"/>
        <v>6</v>
      </c>
      <c r="AH79" s="7">
        <f t="shared" si="11"/>
        <v>10</v>
      </c>
      <c r="AI79" s="7">
        <f t="shared" si="12"/>
        <v>10</v>
      </c>
      <c r="AJ79" s="7">
        <f t="shared" si="13"/>
        <v>5</v>
      </c>
      <c r="AK79" s="7">
        <f t="shared" si="14"/>
        <v>6</v>
      </c>
      <c r="AL79" s="12">
        <f t="shared" si="16"/>
        <v>37</v>
      </c>
      <c r="AM79" s="14" t="str">
        <f t="shared" si="15"/>
        <v>Barrier</v>
      </c>
      <c r="AN79" s="82"/>
      <c r="AO79" s="84"/>
      <c r="AP79" s="82" t="s">
        <v>403</v>
      </c>
    </row>
    <row r="80" spans="1:42" ht="32">
      <c r="A80" s="87">
        <v>45202</v>
      </c>
      <c r="C80" s="82">
        <v>13900026</v>
      </c>
      <c r="D80" s="82"/>
      <c r="E80" s="88">
        <v>10</v>
      </c>
      <c r="F80" s="89">
        <v>611035</v>
      </c>
      <c r="G80" s="89">
        <v>5968655</v>
      </c>
      <c r="H80" s="88" t="s">
        <v>261</v>
      </c>
      <c r="I80" s="88" t="s">
        <v>262</v>
      </c>
      <c r="K80" s="88" t="s">
        <v>263</v>
      </c>
      <c r="L80" s="82" t="s">
        <v>243</v>
      </c>
      <c r="M80" s="82" t="s">
        <v>244</v>
      </c>
      <c r="N80" s="84">
        <v>0.6</v>
      </c>
      <c r="O80" s="84">
        <v>10</v>
      </c>
      <c r="P80" s="82" t="s">
        <v>252</v>
      </c>
      <c r="Q80" s="86"/>
      <c r="R80" s="82" t="s">
        <v>252</v>
      </c>
      <c r="S80" s="82" t="s">
        <v>252</v>
      </c>
      <c r="T80" s="86"/>
      <c r="U80" s="84">
        <v>0.8</v>
      </c>
      <c r="V80" s="82">
        <v>0</v>
      </c>
      <c r="W80" s="84">
        <v>0</v>
      </c>
      <c r="X80" s="82" t="s">
        <v>252</v>
      </c>
      <c r="Y80" s="84">
        <v>3</v>
      </c>
      <c r="Z80" s="84">
        <v>1.4</v>
      </c>
      <c r="AA80" s="82">
        <v>2</v>
      </c>
      <c r="AB80" s="82" t="s">
        <v>252</v>
      </c>
      <c r="AC80" s="82" t="s">
        <v>252</v>
      </c>
      <c r="AD80" s="82" t="s">
        <v>254</v>
      </c>
      <c r="AE80" s="82" t="s">
        <v>256</v>
      </c>
      <c r="AF80" s="20">
        <f t="shared" si="17"/>
        <v>2.3333333333333335</v>
      </c>
      <c r="AG80" s="13">
        <f t="shared" si="10"/>
        <v>0</v>
      </c>
      <c r="AH80" s="7">
        <f t="shared" si="11"/>
        <v>10</v>
      </c>
      <c r="AI80" s="7">
        <f t="shared" si="12"/>
        <v>0</v>
      </c>
      <c r="AJ80" s="7">
        <f t="shared" si="13"/>
        <v>10</v>
      </c>
      <c r="AK80" s="7">
        <f t="shared" si="14"/>
        <v>6</v>
      </c>
      <c r="AL80" s="12">
        <f t="shared" si="16"/>
        <v>26</v>
      </c>
      <c r="AM80" s="14" t="str">
        <f t="shared" si="15"/>
        <v>Barrier</v>
      </c>
      <c r="AN80" s="82"/>
      <c r="AO80" s="84"/>
      <c r="AP80" s="82" t="s">
        <v>404</v>
      </c>
    </row>
    <row r="81" spans="1:42" ht="32">
      <c r="A81" s="87">
        <v>45202</v>
      </c>
      <c r="C81" s="82">
        <v>13905537</v>
      </c>
      <c r="D81" s="82"/>
      <c r="E81" s="88">
        <v>10</v>
      </c>
      <c r="F81" s="89">
        <v>612146</v>
      </c>
      <c r="G81" s="89">
        <v>5967655</v>
      </c>
      <c r="H81" s="88" t="s">
        <v>261</v>
      </c>
      <c r="I81" s="88" t="s">
        <v>264</v>
      </c>
      <c r="K81" s="88" t="s">
        <v>196</v>
      </c>
      <c r="L81" s="82" t="s">
        <v>243</v>
      </c>
      <c r="M81" s="82" t="s">
        <v>244</v>
      </c>
      <c r="N81" s="84">
        <v>2.7</v>
      </c>
      <c r="O81" s="84">
        <v>20</v>
      </c>
      <c r="P81" s="82" t="s">
        <v>252</v>
      </c>
      <c r="Q81" s="86"/>
      <c r="R81" s="82" t="s">
        <v>252</v>
      </c>
      <c r="S81" s="82" t="s">
        <v>252</v>
      </c>
      <c r="T81" s="86"/>
      <c r="U81" s="84">
        <v>7</v>
      </c>
      <c r="V81" s="82">
        <v>0.5</v>
      </c>
      <c r="W81" s="84">
        <v>0.3</v>
      </c>
      <c r="X81" s="82" t="s">
        <v>252</v>
      </c>
      <c r="Y81" s="84">
        <v>2.5</v>
      </c>
      <c r="Z81" s="84">
        <v>3.3</v>
      </c>
      <c r="AA81" s="82">
        <v>0.5</v>
      </c>
      <c r="AB81" s="82" t="s">
        <v>252</v>
      </c>
      <c r="AC81" s="82" t="s">
        <v>252</v>
      </c>
      <c r="AD81" s="82" t="s">
        <v>254</v>
      </c>
      <c r="AE81" s="82" t="s">
        <v>256</v>
      </c>
      <c r="AF81" s="20">
        <f t="shared" si="17"/>
        <v>1.2222222222222221</v>
      </c>
      <c r="AG81" s="13">
        <f t="shared" si="10"/>
        <v>3</v>
      </c>
      <c r="AH81" s="7">
        <f t="shared" si="11"/>
        <v>10</v>
      </c>
      <c r="AI81" s="7">
        <f t="shared" si="12"/>
        <v>10</v>
      </c>
      <c r="AJ81" s="7">
        <f t="shared" si="13"/>
        <v>5</v>
      </c>
      <c r="AK81" s="7">
        <f t="shared" si="14"/>
        <v>3</v>
      </c>
      <c r="AL81" s="12">
        <f t="shared" si="16"/>
        <v>31</v>
      </c>
      <c r="AM81" s="14" t="str">
        <f t="shared" si="15"/>
        <v>Barrier</v>
      </c>
      <c r="AN81" s="82"/>
      <c r="AO81" s="84"/>
      <c r="AP81" s="82" t="s">
        <v>405</v>
      </c>
    </row>
    <row r="82" spans="1:42" ht="16">
      <c r="A82" s="87">
        <v>45202</v>
      </c>
      <c r="C82" s="82">
        <v>13900027</v>
      </c>
      <c r="D82" s="82"/>
      <c r="E82" s="88">
        <v>10</v>
      </c>
      <c r="F82" s="89">
        <v>610540</v>
      </c>
      <c r="G82" s="89">
        <v>5969263</v>
      </c>
      <c r="H82" s="88" t="s">
        <v>265</v>
      </c>
      <c r="I82" s="88" t="s">
        <v>262</v>
      </c>
      <c r="K82" s="88" t="s">
        <v>263</v>
      </c>
      <c r="L82" s="82" t="s">
        <v>243</v>
      </c>
      <c r="M82" s="82" t="s">
        <v>244</v>
      </c>
      <c r="N82" s="84">
        <v>1.8</v>
      </c>
      <c r="O82" s="84">
        <v>10</v>
      </c>
      <c r="P82" s="82" t="s">
        <v>252</v>
      </c>
      <c r="Q82" s="86"/>
      <c r="R82" s="82" t="s">
        <v>252</v>
      </c>
      <c r="S82" s="82" t="s">
        <v>252</v>
      </c>
      <c r="T82" s="86"/>
      <c r="U82" s="84">
        <v>0.3</v>
      </c>
      <c r="V82" s="82">
        <v>0.2</v>
      </c>
      <c r="W82" s="84">
        <v>0.2</v>
      </c>
      <c r="X82" s="82" t="s">
        <v>252</v>
      </c>
      <c r="Y82" s="84">
        <v>1</v>
      </c>
      <c r="Z82" s="84">
        <v>3.1</v>
      </c>
      <c r="AA82" s="82">
        <v>1</v>
      </c>
      <c r="AB82" s="82" t="s">
        <v>252</v>
      </c>
      <c r="AC82" s="82" t="s">
        <v>252</v>
      </c>
      <c r="AD82" s="82" t="s">
        <v>254</v>
      </c>
      <c r="AE82" s="82" t="s">
        <v>256</v>
      </c>
      <c r="AF82" s="20">
        <f t="shared" si="17"/>
        <v>1.7222222222222223</v>
      </c>
      <c r="AG82" s="13">
        <f t="shared" si="10"/>
        <v>0</v>
      </c>
      <c r="AH82" s="7">
        <f t="shared" si="11"/>
        <v>10</v>
      </c>
      <c r="AI82" s="7">
        <f t="shared" si="12"/>
        <v>5</v>
      </c>
      <c r="AJ82" s="7">
        <f t="shared" si="13"/>
        <v>5</v>
      </c>
      <c r="AK82" s="7">
        <f t="shared" si="14"/>
        <v>6</v>
      </c>
      <c r="AL82" s="12">
        <f t="shared" si="16"/>
        <v>26</v>
      </c>
      <c r="AM82" s="14" t="str">
        <f t="shared" si="15"/>
        <v>Barrier</v>
      </c>
      <c r="AN82" s="82"/>
      <c r="AO82" s="84"/>
      <c r="AP82" s="82" t="s">
        <v>406</v>
      </c>
    </row>
    <row r="83" spans="1:42" ht="32">
      <c r="A83" s="87">
        <v>45202</v>
      </c>
      <c r="C83" s="82">
        <v>13905538</v>
      </c>
      <c r="D83" s="82"/>
      <c r="E83" s="88">
        <v>10</v>
      </c>
      <c r="F83" s="89">
        <v>610556</v>
      </c>
      <c r="G83" s="89">
        <v>5969281</v>
      </c>
      <c r="H83" s="88" t="s">
        <v>266</v>
      </c>
      <c r="I83" s="88" t="s">
        <v>267</v>
      </c>
      <c r="K83" s="88" t="s">
        <v>196</v>
      </c>
      <c r="L83" s="82" t="s">
        <v>243</v>
      </c>
      <c r="M83" s="82" t="s">
        <v>244</v>
      </c>
      <c r="N83" s="84">
        <v>1.8</v>
      </c>
      <c r="O83" s="84">
        <v>31</v>
      </c>
      <c r="P83" s="82" t="s">
        <v>252</v>
      </c>
      <c r="Q83" s="86"/>
      <c r="R83" s="82" t="s">
        <v>252</v>
      </c>
      <c r="S83" s="82" t="s">
        <v>252</v>
      </c>
      <c r="T83" s="86"/>
      <c r="U83" s="84">
        <v>9.9</v>
      </c>
      <c r="V83" s="82">
        <v>0</v>
      </c>
      <c r="W83" s="84">
        <v>0.2</v>
      </c>
      <c r="X83" s="82" t="s">
        <v>252</v>
      </c>
      <c r="Y83" s="84">
        <v>0.5</v>
      </c>
      <c r="Z83" s="84">
        <v>3.1</v>
      </c>
      <c r="AA83" s="82">
        <v>1</v>
      </c>
      <c r="AB83" s="82" t="s">
        <v>252</v>
      </c>
      <c r="AC83" s="82" t="s">
        <v>252</v>
      </c>
      <c r="AD83" s="82" t="s">
        <v>254</v>
      </c>
      <c r="AE83" s="82" t="s">
        <v>256</v>
      </c>
      <c r="AF83" s="20">
        <f t="shared" si="17"/>
        <v>1.7222222222222223</v>
      </c>
      <c r="AG83" s="13">
        <f t="shared" si="10"/>
        <v>6</v>
      </c>
      <c r="AH83" s="7">
        <f t="shared" si="11"/>
        <v>10</v>
      </c>
      <c r="AI83" s="7">
        <f t="shared" si="12"/>
        <v>0</v>
      </c>
      <c r="AJ83" s="7">
        <f t="shared" si="13"/>
        <v>0</v>
      </c>
      <c r="AK83" s="7">
        <f t="shared" si="14"/>
        <v>6</v>
      </c>
      <c r="AL83" s="12">
        <f t="shared" si="16"/>
        <v>22</v>
      </c>
      <c r="AM83" s="14" t="str">
        <f t="shared" si="15"/>
        <v>Barrier</v>
      </c>
      <c r="AN83" s="82"/>
      <c r="AO83" s="84"/>
      <c r="AP83" s="82" t="s">
        <v>407</v>
      </c>
    </row>
    <row r="84" spans="1:42" ht="32">
      <c r="A84" s="87">
        <v>45202</v>
      </c>
      <c r="C84" s="82">
        <v>13900309</v>
      </c>
      <c r="D84" s="82"/>
      <c r="E84" s="88">
        <v>10</v>
      </c>
      <c r="F84" s="89">
        <v>608028</v>
      </c>
      <c r="G84" s="89">
        <v>5970651</v>
      </c>
      <c r="H84" s="88" t="s">
        <v>266</v>
      </c>
      <c r="I84" s="88" t="s">
        <v>262</v>
      </c>
      <c r="K84" s="88" t="s">
        <v>263</v>
      </c>
      <c r="L84" s="82" t="s">
        <v>243</v>
      </c>
      <c r="M84" s="82" t="s">
        <v>244</v>
      </c>
      <c r="N84" s="84">
        <v>2</v>
      </c>
      <c r="O84" s="84">
        <v>19</v>
      </c>
      <c r="P84" s="82" t="s">
        <v>252</v>
      </c>
      <c r="Q84" s="86"/>
      <c r="R84" s="82" t="s">
        <v>252</v>
      </c>
      <c r="S84" s="82" t="s">
        <v>252</v>
      </c>
      <c r="T84" s="86"/>
      <c r="U84" s="84">
        <v>1.6</v>
      </c>
      <c r="V84" s="82">
        <v>0.3</v>
      </c>
      <c r="W84" s="84">
        <v>1.2</v>
      </c>
      <c r="X84" s="82" t="s">
        <v>252</v>
      </c>
      <c r="Y84" s="84">
        <v>3</v>
      </c>
      <c r="Z84" s="84">
        <v>3.8</v>
      </c>
      <c r="AA84" s="82">
        <v>1.5</v>
      </c>
      <c r="AB84" s="82" t="s">
        <v>252</v>
      </c>
      <c r="AC84" s="82" t="s">
        <v>252</v>
      </c>
      <c r="AD84" s="82" t="s">
        <v>254</v>
      </c>
      <c r="AE84" s="82" t="s">
        <v>255</v>
      </c>
      <c r="AF84" s="20">
        <f t="shared" si="17"/>
        <v>1.9</v>
      </c>
      <c r="AG84" s="13">
        <f t="shared" si="10"/>
        <v>3</v>
      </c>
      <c r="AH84" s="7">
        <f t="shared" si="11"/>
        <v>10</v>
      </c>
      <c r="AI84" s="7">
        <f t="shared" si="12"/>
        <v>10</v>
      </c>
      <c r="AJ84" s="7">
        <f t="shared" si="13"/>
        <v>10</v>
      </c>
      <c r="AK84" s="7">
        <f t="shared" si="14"/>
        <v>6</v>
      </c>
      <c r="AL84" s="12">
        <f t="shared" si="16"/>
        <v>39</v>
      </c>
      <c r="AM84" s="14" t="str">
        <f t="shared" si="15"/>
        <v>Barrier</v>
      </c>
      <c r="AN84" s="82"/>
      <c r="AO84" s="84"/>
      <c r="AP84" s="82" t="s">
        <v>408</v>
      </c>
    </row>
    <row r="85" spans="1:42" ht="32">
      <c r="A85" s="87">
        <v>45202</v>
      </c>
      <c r="C85" s="82">
        <v>13900306</v>
      </c>
      <c r="D85" s="82"/>
      <c r="E85" s="88">
        <v>10</v>
      </c>
      <c r="F85" s="89">
        <v>607661</v>
      </c>
      <c r="G85" s="89">
        <v>5971153</v>
      </c>
      <c r="H85" s="88" t="s">
        <v>261</v>
      </c>
      <c r="I85" s="88" t="s">
        <v>262</v>
      </c>
      <c r="K85" s="88" t="s">
        <v>263</v>
      </c>
      <c r="L85" s="82" t="s">
        <v>243</v>
      </c>
      <c r="M85" s="82" t="s">
        <v>244</v>
      </c>
      <c r="N85" s="84">
        <v>0.9</v>
      </c>
      <c r="O85" s="84">
        <v>8</v>
      </c>
      <c r="P85" s="82" t="s">
        <v>252</v>
      </c>
      <c r="Q85" s="86"/>
      <c r="R85" s="82" t="s">
        <v>252</v>
      </c>
      <c r="S85" s="82" t="s">
        <v>252</v>
      </c>
      <c r="T85" s="86"/>
      <c r="U85" s="84">
        <v>2</v>
      </c>
      <c r="V85" s="82">
        <v>0</v>
      </c>
      <c r="W85" s="84">
        <v>0.7</v>
      </c>
      <c r="X85" s="82" t="s">
        <v>253</v>
      </c>
      <c r="Y85" s="84">
        <v>1</v>
      </c>
      <c r="Z85" s="84">
        <v>3</v>
      </c>
      <c r="AA85" s="82">
        <v>0</v>
      </c>
      <c r="AB85" s="82" t="s">
        <v>253</v>
      </c>
      <c r="AC85" s="82" t="s">
        <v>252</v>
      </c>
      <c r="AD85" s="82" t="s">
        <v>254</v>
      </c>
      <c r="AE85" s="82" t="s">
        <v>256</v>
      </c>
      <c r="AF85" s="20">
        <f t="shared" si="17"/>
        <v>3.333333333333333</v>
      </c>
      <c r="AG85" s="13">
        <f t="shared" si="10"/>
        <v>0</v>
      </c>
      <c r="AH85" s="7">
        <f t="shared" si="11"/>
        <v>10</v>
      </c>
      <c r="AI85" s="7">
        <f t="shared" si="12"/>
        <v>0</v>
      </c>
      <c r="AJ85" s="7">
        <f t="shared" si="13"/>
        <v>5</v>
      </c>
      <c r="AK85" s="7">
        <f t="shared" si="14"/>
        <v>6</v>
      </c>
      <c r="AL85" s="12">
        <f t="shared" si="16"/>
        <v>21</v>
      </c>
      <c r="AM85" s="14" t="str">
        <f t="shared" si="15"/>
        <v>Barrier</v>
      </c>
      <c r="AN85" s="82"/>
      <c r="AO85" s="84"/>
      <c r="AP85" s="82" t="s">
        <v>409</v>
      </c>
    </row>
    <row r="86" spans="1:42" ht="32">
      <c r="A86" s="87">
        <v>45202</v>
      </c>
      <c r="C86" s="82">
        <v>13900305</v>
      </c>
      <c r="D86" s="82"/>
      <c r="E86" s="88">
        <v>10</v>
      </c>
      <c r="F86" s="89">
        <v>605976</v>
      </c>
      <c r="G86" s="89">
        <v>5971827</v>
      </c>
      <c r="H86" s="88" t="s">
        <v>261</v>
      </c>
      <c r="I86" s="88" t="s">
        <v>262</v>
      </c>
      <c r="K86" s="88" t="s">
        <v>268</v>
      </c>
      <c r="L86" s="82" t="s">
        <v>243</v>
      </c>
      <c r="M86" s="82" t="s">
        <v>244</v>
      </c>
      <c r="N86" s="84">
        <v>0.9</v>
      </c>
      <c r="O86" s="84">
        <v>6</v>
      </c>
      <c r="P86" s="82" t="s">
        <v>252</v>
      </c>
      <c r="Q86" s="86"/>
      <c r="R86" s="82" t="s">
        <v>252</v>
      </c>
      <c r="S86" s="82" t="s">
        <v>252</v>
      </c>
      <c r="T86" s="86"/>
      <c r="U86" s="84">
        <v>0.5</v>
      </c>
      <c r="V86" s="82">
        <v>0</v>
      </c>
      <c r="W86" s="84">
        <v>0</v>
      </c>
      <c r="X86" s="82" t="s">
        <v>253</v>
      </c>
      <c r="Y86" s="84">
        <v>1</v>
      </c>
      <c r="Z86" s="84">
        <v>2.2000000000000002</v>
      </c>
      <c r="AA86" s="82">
        <v>2</v>
      </c>
      <c r="AB86" s="82" t="s">
        <v>252</v>
      </c>
      <c r="AC86" s="82" t="s">
        <v>252</v>
      </c>
      <c r="AD86" s="82" t="s">
        <v>254</v>
      </c>
      <c r="AE86" s="82" t="s">
        <v>257</v>
      </c>
      <c r="AF86" s="20">
        <f t="shared" si="17"/>
        <v>2.4444444444444446</v>
      </c>
      <c r="AG86" s="13">
        <f t="shared" si="10"/>
        <v>0</v>
      </c>
      <c r="AH86" s="7">
        <f t="shared" si="11"/>
        <v>10</v>
      </c>
      <c r="AI86" s="7">
        <f t="shared" si="12"/>
        <v>0</v>
      </c>
      <c r="AJ86" s="7">
        <f t="shared" si="13"/>
        <v>5</v>
      </c>
      <c r="AK86" s="7">
        <f t="shared" si="14"/>
        <v>6</v>
      </c>
      <c r="AL86" s="12">
        <f t="shared" si="16"/>
        <v>21</v>
      </c>
      <c r="AM86" s="14" t="str">
        <f t="shared" si="15"/>
        <v>Barrier</v>
      </c>
      <c r="AN86" s="82"/>
      <c r="AO86" s="84"/>
      <c r="AP86" s="82" t="s">
        <v>410</v>
      </c>
    </row>
    <row r="87" spans="1:42" ht="32">
      <c r="A87" s="87">
        <v>45202</v>
      </c>
      <c r="C87" s="82">
        <v>13903451</v>
      </c>
      <c r="D87" s="82"/>
      <c r="E87" s="88">
        <v>10</v>
      </c>
      <c r="F87" s="89">
        <v>605208</v>
      </c>
      <c r="G87" s="89">
        <v>5972373</v>
      </c>
      <c r="H87" s="88" t="s">
        <v>266</v>
      </c>
      <c r="I87" s="88" t="s">
        <v>262</v>
      </c>
      <c r="K87" s="88" t="s">
        <v>268</v>
      </c>
      <c r="L87" s="82" t="s">
        <v>243</v>
      </c>
      <c r="M87" s="82" t="s">
        <v>244</v>
      </c>
      <c r="N87" s="84">
        <v>0.8</v>
      </c>
      <c r="O87" s="84">
        <v>10</v>
      </c>
      <c r="P87" s="82" t="s">
        <v>252</v>
      </c>
      <c r="Q87" s="86"/>
      <c r="R87" s="82" t="s">
        <v>252</v>
      </c>
      <c r="S87" s="82" t="s">
        <v>252</v>
      </c>
      <c r="T87" s="86"/>
      <c r="U87" s="84">
        <v>1</v>
      </c>
      <c r="V87" s="82">
        <v>0.2</v>
      </c>
      <c r="W87" s="84">
        <v>0.2</v>
      </c>
      <c r="X87" s="82" t="s">
        <v>252</v>
      </c>
      <c r="Y87" s="84">
        <v>3</v>
      </c>
      <c r="Z87" s="84">
        <v>1.4</v>
      </c>
      <c r="AA87" s="82">
        <v>2</v>
      </c>
      <c r="AB87" s="82" t="s">
        <v>252</v>
      </c>
      <c r="AC87" s="82" t="s">
        <v>252</v>
      </c>
      <c r="AD87" s="82" t="s">
        <v>254</v>
      </c>
      <c r="AE87" s="82" t="s">
        <v>256</v>
      </c>
      <c r="AF87" s="20">
        <f t="shared" si="17"/>
        <v>1.7499999999999998</v>
      </c>
      <c r="AG87" s="13">
        <f t="shared" si="10"/>
        <v>0</v>
      </c>
      <c r="AH87" s="7">
        <f t="shared" si="11"/>
        <v>10</v>
      </c>
      <c r="AI87" s="7">
        <f t="shared" si="12"/>
        <v>5</v>
      </c>
      <c r="AJ87" s="7">
        <f t="shared" si="13"/>
        <v>10</v>
      </c>
      <c r="AK87" s="7">
        <f t="shared" si="14"/>
        <v>6</v>
      </c>
      <c r="AL87" s="12">
        <f t="shared" si="16"/>
        <v>31</v>
      </c>
      <c r="AM87" s="14" t="str">
        <f t="shared" si="15"/>
        <v>Barrier</v>
      </c>
      <c r="AN87" s="82"/>
      <c r="AO87" s="84"/>
      <c r="AP87" s="82" t="s">
        <v>411</v>
      </c>
    </row>
    <row r="88" spans="1:42" ht="32">
      <c r="A88" s="87">
        <v>45202</v>
      </c>
      <c r="C88" s="82">
        <v>13903452</v>
      </c>
      <c r="D88" s="82"/>
      <c r="E88" s="88">
        <v>10</v>
      </c>
      <c r="F88" s="89">
        <v>604828</v>
      </c>
      <c r="G88" s="89">
        <v>5973094</v>
      </c>
      <c r="H88" s="88" t="s">
        <v>261</v>
      </c>
      <c r="I88" s="88" t="s">
        <v>262</v>
      </c>
      <c r="K88" s="88" t="s">
        <v>268</v>
      </c>
      <c r="L88" s="82" t="s">
        <v>243</v>
      </c>
      <c r="M88" s="82" t="s">
        <v>244</v>
      </c>
      <c r="N88" s="84">
        <v>0.6</v>
      </c>
      <c r="O88" s="84">
        <v>13.5</v>
      </c>
      <c r="P88" s="82" t="s">
        <v>252</v>
      </c>
      <c r="Q88" s="86"/>
      <c r="R88" s="82" t="s">
        <v>252</v>
      </c>
      <c r="S88" s="82" t="s">
        <v>252</v>
      </c>
      <c r="T88" s="86"/>
      <c r="U88" s="84">
        <v>1.5</v>
      </c>
      <c r="V88" s="82">
        <v>0.7</v>
      </c>
      <c r="W88" s="84">
        <v>0.6</v>
      </c>
      <c r="X88" s="82" t="s">
        <v>252</v>
      </c>
      <c r="Y88" s="84">
        <v>3</v>
      </c>
      <c r="Z88" s="84">
        <v>3.2</v>
      </c>
      <c r="AA88" s="82">
        <v>2</v>
      </c>
      <c r="AB88" s="82" t="s">
        <v>252</v>
      </c>
      <c r="AC88" s="82" t="s">
        <v>252</v>
      </c>
      <c r="AD88" s="82" t="s">
        <v>254</v>
      </c>
      <c r="AE88" s="82" t="s">
        <v>256</v>
      </c>
      <c r="AF88" s="20">
        <f t="shared" si="17"/>
        <v>5.3333333333333339</v>
      </c>
      <c r="AG88" s="13">
        <f t="shared" si="10"/>
        <v>0</v>
      </c>
      <c r="AH88" s="7">
        <f t="shared" si="11"/>
        <v>10</v>
      </c>
      <c r="AI88" s="7">
        <f t="shared" si="12"/>
        <v>10</v>
      </c>
      <c r="AJ88" s="7">
        <f t="shared" si="13"/>
        <v>10</v>
      </c>
      <c r="AK88" s="7">
        <f t="shared" si="14"/>
        <v>6</v>
      </c>
      <c r="AL88" s="12">
        <f t="shared" si="16"/>
        <v>36</v>
      </c>
      <c r="AM88" s="14" t="str">
        <f t="shared" si="15"/>
        <v>Barrier</v>
      </c>
      <c r="AN88" s="82"/>
      <c r="AO88" s="84"/>
      <c r="AP88" s="82" t="s">
        <v>412</v>
      </c>
    </row>
    <row r="89" spans="1:42" ht="32">
      <c r="A89" s="87">
        <v>45202</v>
      </c>
      <c r="C89" s="82">
        <v>13903450</v>
      </c>
      <c r="D89" s="82"/>
      <c r="E89" s="88">
        <v>10</v>
      </c>
      <c r="F89" s="89">
        <v>604449</v>
      </c>
      <c r="G89" s="89">
        <v>5973168</v>
      </c>
      <c r="H89" s="88" t="s">
        <v>266</v>
      </c>
      <c r="I89" s="88" t="s">
        <v>262</v>
      </c>
      <c r="K89" s="88" t="s">
        <v>268</v>
      </c>
      <c r="L89" s="82" t="s">
        <v>243</v>
      </c>
      <c r="M89" s="82" t="s">
        <v>244</v>
      </c>
      <c r="N89" s="84">
        <v>1.3</v>
      </c>
      <c r="O89" s="84">
        <v>10</v>
      </c>
      <c r="P89" s="82" t="s">
        <v>252</v>
      </c>
      <c r="Q89" s="86"/>
      <c r="R89" s="82" t="s">
        <v>252</v>
      </c>
      <c r="S89" s="82" t="s">
        <v>252</v>
      </c>
      <c r="T89" s="86"/>
      <c r="U89" s="84">
        <v>0.6</v>
      </c>
      <c r="V89" s="82">
        <v>0.5</v>
      </c>
      <c r="W89" s="84">
        <v>0.5</v>
      </c>
      <c r="X89" s="82" t="s">
        <v>252</v>
      </c>
      <c r="Y89" s="84">
        <v>4</v>
      </c>
      <c r="Z89" s="84">
        <v>1.9</v>
      </c>
      <c r="AA89" s="82">
        <v>2</v>
      </c>
      <c r="AB89" s="82" t="s">
        <v>253</v>
      </c>
      <c r="AC89" s="82" t="s">
        <v>252</v>
      </c>
      <c r="AD89" s="82" t="s">
        <v>254</v>
      </c>
      <c r="AE89" s="82" t="s">
        <v>256</v>
      </c>
      <c r="AF89" s="20">
        <f t="shared" si="17"/>
        <v>1.4615384615384615</v>
      </c>
      <c r="AG89" s="13">
        <f t="shared" si="10"/>
        <v>0</v>
      </c>
      <c r="AH89" s="7">
        <f t="shared" si="11"/>
        <v>10</v>
      </c>
      <c r="AI89" s="7">
        <f t="shared" si="12"/>
        <v>10</v>
      </c>
      <c r="AJ89" s="7">
        <f t="shared" si="13"/>
        <v>10</v>
      </c>
      <c r="AK89" s="7">
        <f t="shared" si="14"/>
        <v>6</v>
      </c>
      <c r="AL89" s="12">
        <f t="shared" si="16"/>
        <v>36</v>
      </c>
      <c r="AM89" s="14" t="str">
        <f t="shared" si="15"/>
        <v>Barrier</v>
      </c>
      <c r="AN89" s="82"/>
      <c r="AO89" s="84"/>
      <c r="AP89" s="82" t="s">
        <v>413</v>
      </c>
    </row>
    <row r="90" spans="1:42" ht="32">
      <c r="A90" s="87">
        <v>45202</v>
      </c>
      <c r="C90" s="82">
        <v>13903449</v>
      </c>
      <c r="D90" s="82"/>
      <c r="E90" s="88">
        <v>10</v>
      </c>
      <c r="F90" s="89">
        <v>603342</v>
      </c>
      <c r="G90" s="89">
        <v>5973549</v>
      </c>
      <c r="H90" s="88" t="s">
        <v>266</v>
      </c>
      <c r="I90" s="88" t="s">
        <v>262</v>
      </c>
      <c r="K90" s="88" t="s">
        <v>268</v>
      </c>
      <c r="L90" s="82" t="s">
        <v>243</v>
      </c>
      <c r="M90" s="82" t="s">
        <v>244</v>
      </c>
      <c r="N90" s="84">
        <v>0.6</v>
      </c>
      <c r="O90" s="84">
        <v>14.5</v>
      </c>
      <c r="P90" s="82" t="s">
        <v>252</v>
      </c>
      <c r="Q90" s="86"/>
      <c r="R90" s="82" t="s">
        <v>252</v>
      </c>
      <c r="S90" s="82" t="s">
        <v>252</v>
      </c>
      <c r="T90" s="86"/>
      <c r="U90" s="84">
        <v>1.1000000000000001</v>
      </c>
      <c r="V90" s="82">
        <v>0.6</v>
      </c>
      <c r="W90" s="84">
        <v>0.65</v>
      </c>
      <c r="X90" s="82" t="s">
        <v>252</v>
      </c>
      <c r="Y90" s="84">
        <v>4</v>
      </c>
      <c r="Z90" s="84">
        <v>0.7</v>
      </c>
      <c r="AA90" s="82">
        <v>1</v>
      </c>
      <c r="AB90" s="82" t="s">
        <v>252</v>
      </c>
      <c r="AC90" s="82" t="s">
        <v>252</v>
      </c>
      <c r="AD90" s="82" t="s">
        <v>254</v>
      </c>
      <c r="AE90" s="82" t="s">
        <v>257</v>
      </c>
      <c r="AF90" s="20">
        <f t="shared" si="17"/>
        <v>1.1666666666666667</v>
      </c>
      <c r="AG90" s="13">
        <f t="shared" si="10"/>
        <v>0</v>
      </c>
      <c r="AH90" s="7">
        <f t="shared" si="11"/>
        <v>10</v>
      </c>
      <c r="AI90" s="7">
        <f t="shared" si="12"/>
        <v>10</v>
      </c>
      <c r="AJ90" s="7">
        <f t="shared" si="13"/>
        <v>10</v>
      </c>
      <c r="AK90" s="7">
        <f t="shared" si="14"/>
        <v>3</v>
      </c>
      <c r="AL90" s="12">
        <f t="shared" si="16"/>
        <v>33</v>
      </c>
      <c r="AM90" s="14" t="str">
        <f t="shared" si="15"/>
        <v>Barrier</v>
      </c>
      <c r="AN90" s="82"/>
      <c r="AO90" s="84"/>
      <c r="AP90" s="82" t="s">
        <v>414</v>
      </c>
    </row>
    <row r="91" spans="1:42" ht="16">
      <c r="A91" s="87">
        <v>45202</v>
      </c>
      <c r="C91" s="82">
        <v>2023100301</v>
      </c>
      <c r="D91" s="82"/>
      <c r="E91" s="88">
        <v>10</v>
      </c>
      <c r="F91" s="89">
        <v>601824</v>
      </c>
      <c r="G91" s="89">
        <v>5974432</v>
      </c>
      <c r="H91" s="88" t="s">
        <v>269</v>
      </c>
      <c r="I91" s="88" t="s">
        <v>270</v>
      </c>
      <c r="K91" s="88" t="s">
        <v>119</v>
      </c>
      <c r="L91" s="82" t="s">
        <v>243</v>
      </c>
      <c r="M91" s="82" t="s">
        <v>244</v>
      </c>
      <c r="N91" s="84">
        <v>0.8</v>
      </c>
      <c r="O91" s="84">
        <v>11</v>
      </c>
      <c r="P91" s="82" t="s">
        <v>252</v>
      </c>
      <c r="Q91" s="86"/>
      <c r="R91" s="82" t="s">
        <v>252</v>
      </c>
      <c r="S91" s="82" t="s">
        <v>252</v>
      </c>
      <c r="T91" s="86"/>
      <c r="U91" s="84">
        <v>0.3</v>
      </c>
      <c r="V91" s="82">
        <v>0.08</v>
      </c>
      <c r="W91" s="84">
        <v>0.2</v>
      </c>
      <c r="X91" s="82" t="s">
        <v>252</v>
      </c>
      <c r="Y91" s="84">
        <v>2.5</v>
      </c>
      <c r="Z91" s="84">
        <v>3.4</v>
      </c>
      <c r="AA91" s="82">
        <v>1.5</v>
      </c>
      <c r="AB91" s="82" t="s">
        <v>252</v>
      </c>
      <c r="AC91" s="82" t="s">
        <v>252</v>
      </c>
      <c r="AD91" s="82" t="s">
        <v>254</v>
      </c>
      <c r="AE91" s="82" t="s">
        <v>256</v>
      </c>
      <c r="AF91" s="20">
        <f t="shared" si="17"/>
        <v>4.25</v>
      </c>
      <c r="AG91" s="13">
        <f t="shared" si="10"/>
        <v>0</v>
      </c>
      <c r="AH91" s="7">
        <f t="shared" si="11"/>
        <v>10</v>
      </c>
      <c r="AI91" s="7">
        <f t="shared" si="12"/>
        <v>0</v>
      </c>
      <c r="AJ91" s="7">
        <f t="shared" si="13"/>
        <v>5</v>
      </c>
      <c r="AK91" s="7">
        <f t="shared" si="14"/>
        <v>6</v>
      </c>
      <c r="AL91" s="12">
        <f t="shared" si="16"/>
        <v>21</v>
      </c>
      <c r="AM91" s="14" t="str">
        <f t="shared" si="15"/>
        <v>Barrier</v>
      </c>
      <c r="AN91" s="82"/>
      <c r="AO91" s="84"/>
      <c r="AP91" s="82" t="s">
        <v>415</v>
      </c>
    </row>
    <row r="92" spans="1:42" ht="16">
      <c r="A92" s="87">
        <v>45202</v>
      </c>
      <c r="C92" s="82">
        <v>13900052</v>
      </c>
      <c r="D92" s="82"/>
      <c r="E92" s="88">
        <v>10</v>
      </c>
      <c r="F92" s="89">
        <v>587885</v>
      </c>
      <c r="G92" s="89">
        <v>5985390</v>
      </c>
      <c r="H92" s="88" t="s">
        <v>271</v>
      </c>
      <c r="I92" s="88" t="s">
        <v>272</v>
      </c>
      <c r="K92" s="88" t="s">
        <v>104</v>
      </c>
      <c r="L92" s="82" t="s">
        <v>243</v>
      </c>
      <c r="M92" s="82" t="s">
        <v>244</v>
      </c>
      <c r="N92" s="84">
        <v>0.9</v>
      </c>
      <c r="O92" s="84">
        <v>18</v>
      </c>
      <c r="P92" s="82" t="s">
        <v>252</v>
      </c>
      <c r="Q92" s="86"/>
      <c r="R92" s="82" t="s">
        <v>252</v>
      </c>
      <c r="S92" s="82" t="s">
        <v>252</v>
      </c>
      <c r="T92" s="86"/>
      <c r="U92" s="84">
        <v>1</v>
      </c>
      <c r="V92" s="82">
        <v>0</v>
      </c>
      <c r="W92" s="84">
        <v>0</v>
      </c>
      <c r="X92" s="82" t="s">
        <v>252</v>
      </c>
      <c r="Y92" s="84">
        <v>3</v>
      </c>
      <c r="Z92" s="84">
        <v>1.6</v>
      </c>
      <c r="AA92" s="82">
        <v>2.5</v>
      </c>
      <c r="AB92" s="82" t="s">
        <v>252</v>
      </c>
      <c r="AC92" s="82" t="s">
        <v>252</v>
      </c>
      <c r="AD92" s="82" t="s">
        <v>254</v>
      </c>
      <c r="AE92" s="82" t="s">
        <v>256</v>
      </c>
      <c r="AF92" s="20">
        <f t="shared" si="17"/>
        <v>1.7777777777777779</v>
      </c>
      <c r="AG92" s="13">
        <f t="shared" si="10"/>
        <v>3</v>
      </c>
      <c r="AH92" s="7">
        <f t="shared" si="11"/>
        <v>10</v>
      </c>
      <c r="AI92" s="7">
        <f t="shared" si="12"/>
        <v>0</v>
      </c>
      <c r="AJ92" s="7">
        <f t="shared" si="13"/>
        <v>10</v>
      </c>
      <c r="AK92" s="7">
        <f t="shared" si="14"/>
        <v>6</v>
      </c>
      <c r="AL92" s="12">
        <f t="shared" si="16"/>
        <v>29</v>
      </c>
      <c r="AM92" s="14" t="str">
        <f t="shared" si="15"/>
        <v>Barrier</v>
      </c>
      <c r="AN92" s="82"/>
      <c r="AO92" s="84"/>
      <c r="AP92" s="82" t="s">
        <v>416</v>
      </c>
    </row>
    <row r="93" spans="1:42" ht="16">
      <c r="A93" s="87">
        <v>45202</v>
      </c>
      <c r="C93" s="82">
        <v>13905581</v>
      </c>
      <c r="D93" s="82"/>
      <c r="E93" s="88">
        <v>10</v>
      </c>
      <c r="F93" s="89">
        <v>587975</v>
      </c>
      <c r="G93" s="89">
        <v>5985293</v>
      </c>
      <c r="H93" s="88" t="s">
        <v>271</v>
      </c>
      <c r="I93" s="88" t="s">
        <v>195</v>
      </c>
      <c r="K93" s="88" t="s">
        <v>196</v>
      </c>
      <c r="L93" s="82" t="s">
        <v>243</v>
      </c>
      <c r="M93" s="82" t="s">
        <v>244</v>
      </c>
      <c r="N93" s="84">
        <v>0.9</v>
      </c>
      <c r="O93" s="84">
        <v>12</v>
      </c>
      <c r="P93" s="82" t="s">
        <v>252</v>
      </c>
      <c r="Q93" s="86"/>
      <c r="R93" s="82" t="s">
        <v>252</v>
      </c>
      <c r="S93" s="82" t="s">
        <v>252</v>
      </c>
      <c r="T93" s="86"/>
      <c r="U93" s="84">
        <v>1.2</v>
      </c>
      <c r="V93" s="82">
        <v>0</v>
      </c>
      <c r="W93" s="84">
        <v>0</v>
      </c>
      <c r="X93" s="82" t="s">
        <v>252</v>
      </c>
      <c r="Y93" s="84">
        <v>1</v>
      </c>
      <c r="Z93" s="84">
        <v>1.1000000000000001</v>
      </c>
      <c r="AA93" s="82">
        <v>2</v>
      </c>
      <c r="AB93" s="82" t="s">
        <v>252</v>
      </c>
      <c r="AC93" s="82" t="s">
        <v>252</v>
      </c>
      <c r="AD93" s="82" t="s">
        <v>254</v>
      </c>
      <c r="AE93" s="82" t="s">
        <v>257</v>
      </c>
      <c r="AF93" s="20">
        <f t="shared" si="17"/>
        <v>1.2222222222222223</v>
      </c>
      <c r="AG93" s="13">
        <f t="shared" si="10"/>
        <v>0</v>
      </c>
      <c r="AH93" s="7">
        <f t="shared" si="11"/>
        <v>10</v>
      </c>
      <c r="AI93" s="7">
        <f t="shared" si="12"/>
        <v>0</v>
      </c>
      <c r="AJ93" s="7">
        <f t="shared" si="13"/>
        <v>5</v>
      </c>
      <c r="AK93" s="7">
        <f t="shared" si="14"/>
        <v>3</v>
      </c>
      <c r="AL93" s="12">
        <f t="shared" si="16"/>
        <v>18</v>
      </c>
      <c r="AM93" s="14" t="str">
        <f t="shared" si="15"/>
        <v>Potential</v>
      </c>
      <c r="AN93" s="82"/>
      <c r="AO93" s="84"/>
      <c r="AP93" s="82" t="s">
        <v>417</v>
      </c>
    </row>
    <row r="94" spans="1:42" ht="32">
      <c r="A94" s="87">
        <v>45202</v>
      </c>
      <c r="C94" s="82">
        <v>13900094</v>
      </c>
      <c r="D94" s="82"/>
      <c r="E94" s="88">
        <v>10</v>
      </c>
      <c r="F94" s="89">
        <v>584227</v>
      </c>
      <c r="G94" s="89">
        <v>5988493</v>
      </c>
      <c r="H94" s="88" t="s">
        <v>261</v>
      </c>
      <c r="I94" s="88" t="s">
        <v>273</v>
      </c>
      <c r="K94" s="88" t="s">
        <v>104</v>
      </c>
      <c r="L94" s="82" t="s">
        <v>243</v>
      </c>
      <c r="M94" s="82" t="s">
        <v>244</v>
      </c>
      <c r="N94" s="84">
        <v>0.8</v>
      </c>
      <c r="O94" s="84">
        <v>19.5</v>
      </c>
      <c r="P94" s="82" t="s">
        <v>252</v>
      </c>
      <c r="Q94" s="86"/>
      <c r="R94" s="82" t="s">
        <v>252</v>
      </c>
      <c r="S94" s="82" t="s">
        <v>252</v>
      </c>
      <c r="T94" s="86"/>
      <c r="U94" s="84">
        <v>1.2</v>
      </c>
      <c r="V94" s="82">
        <v>0</v>
      </c>
      <c r="W94" s="84">
        <v>0.2</v>
      </c>
      <c r="X94" s="82" t="s">
        <v>252</v>
      </c>
      <c r="Y94" s="84">
        <v>2</v>
      </c>
      <c r="Z94" s="84">
        <v>1.8</v>
      </c>
      <c r="AA94" s="82">
        <v>4.5</v>
      </c>
      <c r="AB94" s="82" t="s">
        <v>253</v>
      </c>
      <c r="AC94" s="82" t="s">
        <v>252</v>
      </c>
      <c r="AD94" s="82" t="s">
        <v>254</v>
      </c>
      <c r="AE94" s="82" t="s">
        <v>256</v>
      </c>
      <c r="AF94" s="20">
        <f t="shared" si="17"/>
        <v>2.25</v>
      </c>
      <c r="AG94" s="13">
        <f t="shared" si="10"/>
        <v>3</v>
      </c>
      <c r="AH94" s="7">
        <f t="shared" si="11"/>
        <v>10</v>
      </c>
      <c r="AI94" s="7">
        <f t="shared" si="12"/>
        <v>0</v>
      </c>
      <c r="AJ94" s="7">
        <f t="shared" si="13"/>
        <v>5</v>
      </c>
      <c r="AK94" s="7">
        <f t="shared" si="14"/>
        <v>6</v>
      </c>
      <c r="AL94" s="12">
        <f t="shared" si="16"/>
        <v>24</v>
      </c>
      <c r="AM94" s="14" t="str">
        <f t="shared" si="15"/>
        <v>Barrier</v>
      </c>
      <c r="AN94" s="82"/>
      <c r="AO94" s="84"/>
      <c r="AP94" s="82" t="s">
        <v>418</v>
      </c>
    </row>
    <row r="95" spans="1:42" ht="32">
      <c r="A95" s="87">
        <v>45202</v>
      </c>
      <c r="C95" s="82">
        <v>13903446</v>
      </c>
      <c r="D95" s="82"/>
      <c r="E95" s="88">
        <v>10</v>
      </c>
      <c r="F95" s="89">
        <v>582480</v>
      </c>
      <c r="G95" s="89">
        <v>5989487</v>
      </c>
      <c r="H95" s="88" t="s">
        <v>266</v>
      </c>
      <c r="I95" s="88" t="s">
        <v>274</v>
      </c>
      <c r="K95" s="88" t="s">
        <v>104</v>
      </c>
      <c r="L95" s="82" t="s">
        <v>243</v>
      </c>
      <c r="M95" s="82" t="s">
        <v>244</v>
      </c>
      <c r="N95" s="84">
        <v>1.05</v>
      </c>
      <c r="O95" s="84">
        <v>17</v>
      </c>
      <c r="P95" s="82" t="s">
        <v>252</v>
      </c>
      <c r="Q95" s="86"/>
      <c r="R95" s="82" t="s">
        <v>252</v>
      </c>
      <c r="S95" s="82" t="s">
        <v>252</v>
      </c>
      <c r="T95" s="86"/>
      <c r="U95" s="84">
        <v>1.6</v>
      </c>
      <c r="V95" s="82">
        <v>0.05</v>
      </c>
      <c r="W95" s="84">
        <v>0.2</v>
      </c>
      <c r="X95" s="82" t="s">
        <v>252</v>
      </c>
      <c r="Y95" s="84">
        <v>2.5</v>
      </c>
      <c r="Z95" s="84">
        <v>2</v>
      </c>
      <c r="AA95" s="82">
        <v>1</v>
      </c>
      <c r="AB95" s="82" t="s">
        <v>252</v>
      </c>
      <c r="AC95" s="82" t="s">
        <v>252</v>
      </c>
      <c r="AD95" s="82" t="s">
        <v>254</v>
      </c>
      <c r="AE95" s="82" t="s">
        <v>256</v>
      </c>
      <c r="AF95" s="20">
        <f t="shared" si="17"/>
        <v>1.9047619047619047</v>
      </c>
      <c r="AG95" s="13">
        <f t="shared" si="10"/>
        <v>3</v>
      </c>
      <c r="AH95" s="7">
        <f t="shared" si="11"/>
        <v>10</v>
      </c>
      <c r="AI95" s="7">
        <f t="shared" si="12"/>
        <v>0</v>
      </c>
      <c r="AJ95" s="7">
        <f t="shared" si="13"/>
        <v>5</v>
      </c>
      <c r="AK95" s="7">
        <f t="shared" si="14"/>
        <v>6</v>
      </c>
      <c r="AL95" s="12">
        <f t="shared" si="16"/>
        <v>24</v>
      </c>
      <c r="AM95" s="14" t="str">
        <f t="shared" si="15"/>
        <v>Barrier</v>
      </c>
      <c r="AN95" s="82"/>
      <c r="AO95" s="84"/>
      <c r="AP95" s="82" t="s">
        <v>419</v>
      </c>
    </row>
    <row r="96" spans="1:42" ht="32">
      <c r="A96" s="87">
        <v>45202</v>
      </c>
      <c r="C96" s="82">
        <v>13900043</v>
      </c>
      <c r="D96" s="82"/>
      <c r="E96" s="88">
        <v>10</v>
      </c>
      <c r="F96" s="89">
        <v>569895</v>
      </c>
      <c r="G96" s="89">
        <v>5996572</v>
      </c>
      <c r="H96" s="88" t="s">
        <v>266</v>
      </c>
      <c r="I96" s="88" t="s">
        <v>272</v>
      </c>
      <c r="K96" s="88" t="s">
        <v>104</v>
      </c>
      <c r="L96" s="82" t="s">
        <v>243</v>
      </c>
      <c r="M96" s="82" t="s">
        <v>244</v>
      </c>
      <c r="N96" s="84">
        <v>0.95</v>
      </c>
      <c r="O96" s="84">
        <v>54</v>
      </c>
      <c r="P96" s="82" t="s">
        <v>252</v>
      </c>
      <c r="Q96" s="86"/>
      <c r="R96" s="82" t="s">
        <v>252</v>
      </c>
      <c r="S96" s="82" t="s">
        <v>252</v>
      </c>
      <c r="T96" s="86"/>
      <c r="U96" s="84">
        <v>4</v>
      </c>
      <c r="V96" s="82">
        <v>0.6</v>
      </c>
      <c r="W96" s="84">
        <v>0.2</v>
      </c>
      <c r="X96" s="82" t="s">
        <v>252</v>
      </c>
      <c r="Y96" s="84">
        <v>2</v>
      </c>
      <c r="Z96" s="84">
        <v>2.2999999999999998</v>
      </c>
      <c r="AA96" s="82">
        <v>4</v>
      </c>
      <c r="AB96" s="82" t="s">
        <v>252</v>
      </c>
      <c r="AC96" s="82" t="s">
        <v>252</v>
      </c>
      <c r="AD96" s="82" t="s">
        <v>254</v>
      </c>
      <c r="AE96" s="82" t="s">
        <v>256</v>
      </c>
      <c r="AF96" s="20">
        <f t="shared" si="17"/>
        <v>2.4210526315789473</v>
      </c>
      <c r="AG96" s="13">
        <f t="shared" si="10"/>
        <v>6</v>
      </c>
      <c r="AH96" s="7">
        <f t="shared" si="11"/>
        <v>10</v>
      </c>
      <c r="AI96" s="7">
        <f t="shared" si="12"/>
        <v>10</v>
      </c>
      <c r="AJ96" s="7">
        <f t="shared" si="13"/>
        <v>5</v>
      </c>
      <c r="AK96" s="7">
        <f t="shared" si="14"/>
        <v>6</v>
      </c>
      <c r="AL96" s="12">
        <f t="shared" si="16"/>
        <v>37</v>
      </c>
      <c r="AM96" s="14" t="str">
        <f t="shared" si="15"/>
        <v>Barrier</v>
      </c>
      <c r="AN96" s="82"/>
      <c r="AO96" s="84"/>
      <c r="AP96" s="82" t="s">
        <v>420</v>
      </c>
    </row>
    <row r="97" spans="1:42" ht="32">
      <c r="A97" s="87">
        <v>45203</v>
      </c>
      <c r="C97" s="82">
        <v>13903617</v>
      </c>
      <c r="D97" s="82"/>
      <c r="E97" s="88">
        <v>10</v>
      </c>
      <c r="F97" s="89">
        <v>578670</v>
      </c>
      <c r="G97" s="89">
        <v>5973004</v>
      </c>
      <c r="H97" s="88" t="s">
        <v>275</v>
      </c>
      <c r="I97" s="88" t="s">
        <v>276</v>
      </c>
      <c r="J97" s="22">
        <v>31.9</v>
      </c>
      <c r="K97" s="88" t="s">
        <v>277</v>
      </c>
      <c r="L97" s="82" t="s">
        <v>243</v>
      </c>
      <c r="M97" s="82" t="s">
        <v>244</v>
      </c>
      <c r="N97" s="84">
        <v>1.1000000000000001</v>
      </c>
      <c r="O97" s="84">
        <v>17</v>
      </c>
      <c r="P97" s="82" t="s">
        <v>252</v>
      </c>
      <c r="Q97" s="86"/>
      <c r="R97" s="82" t="s">
        <v>252</v>
      </c>
      <c r="S97" s="82" t="s">
        <v>252</v>
      </c>
      <c r="T97" s="86"/>
      <c r="U97" s="84">
        <v>1.3</v>
      </c>
      <c r="V97" s="82">
        <v>0.05</v>
      </c>
      <c r="W97" s="84">
        <v>0.05</v>
      </c>
      <c r="X97" s="82" t="s">
        <v>253</v>
      </c>
      <c r="Y97" s="84">
        <v>3</v>
      </c>
      <c r="Z97" s="84">
        <v>2.6</v>
      </c>
      <c r="AA97" s="82">
        <v>2</v>
      </c>
      <c r="AB97" s="82" t="s">
        <v>253</v>
      </c>
      <c r="AC97" s="82" t="s">
        <v>252</v>
      </c>
      <c r="AD97" s="82" t="s">
        <v>254</v>
      </c>
      <c r="AE97" s="82" t="s">
        <v>256</v>
      </c>
      <c r="AF97" s="20">
        <f t="shared" si="17"/>
        <v>2.3636363636363633</v>
      </c>
      <c r="AG97" s="13">
        <f t="shared" si="10"/>
        <v>3</v>
      </c>
      <c r="AH97" s="7">
        <f t="shared" si="11"/>
        <v>10</v>
      </c>
      <c r="AI97" s="7">
        <f t="shared" si="12"/>
        <v>0</v>
      </c>
      <c r="AJ97" s="7">
        <f t="shared" si="13"/>
        <v>10</v>
      </c>
      <c r="AK97" s="7">
        <f t="shared" si="14"/>
        <v>6</v>
      </c>
      <c r="AL97" s="12">
        <f t="shared" si="16"/>
        <v>29</v>
      </c>
      <c r="AM97" s="14" t="str">
        <f t="shared" si="15"/>
        <v>Barrier</v>
      </c>
      <c r="AN97" s="82"/>
      <c r="AO97" s="84"/>
      <c r="AP97" s="82" t="s">
        <v>421</v>
      </c>
    </row>
    <row r="98" spans="1:42" ht="16">
      <c r="A98" s="87">
        <v>45203</v>
      </c>
      <c r="C98" s="82">
        <v>13903184</v>
      </c>
      <c r="D98" s="82"/>
      <c r="E98" s="88">
        <v>10</v>
      </c>
      <c r="F98" s="89">
        <v>582276</v>
      </c>
      <c r="G98" s="89">
        <v>5975078</v>
      </c>
      <c r="H98" s="88" t="s">
        <v>278</v>
      </c>
      <c r="I98" s="88" t="s">
        <v>106</v>
      </c>
      <c r="K98" s="88" t="s">
        <v>104</v>
      </c>
      <c r="L98" s="82" t="s">
        <v>243</v>
      </c>
      <c r="M98" s="82" t="s">
        <v>248</v>
      </c>
      <c r="N98" s="84">
        <v>4.7</v>
      </c>
      <c r="O98" s="84">
        <v>33</v>
      </c>
      <c r="P98" s="82" t="s">
        <v>252</v>
      </c>
      <c r="Q98" s="86"/>
      <c r="R98" s="82" t="s">
        <v>252</v>
      </c>
      <c r="S98" s="82" t="s">
        <v>252</v>
      </c>
      <c r="T98" s="86"/>
      <c r="U98" s="84">
        <v>1</v>
      </c>
      <c r="V98" s="82">
        <v>1</v>
      </c>
      <c r="W98" s="84">
        <v>2.4</v>
      </c>
      <c r="X98" s="82" t="s">
        <v>252</v>
      </c>
      <c r="Y98" s="84">
        <v>1.5</v>
      </c>
      <c r="Z98" s="84">
        <v>9.4</v>
      </c>
      <c r="AA98" s="82">
        <v>1</v>
      </c>
      <c r="AB98" s="82" t="s">
        <v>252</v>
      </c>
      <c r="AC98" s="82" t="s">
        <v>252</v>
      </c>
      <c r="AD98" s="82" t="s">
        <v>254</v>
      </c>
      <c r="AE98" s="82" t="s">
        <v>255</v>
      </c>
      <c r="AF98" s="20">
        <f t="shared" si="17"/>
        <v>2</v>
      </c>
      <c r="AG98" s="13">
        <f t="shared" si="10"/>
        <v>6</v>
      </c>
      <c r="AH98" s="7">
        <f t="shared" si="11"/>
        <v>10</v>
      </c>
      <c r="AI98" s="7">
        <f t="shared" si="12"/>
        <v>10</v>
      </c>
      <c r="AJ98" s="7">
        <f t="shared" si="13"/>
        <v>5</v>
      </c>
      <c r="AK98" s="7">
        <f t="shared" si="14"/>
        <v>6</v>
      </c>
      <c r="AL98" s="12">
        <f t="shared" si="16"/>
        <v>37</v>
      </c>
      <c r="AM98" s="14" t="str">
        <f t="shared" si="15"/>
        <v>Barrier</v>
      </c>
      <c r="AN98" s="82"/>
      <c r="AO98" s="84"/>
      <c r="AP98" s="82" t="s">
        <v>422</v>
      </c>
    </row>
    <row r="99" spans="1:42" ht="32">
      <c r="A99" s="87">
        <v>45203</v>
      </c>
      <c r="C99" s="82">
        <v>13903183</v>
      </c>
      <c r="D99" s="82"/>
      <c r="E99" s="88">
        <v>10</v>
      </c>
      <c r="F99" s="89">
        <v>582694</v>
      </c>
      <c r="G99" s="89">
        <v>5975012</v>
      </c>
      <c r="H99" s="88" t="s">
        <v>275</v>
      </c>
      <c r="I99" s="88" t="s">
        <v>106</v>
      </c>
      <c r="K99" s="88" t="s">
        <v>104</v>
      </c>
      <c r="L99" s="82" t="s">
        <v>243</v>
      </c>
      <c r="M99" s="82" t="s">
        <v>244</v>
      </c>
      <c r="N99" s="84">
        <v>1.2</v>
      </c>
      <c r="O99" s="84">
        <v>30</v>
      </c>
      <c r="P99" s="82" t="s">
        <v>252</v>
      </c>
      <c r="Q99" s="86"/>
      <c r="R99" s="82" t="s">
        <v>252</v>
      </c>
      <c r="S99" s="82" t="s">
        <v>252</v>
      </c>
      <c r="T99" s="86"/>
      <c r="U99" s="84">
        <v>3.5</v>
      </c>
      <c r="V99" s="82">
        <v>0.35</v>
      </c>
      <c r="W99" s="84">
        <v>0.7</v>
      </c>
      <c r="X99" s="82" t="s">
        <v>253</v>
      </c>
      <c r="Y99" s="84">
        <v>1.5</v>
      </c>
      <c r="Z99" s="84">
        <v>2.2000000000000002</v>
      </c>
      <c r="AA99" s="82">
        <v>1.5</v>
      </c>
      <c r="AB99" s="82" t="s">
        <v>253</v>
      </c>
      <c r="AC99" s="82" t="s">
        <v>252</v>
      </c>
      <c r="AD99" s="82" t="s">
        <v>254</v>
      </c>
      <c r="AE99" s="82" t="s">
        <v>256</v>
      </c>
      <c r="AF99" s="20">
        <f t="shared" si="17"/>
        <v>1.8333333333333335</v>
      </c>
      <c r="AG99" s="13">
        <f t="shared" si="10"/>
        <v>6</v>
      </c>
      <c r="AH99" s="7">
        <f t="shared" si="11"/>
        <v>10</v>
      </c>
      <c r="AI99" s="7">
        <f t="shared" si="12"/>
        <v>10</v>
      </c>
      <c r="AJ99" s="7">
        <f t="shared" si="13"/>
        <v>5</v>
      </c>
      <c r="AK99" s="7">
        <f t="shared" si="14"/>
        <v>6</v>
      </c>
      <c r="AL99" s="12">
        <f t="shared" si="16"/>
        <v>37</v>
      </c>
      <c r="AM99" s="14" t="str">
        <f t="shared" si="15"/>
        <v>Barrier</v>
      </c>
      <c r="AN99" s="82"/>
      <c r="AO99" s="84"/>
      <c r="AP99" s="82" t="s">
        <v>423</v>
      </c>
    </row>
    <row r="100" spans="1:42" ht="32">
      <c r="A100" s="87">
        <v>45203</v>
      </c>
      <c r="C100" s="82">
        <v>13900192</v>
      </c>
      <c r="D100" s="82"/>
      <c r="E100" s="88">
        <v>10</v>
      </c>
      <c r="F100" s="89">
        <v>585255</v>
      </c>
      <c r="G100" s="89">
        <v>5973726</v>
      </c>
      <c r="H100" s="88" t="s">
        <v>275</v>
      </c>
      <c r="I100" s="88" t="s">
        <v>106</v>
      </c>
      <c r="K100" s="88" t="s">
        <v>104</v>
      </c>
      <c r="L100" s="82" t="s">
        <v>243</v>
      </c>
      <c r="M100" s="82" t="s">
        <v>244</v>
      </c>
      <c r="N100" s="84">
        <v>1.2</v>
      </c>
      <c r="O100" s="84">
        <v>31</v>
      </c>
      <c r="P100" s="82" t="s">
        <v>252</v>
      </c>
      <c r="Q100" s="86"/>
      <c r="R100" s="82" t="s">
        <v>252</v>
      </c>
      <c r="S100" s="82" t="s">
        <v>252</v>
      </c>
      <c r="T100" s="86"/>
      <c r="U100" s="84">
        <v>2</v>
      </c>
      <c r="V100" s="82">
        <v>1.7</v>
      </c>
      <c r="W100" s="84">
        <v>0.6</v>
      </c>
      <c r="X100" s="82" t="s">
        <v>252</v>
      </c>
      <c r="Y100" s="84">
        <v>5</v>
      </c>
      <c r="Z100" s="84">
        <v>2.2999999999999998</v>
      </c>
      <c r="AA100" s="82">
        <v>4.5</v>
      </c>
      <c r="AB100" s="82" t="s">
        <v>252</v>
      </c>
      <c r="AC100" s="82" t="s">
        <v>252</v>
      </c>
      <c r="AD100" s="82" t="s">
        <v>254</v>
      </c>
      <c r="AE100" s="82" t="s">
        <v>255</v>
      </c>
      <c r="AF100" s="20">
        <f t="shared" si="17"/>
        <v>1.9166666666666665</v>
      </c>
      <c r="AG100" s="13">
        <f t="shared" si="10"/>
        <v>6</v>
      </c>
      <c r="AH100" s="7">
        <f t="shared" si="11"/>
        <v>10</v>
      </c>
      <c r="AI100" s="7">
        <f t="shared" si="12"/>
        <v>10</v>
      </c>
      <c r="AJ100" s="7">
        <f t="shared" si="13"/>
        <v>10</v>
      </c>
      <c r="AK100" s="7">
        <f t="shared" si="14"/>
        <v>6</v>
      </c>
      <c r="AL100" s="12">
        <f t="shared" si="16"/>
        <v>42</v>
      </c>
      <c r="AM100" s="14" t="str">
        <f t="shared" si="15"/>
        <v>Barrier</v>
      </c>
      <c r="AN100" s="82"/>
      <c r="AO100" s="84"/>
      <c r="AP100" s="82" t="s">
        <v>424</v>
      </c>
    </row>
    <row r="101" spans="1:42" ht="32">
      <c r="A101" s="87">
        <v>45203</v>
      </c>
      <c r="C101" s="82">
        <v>13900261</v>
      </c>
      <c r="D101" s="82"/>
      <c r="E101" s="88">
        <v>10</v>
      </c>
      <c r="F101" s="89">
        <v>587876</v>
      </c>
      <c r="G101" s="89">
        <v>5972476</v>
      </c>
      <c r="H101" s="88" t="s">
        <v>279</v>
      </c>
      <c r="I101" s="88" t="s">
        <v>106</v>
      </c>
      <c r="K101" s="88" t="s">
        <v>104</v>
      </c>
      <c r="L101" s="82" t="s">
        <v>243</v>
      </c>
      <c r="M101" s="82" t="s">
        <v>244</v>
      </c>
      <c r="N101" s="84">
        <v>1.1000000000000001</v>
      </c>
      <c r="O101" s="84">
        <v>42</v>
      </c>
      <c r="P101" s="82" t="s">
        <v>252</v>
      </c>
      <c r="Q101" s="86"/>
      <c r="R101" s="82" t="s">
        <v>252</v>
      </c>
      <c r="S101" s="82" t="s">
        <v>252</v>
      </c>
      <c r="T101" s="86"/>
      <c r="U101" s="84">
        <v>7</v>
      </c>
      <c r="V101" s="82">
        <v>0.2</v>
      </c>
      <c r="W101" s="84">
        <v>0.7</v>
      </c>
      <c r="X101" s="82" t="s">
        <v>253</v>
      </c>
      <c r="Y101" s="84">
        <v>12</v>
      </c>
      <c r="Z101" s="84">
        <v>2.5</v>
      </c>
      <c r="AA101" s="82">
        <v>9</v>
      </c>
      <c r="AB101" s="82" t="s">
        <v>252</v>
      </c>
      <c r="AC101" s="82" t="s">
        <v>252</v>
      </c>
      <c r="AD101" s="82" t="s">
        <v>254</v>
      </c>
      <c r="AE101" s="82" t="s">
        <v>256</v>
      </c>
      <c r="AF101" s="20">
        <f t="shared" si="17"/>
        <v>2.2727272727272725</v>
      </c>
      <c r="AG101" s="13">
        <f t="shared" si="10"/>
        <v>6</v>
      </c>
      <c r="AH101" s="7">
        <f t="shared" si="11"/>
        <v>10</v>
      </c>
      <c r="AI101" s="7">
        <f t="shared" si="12"/>
        <v>5</v>
      </c>
      <c r="AJ101" s="7">
        <f t="shared" si="13"/>
        <v>10</v>
      </c>
      <c r="AK101" s="7">
        <f t="shared" si="14"/>
        <v>6</v>
      </c>
      <c r="AL101" s="12">
        <f t="shared" si="16"/>
        <v>37</v>
      </c>
      <c r="AM101" s="14" t="str">
        <f t="shared" si="15"/>
        <v>Barrier</v>
      </c>
      <c r="AN101" s="82"/>
      <c r="AO101" s="84"/>
      <c r="AP101" s="82" t="s">
        <v>425</v>
      </c>
    </row>
    <row r="102" spans="1:42" ht="32">
      <c r="A102" s="87">
        <v>45203</v>
      </c>
      <c r="C102" s="82">
        <v>13900260</v>
      </c>
      <c r="D102" s="82"/>
      <c r="E102" s="88">
        <v>10</v>
      </c>
      <c r="F102" s="89">
        <v>587936</v>
      </c>
      <c r="G102" s="89">
        <v>5972452</v>
      </c>
      <c r="H102" s="88" t="s">
        <v>279</v>
      </c>
      <c r="I102" s="88" t="s">
        <v>106</v>
      </c>
      <c r="K102" s="88" t="s">
        <v>104</v>
      </c>
      <c r="L102" s="82" t="s">
        <v>243</v>
      </c>
      <c r="M102" s="82" t="s">
        <v>244</v>
      </c>
      <c r="N102" s="84">
        <v>1.2</v>
      </c>
      <c r="O102" s="84">
        <v>38</v>
      </c>
      <c r="P102" s="82" t="s">
        <v>252</v>
      </c>
      <c r="Q102" s="86"/>
      <c r="R102" s="82" t="s">
        <v>252</v>
      </c>
      <c r="S102" s="82" t="s">
        <v>252</v>
      </c>
      <c r="T102" s="86"/>
      <c r="U102" s="84">
        <v>8</v>
      </c>
      <c r="V102" s="82">
        <v>1.1499999999999999</v>
      </c>
      <c r="W102" s="84">
        <v>0.8</v>
      </c>
      <c r="X102" s="82" t="s">
        <v>253</v>
      </c>
      <c r="Y102" s="84">
        <v>7</v>
      </c>
      <c r="Z102" s="84">
        <v>5.2</v>
      </c>
      <c r="AA102" s="82">
        <v>9</v>
      </c>
      <c r="AB102" s="82" t="s">
        <v>252</v>
      </c>
      <c r="AC102" s="82" t="s">
        <v>252</v>
      </c>
      <c r="AD102" s="82" t="s">
        <v>254</v>
      </c>
      <c r="AE102" s="82" t="s">
        <v>255</v>
      </c>
      <c r="AF102" s="20">
        <f t="shared" si="17"/>
        <v>4.3333333333333339</v>
      </c>
      <c r="AG102" s="13">
        <f t="shared" si="10"/>
        <v>6</v>
      </c>
      <c r="AH102" s="7">
        <f t="shared" si="11"/>
        <v>10</v>
      </c>
      <c r="AI102" s="7">
        <f t="shared" si="12"/>
        <v>10</v>
      </c>
      <c r="AJ102" s="7">
        <f t="shared" si="13"/>
        <v>10</v>
      </c>
      <c r="AK102" s="7">
        <f t="shared" si="14"/>
        <v>6</v>
      </c>
      <c r="AL102" s="12">
        <f t="shared" si="16"/>
        <v>42</v>
      </c>
      <c r="AM102" s="14" t="str">
        <f t="shared" si="15"/>
        <v>Barrier</v>
      </c>
      <c r="AN102" s="82"/>
      <c r="AO102" s="84"/>
      <c r="AP102" s="82" t="s">
        <v>426</v>
      </c>
    </row>
    <row r="103" spans="1:42" ht="32">
      <c r="A103" s="87">
        <v>45203</v>
      </c>
      <c r="C103" s="82">
        <v>13900270</v>
      </c>
      <c r="D103" s="82"/>
      <c r="E103" s="88">
        <v>10</v>
      </c>
      <c r="F103" s="89">
        <v>595602</v>
      </c>
      <c r="G103" s="89">
        <v>5969818</v>
      </c>
      <c r="H103" s="88" t="s">
        <v>279</v>
      </c>
      <c r="I103" s="88" t="s">
        <v>106</v>
      </c>
      <c r="K103" s="88" t="s">
        <v>104</v>
      </c>
      <c r="L103" s="82" t="s">
        <v>243</v>
      </c>
      <c r="M103" s="82" t="s">
        <v>244</v>
      </c>
      <c r="N103" s="84">
        <v>1.2</v>
      </c>
      <c r="O103" s="84">
        <v>56</v>
      </c>
      <c r="P103" s="82" t="s">
        <v>252</v>
      </c>
      <c r="Q103" s="86"/>
      <c r="R103" s="82" t="s">
        <v>252</v>
      </c>
      <c r="S103" s="82" t="s">
        <v>252</v>
      </c>
      <c r="T103" s="86"/>
      <c r="U103" s="84">
        <v>6</v>
      </c>
      <c r="V103" s="82">
        <v>0.9</v>
      </c>
      <c r="W103" s="84">
        <v>0.4</v>
      </c>
      <c r="X103" s="82" t="s">
        <v>252</v>
      </c>
      <c r="Y103" s="84">
        <v>3</v>
      </c>
      <c r="Z103" s="84">
        <v>3.7</v>
      </c>
      <c r="AA103" s="82">
        <v>4</v>
      </c>
      <c r="AB103" s="82" t="s">
        <v>253</v>
      </c>
      <c r="AC103" s="82" t="s">
        <v>252</v>
      </c>
      <c r="AD103" s="82" t="s">
        <v>254</v>
      </c>
      <c r="AE103" s="82" t="s">
        <v>256</v>
      </c>
      <c r="AF103" s="20">
        <f t="shared" si="17"/>
        <v>3.0833333333333335</v>
      </c>
      <c r="AG103" s="13">
        <f t="shared" si="10"/>
        <v>6</v>
      </c>
      <c r="AH103" s="7">
        <f t="shared" si="11"/>
        <v>10</v>
      </c>
      <c r="AI103" s="7">
        <f t="shared" si="12"/>
        <v>10</v>
      </c>
      <c r="AJ103" s="7">
        <f t="shared" si="13"/>
        <v>10</v>
      </c>
      <c r="AK103" s="7">
        <f t="shared" si="14"/>
        <v>6</v>
      </c>
      <c r="AL103" s="12">
        <f t="shared" si="16"/>
        <v>42</v>
      </c>
      <c r="AM103" s="14" t="str">
        <f t="shared" si="15"/>
        <v>Barrier</v>
      </c>
      <c r="AN103" s="82"/>
      <c r="AO103" s="84"/>
      <c r="AP103" s="82" t="s">
        <v>427</v>
      </c>
    </row>
    <row r="104" spans="1:42" ht="16">
      <c r="A104" s="87">
        <v>45203</v>
      </c>
      <c r="C104" s="82">
        <v>13900196</v>
      </c>
      <c r="D104" s="82"/>
      <c r="E104" s="88">
        <v>10</v>
      </c>
      <c r="F104" s="89">
        <v>596934</v>
      </c>
      <c r="G104" s="89">
        <v>5969359</v>
      </c>
      <c r="H104" s="88" t="s">
        <v>280</v>
      </c>
      <c r="I104" s="88" t="s">
        <v>106</v>
      </c>
      <c r="K104" s="88" t="s">
        <v>104</v>
      </c>
      <c r="L104" s="82" t="s">
        <v>243</v>
      </c>
      <c r="M104" s="82" t="s">
        <v>248</v>
      </c>
      <c r="N104" s="84">
        <v>5</v>
      </c>
      <c r="O104" s="84">
        <v>31</v>
      </c>
      <c r="P104" s="82" t="s">
        <v>252</v>
      </c>
      <c r="Q104" s="86"/>
      <c r="R104" s="82" t="s">
        <v>252</v>
      </c>
      <c r="S104" s="82" t="s">
        <v>252</v>
      </c>
      <c r="T104" s="86"/>
      <c r="U104" s="84">
        <v>2</v>
      </c>
      <c r="V104" s="82">
        <v>0.5</v>
      </c>
      <c r="W104" s="84">
        <v>1.4</v>
      </c>
      <c r="X104" s="82" t="s">
        <v>252</v>
      </c>
      <c r="Y104" s="84">
        <v>1</v>
      </c>
      <c r="Z104" s="84">
        <v>11.6</v>
      </c>
      <c r="AA104" s="82">
        <v>1</v>
      </c>
      <c r="AB104" s="82" t="s">
        <v>252</v>
      </c>
      <c r="AC104" s="82" t="s">
        <v>252</v>
      </c>
      <c r="AD104" s="82" t="s">
        <v>254</v>
      </c>
      <c r="AE104" s="82" t="s">
        <v>255</v>
      </c>
      <c r="AF104" s="20">
        <f t="shared" si="17"/>
        <v>2.3199999999999998</v>
      </c>
      <c r="AG104" s="13">
        <f t="shared" si="10"/>
        <v>6</v>
      </c>
      <c r="AH104" s="7">
        <f t="shared" si="11"/>
        <v>10</v>
      </c>
      <c r="AI104" s="7">
        <f t="shared" si="12"/>
        <v>10</v>
      </c>
      <c r="AJ104" s="7">
        <f t="shared" si="13"/>
        <v>5</v>
      </c>
      <c r="AK104" s="7">
        <f t="shared" si="14"/>
        <v>6</v>
      </c>
      <c r="AL104" s="12">
        <f t="shared" si="16"/>
        <v>37</v>
      </c>
      <c r="AM104" s="14" t="str">
        <f t="shared" si="15"/>
        <v>Barrier</v>
      </c>
      <c r="AN104" s="82"/>
      <c r="AO104" s="84"/>
      <c r="AP104" s="82" t="s">
        <v>428</v>
      </c>
    </row>
    <row r="105" spans="1:42" ht="16">
      <c r="A105" s="87">
        <v>45203</v>
      </c>
      <c r="C105" s="82">
        <v>13900198</v>
      </c>
      <c r="D105" s="82"/>
      <c r="E105" s="88">
        <v>10</v>
      </c>
      <c r="F105" s="89">
        <v>601647</v>
      </c>
      <c r="G105" s="89">
        <v>5967974</v>
      </c>
      <c r="H105" s="88" t="s">
        <v>281</v>
      </c>
      <c r="I105" s="88" t="s">
        <v>106</v>
      </c>
      <c r="K105" s="88" t="s">
        <v>104</v>
      </c>
      <c r="L105" s="82" t="s">
        <v>243</v>
      </c>
      <c r="M105" s="82" t="s">
        <v>244</v>
      </c>
      <c r="N105" s="84">
        <v>1.2</v>
      </c>
      <c r="O105" s="84">
        <v>82</v>
      </c>
      <c r="P105" s="82" t="s">
        <v>252</v>
      </c>
      <c r="Q105" s="86"/>
      <c r="R105" s="82" t="s">
        <v>252</v>
      </c>
      <c r="S105" s="82" t="s">
        <v>252</v>
      </c>
      <c r="T105" s="86"/>
      <c r="U105" s="84">
        <v>8</v>
      </c>
      <c r="V105" s="82">
        <v>2.8</v>
      </c>
      <c r="W105" s="84">
        <v>2</v>
      </c>
      <c r="X105" s="82" t="s">
        <v>252</v>
      </c>
      <c r="Y105" s="84">
        <v>2</v>
      </c>
      <c r="Z105" s="84">
        <v>2.4</v>
      </c>
      <c r="AA105" s="82">
        <v>3</v>
      </c>
      <c r="AB105" s="82" t="s">
        <v>253</v>
      </c>
      <c r="AC105" s="82" t="s">
        <v>252</v>
      </c>
      <c r="AD105" s="82" t="s">
        <v>254</v>
      </c>
      <c r="AE105" s="82" t="s">
        <v>256</v>
      </c>
      <c r="AF105" s="20">
        <f t="shared" si="17"/>
        <v>2</v>
      </c>
      <c r="AG105" s="13">
        <f t="shared" si="10"/>
        <v>6</v>
      </c>
      <c r="AH105" s="7">
        <f t="shared" si="11"/>
        <v>10</v>
      </c>
      <c r="AI105" s="7">
        <f t="shared" si="12"/>
        <v>10</v>
      </c>
      <c r="AJ105" s="7">
        <f t="shared" si="13"/>
        <v>5</v>
      </c>
      <c r="AK105" s="7">
        <f t="shared" si="14"/>
        <v>6</v>
      </c>
      <c r="AL105" s="12">
        <f t="shared" si="16"/>
        <v>37</v>
      </c>
      <c r="AM105" s="14" t="str">
        <f t="shared" si="15"/>
        <v>Barrier</v>
      </c>
      <c r="AN105" s="82"/>
      <c r="AO105" s="84"/>
      <c r="AP105" s="82" t="s">
        <v>429</v>
      </c>
    </row>
    <row r="106" spans="1:42" ht="32">
      <c r="A106" s="87">
        <v>45203</v>
      </c>
      <c r="C106" s="82">
        <v>13903179</v>
      </c>
      <c r="D106" s="82"/>
      <c r="E106" s="88">
        <v>10</v>
      </c>
      <c r="F106" s="89">
        <v>610990</v>
      </c>
      <c r="G106" s="89">
        <v>5966577</v>
      </c>
      <c r="H106" s="88" t="s">
        <v>261</v>
      </c>
      <c r="I106" s="88" t="s">
        <v>282</v>
      </c>
      <c r="K106" s="88" t="s">
        <v>104</v>
      </c>
      <c r="L106" s="82" t="s">
        <v>243</v>
      </c>
      <c r="M106" s="82" t="s">
        <v>244</v>
      </c>
      <c r="N106" s="84">
        <v>0.6</v>
      </c>
      <c r="O106" s="84">
        <v>20</v>
      </c>
      <c r="P106" s="82" t="s">
        <v>252</v>
      </c>
      <c r="Q106" s="86"/>
      <c r="R106" s="82" t="s">
        <v>252</v>
      </c>
      <c r="S106" s="82" t="s">
        <v>252</v>
      </c>
      <c r="T106" s="86"/>
      <c r="U106" s="84">
        <v>3</v>
      </c>
      <c r="V106" s="82">
        <v>0.2</v>
      </c>
      <c r="W106" s="84">
        <v>0.2</v>
      </c>
      <c r="X106" s="82" t="s">
        <v>253</v>
      </c>
      <c r="Y106" s="84">
        <v>3</v>
      </c>
      <c r="Z106" s="84">
        <v>1.6</v>
      </c>
      <c r="AA106" s="82">
        <v>0.25</v>
      </c>
      <c r="AB106" s="82" t="s">
        <v>253</v>
      </c>
      <c r="AC106" s="82" t="s">
        <v>252</v>
      </c>
      <c r="AD106" s="82" t="s">
        <v>254</v>
      </c>
      <c r="AE106" s="82" t="s">
        <v>256</v>
      </c>
      <c r="AF106" s="20">
        <f t="shared" si="17"/>
        <v>2.666666666666667</v>
      </c>
      <c r="AG106" s="13">
        <f t="shared" si="10"/>
        <v>3</v>
      </c>
      <c r="AH106" s="7">
        <f t="shared" si="11"/>
        <v>10</v>
      </c>
      <c r="AI106" s="7">
        <f t="shared" si="12"/>
        <v>5</v>
      </c>
      <c r="AJ106" s="7">
        <f t="shared" si="13"/>
        <v>10</v>
      </c>
      <c r="AK106" s="7">
        <f t="shared" si="14"/>
        <v>6</v>
      </c>
      <c r="AL106" s="12">
        <f t="shared" si="16"/>
        <v>34</v>
      </c>
      <c r="AM106" s="14" t="str">
        <f t="shared" si="15"/>
        <v>Barrier</v>
      </c>
      <c r="AN106" s="82"/>
      <c r="AO106" s="84"/>
      <c r="AP106" s="82" t="s">
        <v>430</v>
      </c>
    </row>
    <row r="107" spans="1:42" ht="32">
      <c r="A107" s="87">
        <v>45203</v>
      </c>
      <c r="C107" s="82">
        <v>13900200</v>
      </c>
      <c r="D107" s="82"/>
      <c r="E107" s="88">
        <v>10</v>
      </c>
      <c r="F107" s="89">
        <v>604596</v>
      </c>
      <c r="G107" s="89">
        <v>5966257</v>
      </c>
      <c r="H107" s="88" t="s">
        <v>283</v>
      </c>
      <c r="I107" s="88" t="s">
        <v>106</v>
      </c>
      <c r="K107" s="88" t="s">
        <v>104</v>
      </c>
      <c r="L107" s="82" t="s">
        <v>243</v>
      </c>
      <c r="M107" s="82" t="s">
        <v>244</v>
      </c>
      <c r="N107" s="84">
        <v>0.6</v>
      </c>
      <c r="O107" s="84">
        <v>36</v>
      </c>
      <c r="P107" s="82" t="s">
        <v>252</v>
      </c>
      <c r="Q107" s="86"/>
      <c r="R107" s="82" t="s">
        <v>252</v>
      </c>
      <c r="S107" s="82" t="s">
        <v>252</v>
      </c>
      <c r="T107" s="86"/>
      <c r="U107" s="84">
        <v>4</v>
      </c>
      <c r="V107" s="82">
        <v>0.2</v>
      </c>
      <c r="W107" s="84">
        <v>0</v>
      </c>
      <c r="X107" s="82" t="s">
        <v>252</v>
      </c>
      <c r="Y107" s="84">
        <v>1.5</v>
      </c>
      <c r="Z107" s="84">
        <v>1.1000000000000001</v>
      </c>
      <c r="AA107" s="82">
        <v>2</v>
      </c>
      <c r="AB107" s="82" t="s">
        <v>252</v>
      </c>
      <c r="AC107" s="82" t="s">
        <v>252</v>
      </c>
      <c r="AD107" s="82" t="s">
        <v>254</v>
      </c>
      <c r="AE107" s="82" t="s">
        <v>257</v>
      </c>
      <c r="AF107" s="20">
        <f t="shared" si="17"/>
        <v>1.8333333333333335</v>
      </c>
      <c r="AG107" s="13">
        <f t="shared" si="10"/>
        <v>6</v>
      </c>
      <c r="AH107" s="7">
        <f t="shared" si="11"/>
        <v>10</v>
      </c>
      <c r="AI107" s="7">
        <f t="shared" si="12"/>
        <v>5</v>
      </c>
      <c r="AJ107" s="7">
        <f t="shared" si="13"/>
        <v>5</v>
      </c>
      <c r="AK107" s="7">
        <f t="shared" si="14"/>
        <v>6</v>
      </c>
      <c r="AL107" s="12">
        <f t="shared" si="16"/>
        <v>32</v>
      </c>
      <c r="AM107" s="14" t="str">
        <f t="shared" si="15"/>
        <v>Barrier</v>
      </c>
      <c r="AN107" s="82"/>
      <c r="AO107" s="84"/>
      <c r="AP107" s="82" t="s">
        <v>431</v>
      </c>
    </row>
    <row r="108" spans="1:42" ht="32">
      <c r="A108" s="87">
        <v>45203</v>
      </c>
      <c r="C108" s="82">
        <v>13900053</v>
      </c>
      <c r="D108" s="82"/>
      <c r="E108" s="88">
        <v>10</v>
      </c>
      <c r="F108" s="89">
        <v>608807</v>
      </c>
      <c r="G108" s="89">
        <v>5966506</v>
      </c>
      <c r="H108" s="88" t="s">
        <v>261</v>
      </c>
      <c r="I108" s="88" t="s">
        <v>284</v>
      </c>
      <c r="K108" s="88" t="s">
        <v>104</v>
      </c>
      <c r="L108" s="82" t="s">
        <v>243</v>
      </c>
      <c r="M108" s="82" t="s">
        <v>244</v>
      </c>
      <c r="N108" s="84">
        <v>0.6</v>
      </c>
      <c r="O108" s="84">
        <v>10</v>
      </c>
      <c r="P108" s="82" t="s">
        <v>252</v>
      </c>
      <c r="Q108" s="86"/>
      <c r="R108" s="82" t="s">
        <v>252</v>
      </c>
      <c r="S108" s="82" t="s">
        <v>252</v>
      </c>
      <c r="T108" s="86"/>
      <c r="U108" s="84">
        <v>1</v>
      </c>
      <c r="V108" s="82">
        <v>0</v>
      </c>
      <c r="W108" s="84">
        <v>0</v>
      </c>
      <c r="X108" s="82" t="s">
        <v>252</v>
      </c>
      <c r="Y108" s="84">
        <v>0</v>
      </c>
      <c r="Z108" s="84">
        <v>2</v>
      </c>
      <c r="AA108" s="82">
        <v>0</v>
      </c>
      <c r="AB108" s="82" t="s">
        <v>253</v>
      </c>
      <c r="AC108" s="82" t="s">
        <v>252</v>
      </c>
      <c r="AD108" s="82" t="s">
        <v>254</v>
      </c>
      <c r="AE108" s="82" t="s">
        <v>256</v>
      </c>
      <c r="AF108" s="20">
        <f t="shared" si="17"/>
        <v>3.3333333333333335</v>
      </c>
      <c r="AG108" s="13">
        <f t="shared" si="10"/>
        <v>0</v>
      </c>
      <c r="AH108" s="7">
        <f t="shared" si="11"/>
        <v>10</v>
      </c>
      <c r="AI108" s="7">
        <f t="shared" si="12"/>
        <v>0</v>
      </c>
      <c r="AJ108" s="7">
        <f t="shared" si="13"/>
        <v>0</v>
      </c>
      <c r="AK108" s="7">
        <f t="shared" si="14"/>
        <v>6</v>
      </c>
      <c r="AL108" s="12">
        <f t="shared" si="16"/>
        <v>16</v>
      </c>
      <c r="AM108" s="14" t="str">
        <f t="shared" si="15"/>
        <v>Potential</v>
      </c>
      <c r="AN108" s="82"/>
      <c r="AO108" s="84"/>
      <c r="AP108" s="82" t="s">
        <v>432</v>
      </c>
    </row>
    <row r="109" spans="1:42" ht="16">
      <c r="A109" s="87">
        <v>45203</v>
      </c>
      <c r="C109" s="82">
        <v>13900201</v>
      </c>
      <c r="D109" s="82"/>
      <c r="E109" s="88">
        <v>10</v>
      </c>
      <c r="F109" s="89">
        <v>606374</v>
      </c>
      <c r="G109" s="89">
        <v>5965784</v>
      </c>
      <c r="H109" s="88" t="s">
        <v>285</v>
      </c>
      <c r="I109" s="88" t="s">
        <v>106</v>
      </c>
      <c r="K109" s="88" t="s">
        <v>104</v>
      </c>
      <c r="L109" s="82" t="s">
        <v>243</v>
      </c>
      <c r="M109" s="82" t="s">
        <v>244</v>
      </c>
      <c r="N109" s="84">
        <v>2.4</v>
      </c>
      <c r="O109" s="84">
        <v>56</v>
      </c>
      <c r="P109" s="82" t="s">
        <v>252</v>
      </c>
      <c r="Q109" s="86"/>
      <c r="R109" s="82" t="s">
        <v>252</v>
      </c>
      <c r="S109" s="82" t="s">
        <v>252</v>
      </c>
      <c r="T109" s="86"/>
      <c r="U109" s="84">
        <v>3.5</v>
      </c>
      <c r="V109" s="82">
        <v>0.6</v>
      </c>
      <c r="W109" s="84">
        <v>0.7</v>
      </c>
      <c r="X109" s="82" t="s">
        <v>252</v>
      </c>
      <c r="Y109" s="84">
        <v>2</v>
      </c>
      <c r="Z109" s="84">
        <v>6.4</v>
      </c>
      <c r="AA109" s="82">
        <v>2</v>
      </c>
      <c r="AB109" s="82" t="s">
        <v>253</v>
      </c>
      <c r="AC109" s="82" t="s">
        <v>252</v>
      </c>
      <c r="AD109" s="82" t="s">
        <v>254</v>
      </c>
      <c r="AE109" s="82" t="s">
        <v>255</v>
      </c>
      <c r="AF109" s="20">
        <f t="shared" si="17"/>
        <v>2.666666666666667</v>
      </c>
      <c r="AG109" s="13">
        <f t="shared" si="10"/>
        <v>6</v>
      </c>
      <c r="AH109" s="7">
        <f t="shared" si="11"/>
        <v>10</v>
      </c>
      <c r="AI109" s="7">
        <f t="shared" si="12"/>
        <v>10</v>
      </c>
      <c r="AJ109" s="7">
        <f t="shared" si="13"/>
        <v>5</v>
      </c>
      <c r="AK109" s="7">
        <f t="shared" si="14"/>
        <v>6</v>
      </c>
      <c r="AL109" s="12">
        <f t="shared" si="16"/>
        <v>37</v>
      </c>
      <c r="AM109" s="14" t="str">
        <f t="shared" si="15"/>
        <v>Barrier</v>
      </c>
      <c r="AN109" s="82"/>
      <c r="AO109" s="84"/>
      <c r="AP109" s="82" t="s">
        <v>433</v>
      </c>
    </row>
    <row r="110" spans="1:42" ht="16">
      <c r="A110" s="87">
        <v>45203</v>
      </c>
      <c r="C110" s="82">
        <v>13900157</v>
      </c>
      <c r="D110" s="82"/>
      <c r="E110" s="88">
        <v>10</v>
      </c>
      <c r="F110" s="89">
        <v>645733</v>
      </c>
      <c r="G110" s="89">
        <v>5940526</v>
      </c>
      <c r="H110" s="88" t="s">
        <v>286</v>
      </c>
      <c r="I110" s="88" t="s">
        <v>106</v>
      </c>
      <c r="J110" s="22">
        <v>825</v>
      </c>
      <c r="K110" s="88" t="s">
        <v>104</v>
      </c>
      <c r="L110" s="82" t="s">
        <v>243</v>
      </c>
      <c r="M110" s="82" t="s">
        <v>244</v>
      </c>
      <c r="N110" s="84">
        <v>2.4</v>
      </c>
      <c r="O110" s="84">
        <v>45</v>
      </c>
      <c r="P110" s="82" t="s">
        <v>252</v>
      </c>
      <c r="Q110" s="86"/>
      <c r="R110" s="82" t="s">
        <v>252</v>
      </c>
      <c r="S110" s="82" t="s">
        <v>252</v>
      </c>
      <c r="T110" s="86"/>
      <c r="U110" s="84">
        <v>9.9</v>
      </c>
      <c r="V110" s="82">
        <v>1</v>
      </c>
      <c r="W110" s="84">
        <v>0.1</v>
      </c>
      <c r="X110" s="82" t="s">
        <v>253</v>
      </c>
      <c r="Y110" s="84">
        <v>2</v>
      </c>
      <c r="Z110" s="84">
        <v>6.7</v>
      </c>
      <c r="AA110" s="82">
        <v>0</v>
      </c>
      <c r="AB110" s="82" t="s">
        <v>253</v>
      </c>
      <c r="AC110" s="82" t="s">
        <v>252</v>
      </c>
      <c r="AD110" s="82" t="s">
        <v>287</v>
      </c>
      <c r="AE110" s="82" t="s">
        <v>255</v>
      </c>
      <c r="AF110" s="20">
        <f t="shared" si="17"/>
        <v>2.791666666666667</v>
      </c>
      <c r="AG110" s="13">
        <f t="shared" si="10"/>
        <v>6</v>
      </c>
      <c r="AH110" s="7">
        <f t="shared" si="11"/>
        <v>10</v>
      </c>
      <c r="AI110" s="7">
        <f t="shared" si="12"/>
        <v>10</v>
      </c>
      <c r="AJ110" s="7">
        <f t="shared" si="13"/>
        <v>5</v>
      </c>
      <c r="AK110" s="7">
        <f t="shared" si="14"/>
        <v>6</v>
      </c>
      <c r="AL110" s="12">
        <f t="shared" si="16"/>
        <v>37</v>
      </c>
      <c r="AM110" s="14" t="str">
        <f t="shared" si="15"/>
        <v>Barrier</v>
      </c>
      <c r="AN110" s="82"/>
      <c r="AO110" s="84"/>
      <c r="AP110" s="82" t="s">
        <v>434</v>
      </c>
    </row>
    <row r="111" spans="1:42" ht="32">
      <c r="A111" s="87">
        <v>45203</v>
      </c>
      <c r="C111" s="82">
        <v>13900019</v>
      </c>
      <c r="D111" s="82"/>
      <c r="E111" s="88">
        <v>10</v>
      </c>
      <c r="F111" s="89">
        <v>660595</v>
      </c>
      <c r="G111" s="89">
        <v>5929526</v>
      </c>
      <c r="H111" s="88" t="s">
        <v>261</v>
      </c>
      <c r="I111" s="88" t="s">
        <v>106</v>
      </c>
      <c r="K111" s="88" t="s">
        <v>104</v>
      </c>
      <c r="L111" s="82" t="s">
        <v>243</v>
      </c>
      <c r="M111" s="82" t="s">
        <v>244</v>
      </c>
      <c r="N111" s="84">
        <v>1.3</v>
      </c>
      <c r="O111" s="84">
        <v>27</v>
      </c>
      <c r="P111" s="82" t="s">
        <v>252</v>
      </c>
      <c r="Q111" s="86"/>
      <c r="R111" s="82" t="s">
        <v>252</v>
      </c>
      <c r="S111" s="82" t="s">
        <v>252</v>
      </c>
      <c r="T111" s="86"/>
      <c r="U111" s="84">
        <v>2</v>
      </c>
      <c r="V111" s="82">
        <v>0.3</v>
      </c>
      <c r="W111" s="84">
        <v>0</v>
      </c>
      <c r="X111" s="82" t="s">
        <v>252</v>
      </c>
      <c r="Y111" s="84">
        <v>1</v>
      </c>
      <c r="Z111" s="84">
        <v>3.9</v>
      </c>
      <c r="AA111" s="82">
        <v>3.5</v>
      </c>
      <c r="AB111" s="82" t="s">
        <v>252</v>
      </c>
      <c r="AC111" s="82" t="s">
        <v>252</v>
      </c>
      <c r="AD111" s="82" t="s">
        <v>254</v>
      </c>
      <c r="AE111" s="82" t="s">
        <v>255</v>
      </c>
      <c r="AF111" s="20">
        <f t="shared" si="17"/>
        <v>3</v>
      </c>
      <c r="AG111" s="13">
        <f t="shared" si="10"/>
        <v>3</v>
      </c>
      <c r="AH111" s="7">
        <f t="shared" si="11"/>
        <v>10</v>
      </c>
      <c r="AI111" s="7">
        <f t="shared" si="12"/>
        <v>10</v>
      </c>
      <c r="AJ111" s="7">
        <f t="shared" si="13"/>
        <v>5</v>
      </c>
      <c r="AK111" s="7">
        <f t="shared" si="14"/>
        <v>6</v>
      </c>
      <c r="AL111" s="12">
        <f t="shared" si="16"/>
        <v>34</v>
      </c>
      <c r="AM111" s="14" t="str">
        <f t="shared" si="15"/>
        <v>Barrier</v>
      </c>
      <c r="AN111" s="82"/>
      <c r="AO111" s="84"/>
      <c r="AP111" s="82" t="s">
        <v>435</v>
      </c>
    </row>
    <row r="112" spans="1:42" ht="16">
      <c r="A112" s="87">
        <v>45203</v>
      </c>
      <c r="C112" s="82">
        <v>13900066</v>
      </c>
      <c r="D112" s="82"/>
      <c r="E112" s="88">
        <v>10</v>
      </c>
      <c r="F112" s="89">
        <v>675449</v>
      </c>
      <c r="G112" s="89">
        <v>5917446</v>
      </c>
      <c r="H112" s="88" t="s">
        <v>288</v>
      </c>
      <c r="I112" s="88" t="s">
        <v>106</v>
      </c>
      <c r="K112" s="88" t="s">
        <v>104</v>
      </c>
      <c r="L112" s="82" t="s">
        <v>243</v>
      </c>
      <c r="M112" s="82" t="s">
        <v>244</v>
      </c>
      <c r="N112" s="84">
        <v>5</v>
      </c>
      <c r="O112" s="84">
        <v>90</v>
      </c>
      <c r="P112" s="82" t="s">
        <v>252</v>
      </c>
      <c r="Q112" s="86"/>
      <c r="R112" s="82" t="s">
        <v>252</v>
      </c>
      <c r="S112" s="82" t="s">
        <v>252</v>
      </c>
      <c r="T112" s="86"/>
      <c r="U112" s="84">
        <v>9.9</v>
      </c>
      <c r="V112" s="82">
        <v>0.75</v>
      </c>
      <c r="W112" s="84">
        <v>1.8</v>
      </c>
      <c r="X112" s="82" t="s">
        <v>253</v>
      </c>
      <c r="Y112" s="84">
        <v>4</v>
      </c>
      <c r="Z112" s="84">
        <v>6.4</v>
      </c>
      <c r="AA112" s="82">
        <v>3.5</v>
      </c>
      <c r="AB112" s="82" t="s">
        <v>252</v>
      </c>
      <c r="AC112" s="82" t="s">
        <v>252</v>
      </c>
      <c r="AD112" s="82" t="s">
        <v>254</v>
      </c>
      <c r="AE112" s="82" t="s">
        <v>255</v>
      </c>
      <c r="AF112" s="20">
        <f t="shared" si="17"/>
        <v>1.28</v>
      </c>
      <c r="AG112" s="13">
        <f t="shared" si="10"/>
        <v>6</v>
      </c>
      <c r="AH112" s="7">
        <f t="shared" si="11"/>
        <v>10</v>
      </c>
      <c r="AI112" s="7">
        <f t="shared" si="12"/>
        <v>10</v>
      </c>
      <c r="AJ112" s="7">
        <f t="shared" si="13"/>
        <v>10</v>
      </c>
      <c r="AK112" s="7">
        <f t="shared" si="14"/>
        <v>3</v>
      </c>
      <c r="AL112" s="12">
        <f t="shared" si="16"/>
        <v>39</v>
      </c>
      <c r="AM112" s="14" t="str">
        <f t="shared" si="15"/>
        <v>Barrier</v>
      </c>
      <c r="AN112" s="82"/>
      <c r="AO112" s="84"/>
      <c r="AP112" s="82" t="s">
        <v>436</v>
      </c>
    </row>
    <row r="113" spans="1:42" ht="16">
      <c r="A113" s="87">
        <v>45203</v>
      </c>
      <c r="C113" s="82">
        <v>13900064</v>
      </c>
      <c r="D113" s="82"/>
      <c r="E113" s="88">
        <v>10</v>
      </c>
      <c r="F113" s="89">
        <v>677526</v>
      </c>
      <c r="G113" s="89">
        <v>5916242</v>
      </c>
      <c r="H113" s="88" t="s">
        <v>163</v>
      </c>
      <c r="I113" s="88" t="s">
        <v>106</v>
      </c>
      <c r="K113" s="88" t="s">
        <v>104</v>
      </c>
      <c r="L113" s="82" t="s">
        <v>243</v>
      </c>
      <c r="M113" s="82" t="s">
        <v>244</v>
      </c>
      <c r="N113" s="84">
        <v>4.0999999999999996</v>
      </c>
      <c r="O113" s="84">
        <v>52</v>
      </c>
      <c r="P113" s="82" t="s">
        <v>252</v>
      </c>
      <c r="Q113" s="86"/>
      <c r="R113" s="82" t="s">
        <v>252</v>
      </c>
      <c r="S113" s="82" t="s">
        <v>252</v>
      </c>
      <c r="T113" s="86"/>
      <c r="U113" s="84">
        <v>9.9</v>
      </c>
      <c r="V113" s="82">
        <v>2.4</v>
      </c>
      <c r="W113" s="84">
        <v>1.2</v>
      </c>
      <c r="X113" s="82" t="s">
        <v>252</v>
      </c>
      <c r="Y113" s="84">
        <v>2.5</v>
      </c>
      <c r="Z113" s="84">
        <v>6.2</v>
      </c>
      <c r="AA113" s="82">
        <v>4</v>
      </c>
      <c r="AB113" s="82" t="s">
        <v>252</v>
      </c>
      <c r="AC113" s="82" t="s">
        <v>252</v>
      </c>
      <c r="AD113" s="82" t="s">
        <v>254</v>
      </c>
      <c r="AE113" s="82" t="s">
        <v>255</v>
      </c>
      <c r="AF113" s="20">
        <f t="shared" si="17"/>
        <v>1.5121951219512197</v>
      </c>
      <c r="AG113" s="13">
        <f t="shared" si="10"/>
        <v>6</v>
      </c>
      <c r="AH113" s="7">
        <f t="shared" si="11"/>
        <v>10</v>
      </c>
      <c r="AI113" s="7">
        <f t="shared" si="12"/>
        <v>10</v>
      </c>
      <c r="AJ113" s="7">
        <f t="shared" si="13"/>
        <v>5</v>
      </c>
      <c r="AK113" s="7">
        <f t="shared" si="14"/>
        <v>6</v>
      </c>
      <c r="AL113" s="12">
        <f t="shared" si="16"/>
        <v>37</v>
      </c>
      <c r="AM113" s="14" t="str">
        <f t="shared" si="15"/>
        <v>Barrier</v>
      </c>
      <c r="AN113" s="82"/>
      <c r="AO113" s="84"/>
      <c r="AP113" s="82" t="s">
        <v>437</v>
      </c>
    </row>
    <row r="114" spans="1:42" ht="16">
      <c r="A114" s="59">
        <v>45204</v>
      </c>
      <c r="C114" s="10">
        <v>22200151</v>
      </c>
      <c r="E114" s="11">
        <v>11</v>
      </c>
      <c r="F114" s="39">
        <v>345349</v>
      </c>
      <c r="G114" s="39">
        <v>5856053</v>
      </c>
      <c r="H114" s="11" t="s">
        <v>289</v>
      </c>
      <c r="I114" s="11" t="s">
        <v>290</v>
      </c>
      <c r="K114" s="11" t="s">
        <v>104</v>
      </c>
      <c r="L114" s="10" t="s">
        <v>243</v>
      </c>
      <c r="M114" s="10" t="s">
        <v>244</v>
      </c>
      <c r="N114" s="84">
        <v>2.7</v>
      </c>
      <c r="O114" s="84">
        <v>35</v>
      </c>
      <c r="P114" s="82" t="s">
        <v>252</v>
      </c>
      <c r="Q114" s="86"/>
      <c r="R114" s="82" t="s">
        <v>252</v>
      </c>
      <c r="S114" s="82" t="s">
        <v>252</v>
      </c>
      <c r="T114" s="86"/>
      <c r="U114" s="84">
        <v>3</v>
      </c>
      <c r="V114" s="82">
        <v>0.38</v>
      </c>
      <c r="W114" s="84">
        <v>0.35</v>
      </c>
      <c r="X114" s="82" t="s">
        <v>253</v>
      </c>
      <c r="Y114" s="84">
        <v>2.5</v>
      </c>
      <c r="Z114" s="84">
        <v>4</v>
      </c>
      <c r="AA114" s="82">
        <v>0</v>
      </c>
      <c r="AB114" s="10" t="s">
        <v>253</v>
      </c>
      <c r="AC114" s="10" t="s">
        <v>252</v>
      </c>
      <c r="AD114" s="82" t="s">
        <v>254</v>
      </c>
      <c r="AE114" s="82" t="s">
        <v>255</v>
      </c>
      <c r="AF114" s="20">
        <f t="shared" si="17"/>
        <v>1.4814814814814814</v>
      </c>
      <c r="AG114" s="13">
        <f t="shared" si="10"/>
        <v>6</v>
      </c>
      <c r="AH114" s="7">
        <f t="shared" si="11"/>
        <v>10</v>
      </c>
      <c r="AI114" s="7">
        <f t="shared" si="12"/>
        <v>10</v>
      </c>
      <c r="AJ114" s="7">
        <f t="shared" si="13"/>
        <v>5</v>
      </c>
      <c r="AK114" s="7">
        <f t="shared" si="14"/>
        <v>6</v>
      </c>
      <c r="AL114" s="12">
        <f t="shared" si="16"/>
        <v>37</v>
      </c>
      <c r="AM114" s="14" t="str">
        <f t="shared" si="15"/>
        <v>Barrier</v>
      </c>
      <c r="AN114" s="82"/>
      <c r="AO114" s="84"/>
      <c r="AP114" s="10" t="s">
        <v>438</v>
      </c>
    </row>
    <row r="115" spans="1:42" ht="16">
      <c r="A115" s="59">
        <v>45204</v>
      </c>
      <c r="C115" s="10">
        <v>13900077</v>
      </c>
      <c r="E115" s="11">
        <v>10</v>
      </c>
      <c r="F115" s="39">
        <v>691822</v>
      </c>
      <c r="G115" s="39">
        <v>5904863</v>
      </c>
      <c r="H115" s="11" t="s">
        <v>291</v>
      </c>
      <c r="I115" s="11" t="s">
        <v>292</v>
      </c>
      <c r="K115" s="11" t="s">
        <v>119</v>
      </c>
      <c r="L115" s="10" t="s">
        <v>243</v>
      </c>
      <c r="M115" s="10" t="s">
        <v>248</v>
      </c>
      <c r="N115" s="84">
        <v>4.5</v>
      </c>
      <c r="O115" s="84">
        <v>28</v>
      </c>
      <c r="P115" s="82" t="s">
        <v>252</v>
      </c>
      <c r="Q115" s="86"/>
      <c r="R115" s="82" t="s">
        <v>252</v>
      </c>
      <c r="S115" s="82" t="s">
        <v>252</v>
      </c>
      <c r="T115" s="86"/>
      <c r="U115" s="84">
        <v>1.5</v>
      </c>
      <c r="V115" s="82">
        <v>0.3</v>
      </c>
      <c r="W115" s="84">
        <v>0.2</v>
      </c>
      <c r="X115" s="82" t="s">
        <v>252</v>
      </c>
      <c r="Y115" s="84">
        <v>0.5</v>
      </c>
      <c r="Z115" s="84">
        <v>6.7</v>
      </c>
      <c r="AA115" s="82">
        <v>1.5</v>
      </c>
      <c r="AB115" s="10" t="s">
        <v>252</v>
      </c>
      <c r="AC115" s="10" t="s">
        <v>252</v>
      </c>
      <c r="AD115" s="82" t="s">
        <v>254</v>
      </c>
      <c r="AE115" s="82" t="s">
        <v>255</v>
      </c>
      <c r="AF115" s="20">
        <f t="shared" si="17"/>
        <v>1.4888888888888889</v>
      </c>
      <c r="AG115" s="13">
        <f t="shared" si="10"/>
        <v>3</v>
      </c>
      <c r="AH115" s="7">
        <f t="shared" si="11"/>
        <v>10</v>
      </c>
      <c r="AI115" s="7">
        <f t="shared" si="12"/>
        <v>10</v>
      </c>
      <c r="AJ115" s="7">
        <f t="shared" si="13"/>
        <v>0</v>
      </c>
      <c r="AK115" s="7">
        <f t="shared" si="14"/>
        <v>6</v>
      </c>
      <c r="AL115" s="12">
        <f t="shared" si="16"/>
        <v>29</v>
      </c>
      <c r="AM115" s="14" t="str">
        <f t="shared" si="15"/>
        <v>Barrier</v>
      </c>
      <c r="AN115" s="82"/>
      <c r="AO115" s="84"/>
      <c r="AP115" s="10" t="s">
        <v>439</v>
      </c>
    </row>
    <row r="116" spans="1:42" ht="16">
      <c r="A116" s="59">
        <v>45204</v>
      </c>
      <c r="C116" s="10">
        <v>13900003</v>
      </c>
      <c r="E116" s="11">
        <v>10</v>
      </c>
      <c r="F116" s="39">
        <v>688720</v>
      </c>
      <c r="G116" s="39">
        <v>5909202</v>
      </c>
      <c r="H116" s="11" t="s">
        <v>293</v>
      </c>
      <c r="I116" s="11" t="s">
        <v>294</v>
      </c>
      <c r="K116" s="11" t="s">
        <v>295</v>
      </c>
      <c r="L116" s="10" t="s">
        <v>243</v>
      </c>
      <c r="M116" s="10" t="s">
        <v>244</v>
      </c>
      <c r="N116" s="84">
        <v>1.5</v>
      </c>
      <c r="O116" s="84">
        <v>18</v>
      </c>
      <c r="P116" s="82" t="s">
        <v>252</v>
      </c>
      <c r="Q116" s="86"/>
      <c r="R116" s="82" t="s">
        <v>252</v>
      </c>
      <c r="S116" s="82" t="s">
        <v>252</v>
      </c>
      <c r="T116" s="86"/>
      <c r="U116" s="84">
        <v>3</v>
      </c>
      <c r="V116" s="82">
        <v>0</v>
      </c>
      <c r="W116" s="84">
        <v>0</v>
      </c>
      <c r="X116" s="82" t="s">
        <v>253</v>
      </c>
      <c r="Y116" s="84">
        <v>1</v>
      </c>
      <c r="Z116" s="84">
        <v>2.2999999999999998</v>
      </c>
      <c r="AA116" s="82">
        <v>2</v>
      </c>
      <c r="AB116" s="10" t="s">
        <v>252</v>
      </c>
      <c r="AC116" s="10" t="s">
        <v>252</v>
      </c>
      <c r="AD116" s="82" t="s">
        <v>254</v>
      </c>
      <c r="AE116" s="82" t="s">
        <v>255</v>
      </c>
      <c r="AF116" s="20">
        <f t="shared" si="17"/>
        <v>1.5333333333333332</v>
      </c>
      <c r="AG116" s="13">
        <f t="shared" si="10"/>
        <v>3</v>
      </c>
      <c r="AH116" s="7">
        <f t="shared" si="11"/>
        <v>10</v>
      </c>
      <c r="AI116" s="7">
        <f t="shared" si="12"/>
        <v>0</v>
      </c>
      <c r="AJ116" s="7">
        <f t="shared" si="13"/>
        <v>5</v>
      </c>
      <c r="AK116" s="7">
        <f t="shared" si="14"/>
        <v>6</v>
      </c>
      <c r="AL116" s="12">
        <f t="shared" si="16"/>
        <v>24</v>
      </c>
      <c r="AM116" s="14" t="str">
        <f t="shared" si="15"/>
        <v>Barrier</v>
      </c>
      <c r="AN116" s="82"/>
      <c r="AO116" s="84"/>
      <c r="AP116" s="10" t="s">
        <v>440</v>
      </c>
    </row>
    <row r="117" spans="1:42" ht="32">
      <c r="A117" s="59">
        <v>45204</v>
      </c>
      <c r="C117" s="10">
        <v>13900030</v>
      </c>
      <c r="E117" s="11">
        <v>10</v>
      </c>
      <c r="F117" s="39">
        <v>689523</v>
      </c>
      <c r="G117" s="39">
        <v>5908856</v>
      </c>
      <c r="H117" s="11" t="s">
        <v>296</v>
      </c>
      <c r="I117" s="11" t="s">
        <v>297</v>
      </c>
      <c r="K117" s="11" t="s">
        <v>119</v>
      </c>
      <c r="L117" s="10" t="s">
        <v>243</v>
      </c>
      <c r="M117" s="10" t="s">
        <v>244</v>
      </c>
      <c r="N117" s="84">
        <v>0.9</v>
      </c>
      <c r="O117" s="84">
        <v>15</v>
      </c>
      <c r="P117" s="82" t="s">
        <v>252</v>
      </c>
      <c r="Q117" s="86"/>
      <c r="R117" s="82" t="s">
        <v>252</v>
      </c>
      <c r="S117" s="82" t="s">
        <v>252</v>
      </c>
      <c r="T117" s="86"/>
      <c r="U117" s="84">
        <v>0.5</v>
      </c>
      <c r="V117" s="82">
        <v>0</v>
      </c>
      <c r="W117" s="84">
        <v>0</v>
      </c>
      <c r="X117" s="82" t="s">
        <v>252</v>
      </c>
      <c r="Y117" s="84">
        <v>1</v>
      </c>
      <c r="Z117" s="84">
        <v>0.9</v>
      </c>
      <c r="AA117" s="82">
        <v>1</v>
      </c>
      <c r="AB117" s="10" t="s">
        <v>252</v>
      </c>
      <c r="AC117" s="10" t="s">
        <v>252</v>
      </c>
      <c r="AD117" s="82" t="s">
        <v>254</v>
      </c>
      <c r="AE117" s="82" t="s">
        <v>257</v>
      </c>
      <c r="AF117" s="20">
        <f t="shared" si="17"/>
        <v>1</v>
      </c>
      <c r="AG117" s="13">
        <f t="shared" si="10"/>
        <v>3</v>
      </c>
      <c r="AH117" s="7">
        <f t="shared" si="11"/>
        <v>10</v>
      </c>
      <c r="AI117" s="7">
        <f t="shared" si="12"/>
        <v>0</v>
      </c>
      <c r="AJ117" s="7">
        <f t="shared" si="13"/>
        <v>5</v>
      </c>
      <c r="AK117" s="7">
        <f t="shared" si="14"/>
        <v>3</v>
      </c>
      <c r="AL117" s="12">
        <f t="shared" si="16"/>
        <v>21</v>
      </c>
      <c r="AM117" s="14" t="str">
        <f t="shared" si="15"/>
        <v>Barrier</v>
      </c>
      <c r="AN117" s="82"/>
      <c r="AO117" s="84"/>
      <c r="AP117" s="10" t="s">
        <v>441</v>
      </c>
    </row>
    <row r="118" spans="1:42" ht="16">
      <c r="A118" s="59">
        <v>45204</v>
      </c>
      <c r="C118" s="10">
        <v>22200081</v>
      </c>
      <c r="E118" s="11">
        <v>11</v>
      </c>
      <c r="F118" s="39">
        <v>345396</v>
      </c>
      <c r="G118" s="39">
        <v>5860898</v>
      </c>
      <c r="H118" s="11" t="s">
        <v>298</v>
      </c>
      <c r="I118" s="11" t="s">
        <v>299</v>
      </c>
      <c r="K118" s="11" t="s">
        <v>104</v>
      </c>
      <c r="L118" s="10" t="s">
        <v>243</v>
      </c>
      <c r="M118" s="10" t="s">
        <v>248</v>
      </c>
      <c r="N118" s="84">
        <v>2.8</v>
      </c>
      <c r="O118" s="84">
        <v>13</v>
      </c>
      <c r="P118" s="82" t="s">
        <v>252</v>
      </c>
      <c r="Q118" s="86"/>
      <c r="R118" s="82" t="s">
        <v>252</v>
      </c>
      <c r="S118" s="82" t="s">
        <v>252</v>
      </c>
      <c r="T118" s="86"/>
      <c r="U118" s="84">
        <v>1</v>
      </c>
      <c r="V118" s="82">
        <v>0.42</v>
      </c>
      <c r="W118" s="84">
        <v>0.5</v>
      </c>
      <c r="X118" s="82" t="s">
        <v>252</v>
      </c>
      <c r="Y118" s="84">
        <v>4</v>
      </c>
      <c r="Z118" s="84">
        <v>3.4</v>
      </c>
      <c r="AA118" s="82">
        <v>4.5</v>
      </c>
      <c r="AB118" s="10" t="s">
        <v>252</v>
      </c>
      <c r="AC118" s="10" t="s">
        <v>252</v>
      </c>
      <c r="AD118" s="82" t="s">
        <v>254</v>
      </c>
      <c r="AE118" s="82" t="s">
        <v>256</v>
      </c>
      <c r="AF118" s="20">
        <f t="shared" si="17"/>
        <v>1.2142857142857144</v>
      </c>
      <c r="AG118" s="13">
        <f t="shared" si="10"/>
        <v>0</v>
      </c>
      <c r="AH118" s="7">
        <f t="shared" si="11"/>
        <v>10</v>
      </c>
      <c r="AI118" s="7">
        <f t="shared" si="12"/>
        <v>10</v>
      </c>
      <c r="AJ118" s="7">
        <f t="shared" si="13"/>
        <v>10</v>
      </c>
      <c r="AK118" s="7">
        <f t="shared" si="14"/>
        <v>3</v>
      </c>
      <c r="AL118" s="12">
        <f t="shared" si="16"/>
        <v>33</v>
      </c>
      <c r="AM118" s="14" t="str">
        <f t="shared" si="15"/>
        <v>Barrier</v>
      </c>
      <c r="AN118" s="82"/>
      <c r="AO118" s="84"/>
      <c r="AP118" s="10" t="s">
        <v>442</v>
      </c>
    </row>
    <row r="119" spans="1:42" ht="16">
      <c r="A119" s="59">
        <v>45204</v>
      </c>
      <c r="C119" s="10">
        <v>22201951</v>
      </c>
      <c r="E119" s="11">
        <v>11</v>
      </c>
      <c r="F119" s="39">
        <v>345405</v>
      </c>
      <c r="G119" s="39">
        <v>5860914</v>
      </c>
      <c r="H119" s="11" t="s">
        <v>300</v>
      </c>
      <c r="I119" s="11" t="s">
        <v>267</v>
      </c>
      <c r="K119" s="11" t="s">
        <v>196</v>
      </c>
      <c r="L119" s="10" t="s">
        <v>243</v>
      </c>
      <c r="M119" s="10" t="s">
        <v>244</v>
      </c>
      <c r="N119" s="84">
        <v>1.7</v>
      </c>
      <c r="O119" s="84">
        <v>40</v>
      </c>
      <c r="P119" s="82" t="s">
        <v>252</v>
      </c>
      <c r="Q119" s="86"/>
      <c r="R119" s="82" t="s">
        <v>252</v>
      </c>
      <c r="S119" s="82" t="s">
        <v>252</v>
      </c>
      <c r="T119" s="86"/>
      <c r="U119" s="84">
        <v>2.5</v>
      </c>
      <c r="V119" s="82">
        <v>0.2</v>
      </c>
      <c r="W119" s="84">
        <v>0.75</v>
      </c>
      <c r="X119" s="82" t="s">
        <v>253</v>
      </c>
      <c r="Y119" s="84">
        <v>2.5</v>
      </c>
      <c r="Z119" s="84">
        <v>3.6</v>
      </c>
      <c r="AA119" s="82">
        <v>4.5</v>
      </c>
      <c r="AB119" s="10" t="s">
        <v>252</v>
      </c>
      <c r="AC119" s="10" t="s">
        <v>252</v>
      </c>
      <c r="AD119" s="82" t="s">
        <v>254</v>
      </c>
      <c r="AE119" s="82" t="s">
        <v>256</v>
      </c>
      <c r="AF119" s="20">
        <f t="shared" si="17"/>
        <v>2.1176470588235294</v>
      </c>
      <c r="AG119" s="13">
        <f t="shared" si="10"/>
        <v>6</v>
      </c>
      <c r="AH119" s="7">
        <f t="shared" si="11"/>
        <v>10</v>
      </c>
      <c r="AI119" s="7">
        <f t="shared" si="12"/>
        <v>5</v>
      </c>
      <c r="AJ119" s="7">
        <f t="shared" si="13"/>
        <v>5</v>
      </c>
      <c r="AK119" s="7">
        <f t="shared" si="14"/>
        <v>6</v>
      </c>
      <c r="AL119" s="12">
        <f t="shared" si="16"/>
        <v>32</v>
      </c>
      <c r="AM119" s="14" t="str">
        <f t="shared" si="15"/>
        <v>Barrier</v>
      </c>
      <c r="AN119" s="82"/>
      <c r="AO119" s="84"/>
      <c r="AP119" s="10" t="s">
        <v>443</v>
      </c>
    </row>
    <row r="120" spans="1:42" ht="16">
      <c r="A120" s="59">
        <v>45204</v>
      </c>
      <c r="C120" s="10">
        <v>22201176</v>
      </c>
      <c r="E120" s="11">
        <v>11</v>
      </c>
      <c r="F120" s="39">
        <v>344016</v>
      </c>
      <c r="G120" s="39">
        <v>5862741</v>
      </c>
      <c r="H120" s="11" t="s">
        <v>301</v>
      </c>
      <c r="I120" s="11" t="s">
        <v>302</v>
      </c>
      <c r="K120" s="11" t="s">
        <v>104</v>
      </c>
      <c r="L120" s="10" t="s">
        <v>243</v>
      </c>
      <c r="M120" s="10" t="s">
        <v>244</v>
      </c>
      <c r="N120" s="84">
        <v>1.5</v>
      </c>
      <c r="O120" s="84">
        <v>26</v>
      </c>
      <c r="P120" s="82" t="s">
        <v>252</v>
      </c>
      <c r="Q120" s="86"/>
      <c r="R120" s="82" t="s">
        <v>252</v>
      </c>
      <c r="S120" s="82" t="s">
        <v>252</v>
      </c>
      <c r="T120" s="86"/>
      <c r="U120" s="84">
        <v>1.5</v>
      </c>
      <c r="V120" s="82">
        <v>0.4</v>
      </c>
      <c r="W120" s="84">
        <v>1</v>
      </c>
      <c r="X120" s="82" t="s">
        <v>253</v>
      </c>
      <c r="Y120" s="84">
        <v>1.5</v>
      </c>
      <c r="Z120" s="84">
        <v>4.5</v>
      </c>
      <c r="AA120" s="82">
        <v>3.5</v>
      </c>
      <c r="AB120" s="10" t="s">
        <v>252</v>
      </c>
      <c r="AC120" s="10" t="s">
        <v>252</v>
      </c>
      <c r="AD120" s="82" t="s">
        <v>254</v>
      </c>
      <c r="AE120" s="82" t="s">
        <v>255</v>
      </c>
      <c r="AF120" s="20">
        <f t="shared" si="17"/>
        <v>3</v>
      </c>
      <c r="AG120" s="13">
        <f t="shared" si="10"/>
        <v>3</v>
      </c>
      <c r="AH120" s="7">
        <f t="shared" si="11"/>
        <v>10</v>
      </c>
      <c r="AI120" s="7">
        <f t="shared" si="12"/>
        <v>10</v>
      </c>
      <c r="AJ120" s="7">
        <f t="shared" si="13"/>
        <v>5</v>
      </c>
      <c r="AK120" s="7">
        <f t="shared" si="14"/>
        <v>6</v>
      </c>
      <c r="AL120" s="12">
        <f t="shared" si="16"/>
        <v>34</v>
      </c>
      <c r="AM120" s="14" t="str">
        <f t="shared" si="15"/>
        <v>Barrier</v>
      </c>
      <c r="AN120" s="82"/>
      <c r="AO120" s="84"/>
      <c r="AP120" s="10" t="s">
        <v>444</v>
      </c>
    </row>
    <row r="121" spans="1:42" ht="32">
      <c r="A121" s="59">
        <v>45204</v>
      </c>
      <c r="C121" s="10">
        <v>22200022</v>
      </c>
      <c r="E121" s="11">
        <v>11</v>
      </c>
      <c r="F121" s="39">
        <v>302951</v>
      </c>
      <c r="G121" s="39">
        <v>5899072</v>
      </c>
      <c r="H121" s="11" t="s">
        <v>303</v>
      </c>
      <c r="I121" s="11" t="s">
        <v>304</v>
      </c>
      <c r="K121" s="11" t="s">
        <v>119</v>
      </c>
      <c r="L121" s="10" t="s">
        <v>243</v>
      </c>
      <c r="M121" s="10" t="s">
        <v>244</v>
      </c>
      <c r="N121" s="84">
        <v>0.6</v>
      </c>
      <c r="O121" s="84">
        <v>20</v>
      </c>
      <c r="P121" s="82" t="s">
        <v>252</v>
      </c>
      <c r="Q121" s="86"/>
      <c r="R121" s="82" t="s">
        <v>252</v>
      </c>
      <c r="S121" s="82" t="s">
        <v>252</v>
      </c>
      <c r="T121" s="86"/>
      <c r="U121" s="84">
        <v>5</v>
      </c>
      <c r="V121" s="82">
        <v>0.7</v>
      </c>
      <c r="W121" s="84">
        <v>0</v>
      </c>
      <c r="X121" s="82" t="s">
        <v>252</v>
      </c>
      <c r="Y121" s="84">
        <v>1</v>
      </c>
      <c r="Z121" s="84">
        <v>1.4</v>
      </c>
      <c r="AA121" s="82">
        <v>3</v>
      </c>
      <c r="AB121" s="10" t="s">
        <v>252</v>
      </c>
      <c r="AC121" s="10" t="s">
        <v>252</v>
      </c>
      <c r="AD121" s="82" t="s">
        <v>254</v>
      </c>
      <c r="AE121" s="82" t="s">
        <v>257</v>
      </c>
      <c r="AF121" s="20">
        <f t="shared" si="17"/>
        <v>2.3333333333333335</v>
      </c>
      <c r="AG121" s="13">
        <f t="shared" si="10"/>
        <v>3</v>
      </c>
      <c r="AH121" s="7">
        <f t="shared" si="11"/>
        <v>10</v>
      </c>
      <c r="AI121" s="7">
        <f t="shared" si="12"/>
        <v>10</v>
      </c>
      <c r="AJ121" s="7">
        <f t="shared" si="13"/>
        <v>5</v>
      </c>
      <c r="AK121" s="7">
        <f t="shared" si="14"/>
        <v>6</v>
      </c>
      <c r="AL121" s="12">
        <f t="shared" si="16"/>
        <v>34</v>
      </c>
      <c r="AM121" s="14" t="str">
        <f t="shared" si="15"/>
        <v>Barrier</v>
      </c>
      <c r="AN121" s="82"/>
      <c r="AO121" s="84"/>
      <c r="AP121" s="10" t="s">
        <v>445</v>
      </c>
    </row>
    <row r="122" spans="1:42" ht="16">
      <c r="A122" s="59">
        <v>45204</v>
      </c>
      <c r="C122" s="10">
        <v>22200075</v>
      </c>
      <c r="E122" s="11">
        <v>11</v>
      </c>
      <c r="F122" s="39">
        <v>335908</v>
      </c>
      <c r="G122" s="39">
        <v>5872652</v>
      </c>
      <c r="H122" s="11" t="s">
        <v>305</v>
      </c>
      <c r="I122" s="11" t="s">
        <v>306</v>
      </c>
      <c r="K122" s="11" t="s">
        <v>104</v>
      </c>
      <c r="L122" s="10" t="s">
        <v>243</v>
      </c>
      <c r="M122" s="10" t="s">
        <v>244</v>
      </c>
      <c r="N122" s="84">
        <v>1.05</v>
      </c>
      <c r="O122" s="84">
        <v>19</v>
      </c>
      <c r="P122" s="82" t="s">
        <v>252</v>
      </c>
      <c r="Q122" s="86"/>
      <c r="R122" s="82" t="s">
        <v>252</v>
      </c>
      <c r="S122" s="82" t="s">
        <v>252</v>
      </c>
      <c r="T122" s="86"/>
      <c r="U122" s="84">
        <v>1.8</v>
      </c>
      <c r="V122" s="82">
        <v>0.5</v>
      </c>
      <c r="W122" s="84">
        <v>0.4</v>
      </c>
      <c r="X122" s="82" t="s">
        <v>252</v>
      </c>
      <c r="Y122" s="84">
        <v>3</v>
      </c>
      <c r="Z122" s="84">
        <v>2.2000000000000002</v>
      </c>
      <c r="AA122" s="82">
        <v>2</v>
      </c>
      <c r="AB122" s="10" t="s">
        <v>252</v>
      </c>
      <c r="AC122" s="10" t="s">
        <v>252</v>
      </c>
      <c r="AD122" s="82" t="s">
        <v>254</v>
      </c>
      <c r="AE122" s="82" t="s">
        <v>256</v>
      </c>
      <c r="AF122" s="20">
        <f t="shared" si="17"/>
        <v>2.0952380952380953</v>
      </c>
      <c r="AG122" s="13">
        <f t="shared" si="10"/>
        <v>3</v>
      </c>
      <c r="AH122" s="7">
        <f t="shared" si="11"/>
        <v>10</v>
      </c>
      <c r="AI122" s="7">
        <f t="shared" si="12"/>
        <v>10</v>
      </c>
      <c r="AJ122" s="7">
        <f t="shared" si="13"/>
        <v>10</v>
      </c>
      <c r="AK122" s="7">
        <f t="shared" si="14"/>
        <v>6</v>
      </c>
      <c r="AL122" s="12">
        <f t="shared" si="16"/>
        <v>39</v>
      </c>
      <c r="AM122" s="14" t="str">
        <f t="shared" si="15"/>
        <v>Barrier</v>
      </c>
      <c r="AN122" s="82"/>
      <c r="AO122" s="84"/>
      <c r="AP122" s="10" t="s">
        <v>446</v>
      </c>
    </row>
    <row r="123" spans="1:42" ht="16">
      <c r="A123" s="59">
        <v>45204</v>
      </c>
      <c r="C123" s="10">
        <v>22201218</v>
      </c>
      <c r="E123" s="11">
        <v>11</v>
      </c>
      <c r="F123" s="39">
        <v>335375</v>
      </c>
      <c r="G123" s="39">
        <v>5873132</v>
      </c>
      <c r="H123" s="11" t="s">
        <v>307</v>
      </c>
      <c r="I123" s="11" t="s">
        <v>106</v>
      </c>
      <c r="K123" s="11" t="s">
        <v>104</v>
      </c>
      <c r="L123" s="10" t="s">
        <v>243</v>
      </c>
      <c r="M123" s="10" t="s">
        <v>248</v>
      </c>
      <c r="N123" s="84">
        <v>1.7</v>
      </c>
      <c r="O123" s="84">
        <v>35</v>
      </c>
      <c r="P123" s="82" t="s">
        <v>252</v>
      </c>
      <c r="Q123" s="86"/>
      <c r="R123" s="82" t="s">
        <v>252</v>
      </c>
      <c r="S123" s="82" t="s">
        <v>252</v>
      </c>
      <c r="T123" s="86"/>
      <c r="U123" s="84">
        <v>2</v>
      </c>
      <c r="V123" s="82">
        <v>0.4</v>
      </c>
      <c r="W123" s="84">
        <v>0.4</v>
      </c>
      <c r="X123" s="82" t="s">
        <v>252</v>
      </c>
      <c r="Y123" s="84">
        <v>2</v>
      </c>
      <c r="Z123" s="84">
        <v>1</v>
      </c>
      <c r="AA123" s="82">
        <v>0</v>
      </c>
      <c r="AB123" s="10" t="s">
        <v>252</v>
      </c>
      <c r="AC123" s="10" t="s">
        <v>252</v>
      </c>
      <c r="AD123" s="82" t="s">
        <v>254</v>
      </c>
      <c r="AE123" s="82" t="s">
        <v>256</v>
      </c>
      <c r="AF123" s="20">
        <f t="shared" si="17"/>
        <v>0.58823529411764708</v>
      </c>
      <c r="AG123" s="13">
        <f t="shared" si="10"/>
        <v>6</v>
      </c>
      <c r="AH123" s="7">
        <f t="shared" si="11"/>
        <v>10</v>
      </c>
      <c r="AI123" s="7">
        <f t="shared" si="12"/>
        <v>10</v>
      </c>
      <c r="AJ123" s="7">
        <f t="shared" si="13"/>
        <v>5</v>
      </c>
      <c r="AK123" s="7">
        <f t="shared" si="14"/>
        <v>0</v>
      </c>
      <c r="AL123" s="12">
        <f t="shared" si="16"/>
        <v>31</v>
      </c>
      <c r="AM123" s="14" t="str">
        <f t="shared" si="15"/>
        <v>Barrier</v>
      </c>
      <c r="AN123" s="82"/>
      <c r="AO123" s="84"/>
      <c r="AP123" s="10" t="s">
        <v>447</v>
      </c>
    </row>
    <row r="124" spans="1:42" ht="16">
      <c r="A124" s="59">
        <v>45204</v>
      </c>
      <c r="C124" s="10">
        <v>22201229</v>
      </c>
      <c r="E124" s="11">
        <v>11</v>
      </c>
      <c r="F124" s="39">
        <v>305965</v>
      </c>
      <c r="G124" s="39">
        <v>5896000</v>
      </c>
      <c r="H124" s="11" t="s">
        <v>308</v>
      </c>
      <c r="I124" s="11" t="s">
        <v>106</v>
      </c>
      <c r="K124" s="11" t="s">
        <v>104</v>
      </c>
      <c r="L124" s="10" t="s">
        <v>243</v>
      </c>
      <c r="M124" s="10" t="s">
        <v>244</v>
      </c>
      <c r="N124" s="84">
        <v>2.5</v>
      </c>
      <c r="O124" s="84">
        <v>56</v>
      </c>
      <c r="P124" s="82" t="s">
        <v>252</v>
      </c>
      <c r="Q124" s="86"/>
      <c r="R124" s="82" t="s">
        <v>252</v>
      </c>
      <c r="S124" s="82" t="s">
        <v>252</v>
      </c>
      <c r="T124" s="86"/>
      <c r="U124" s="84">
        <v>2.2999999999999998</v>
      </c>
      <c r="V124" s="82">
        <v>0.4</v>
      </c>
      <c r="W124" s="84">
        <v>0.3</v>
      </c>
      <c r="X124" s="82" t="s">
        <v>252</v>
      </c>
      <c r="Y124" s="84">
        <v>2</v>
      </c>
      <c r="Z124" s="84">
        <v>10.8</v>
      </c>
      <c r="AA124" s="82">
        <v>5</v>
      </c>
      <c r="AB124" s="10" t="s">
        <v>252</v>
      </c>
      <c r="AC124" s="10" t="s">
        <v>252</v>
      </c>
      <c r="AD124" s="82" t="s">
        <v>254</v>
      </c>
      <c r="AE124" s="82" t="s">
        <v>255</v>
      </c>
      <c r="AF124" s="20">
        <f t="shared" si="17"/>
        <v>4.32</v>
      </c>
      <c r="AG124" s="13">
        <f t="shared" si="10"/>
        <v>6</v>
      </c>
      <c r="AH124" s="7">
        <f t="shared" si="11"/>
        <v>10</v>
      </c>
      <c r="AI124" s="7">
        <f t="shared" si="12"/>
        <v>10</v>
      </c>
      <c r="AJ124" s="7">
        <f t="shared" si="13"/>
        <v>5</v>
      </c>
      <c r="AK124" s="7">
        <f t="shared" si="14"/>
        <v>6</v>
      </c>
      <c r="AL124" s="12">
        <f t="shared" si="16"/>
        <v>37</v>
      </c>
      <c r="AM124" s="14" t="str">
        <f t="shared" si="15"/>
        <v>Barrier</v>
      </c>
      <c r="AN124" s="82"/>
      <c r="AO124" s="84"/>
      <c r="AP124" s="10" t="s">
        <v>448</v>
      </c>
    </row>
    <row r="125" spans="1:42" ht="32">
      <c r="A125" s="59">
        <v>45204</v>
      </c>
      <c r="C125" s="10">
        <v>22200029</v>
      </c>
      <c r="E125" s="11">
        <v>11</v>
      </c>
      <c r="F125" s="39">
        <v>309830</v>
      </c>
      <c r="G125" s="39">
        <v>5892394</v>
      </c>
      <c r="H125" s="11" t="s">
        <v>261</v>
      </c>
      <c r="I125" s="11" t="s">
        <v>309</v>
      </c>
      <c r="K125" s="11" t="s">
        <v>119</v>
      </c>
      <c r="L125" s="10" t="s">
        <v>243</v>
      </c>
      <c r="M125" s="10" t="s">
        <v>244</v>
      </c>
      <c r="N125" s="84">
        <v>1.4</v>
      </c>
      <c r="O125" s="84">
        <v>19</v>
      </c>
      <c r="P125" s="82" t="s">
        <v>252</v>
      </c>
      <c r="Q125" s="86"/>
      <c r="R125" s="82" t="s">
        <v>252</v>
      </c>
      <c r="S125" s="82" t="s">
        <v>252</v>
      </c>
      <c r="T125" s="86"/>
      <c r="U125" s="84">
        <v>2.2000000000000002</v>
      </c>
      <c r="V125" s="82">
        <v>0.2</v>
      </c>
      <c r="W125" s="84">
        <v>0.2</v>
      </c>
      <c r="X125" s="82" t="s">
        <v>252</v>
      </c>
      <c r="Y125" s="84">
        <v>0</v>
      </c>
      <c r="Z125" s="84">
        <v>1.2</v>
      </c>
      <c r="AA125" s="82">
        <v>3.5</v>
      </c>
      <c r="AB125" s="10" t="s">
        <v>252</v>
      </c>
      <c r="AC125" s="10" t="s">
        <v>252</v>
      </c>
      <c r="AD125" s="82" t="s">
        <v>254</v>
      </c>
      <c r="AE125" s="82" t="s">
        <v>257</v>
      </c>
      <c r="AF125" s="20">
        <f t="shared" si="17"/>
        <v>0.85714285714285721</v>
      </c>
      <c r="AG125" s="13">
        <f t="shared" si="10"/>
        <v>3</v>
      </c>
      <c r="AH125" s="7">
        <f t="shared" si="11"/>
        <v>10</v>
      </c>
      <c r="AI125" s="7">
        <f t="shared" si="12"/>
        <v>5</v>
      </c>
      <c r="AJ125" s="7">
        <f t="shared" si="13"/>
        <v>0</v>
      </c>
      <c r="AK125" s="7">
        <f t="shared" si="14"/>
        <v>0</v>
      </c>
      <c r="AL125" s="12">
        <f t="shared" si="16"/>
        <v>18</v>
      </c>
      <c r="AM125" s="14" t="str">
        <f t="shared" si="15"/>
        <v>Potential</v>
      </c>
      <c r="AN125" s="82"/>
      <c r="AO125" s="84"/>
      <c r="AP125" s="10" t="s">
        <v>449</v>
      </c>
    </row>
    <row r="126" spans="1:42" ht="16">
      <c r="A126" s="59">
        <v>45204</v>
      </c>
      <c r="C126" s="10">
        <v>22200067</v>
      </c>
      <c r="E126" s="11">
        <v>11</v>
      </c>
      <c r="F126" s="39">
        <v>331575</v>
      </c>
      <c r="G126" s="39">
        <v>5875589</v>
      </c>
      <c r="H126" s="11" t="s">
        <v>310</v>
      </c>
      <c r="I126" s="11" t="s">
        <v>311</v>
      </c>
      <c r="K126" s="11" t="s">
        <v>104</v>
      </c>
      <c r="L126" s="10" t="s">
        <v>243</v>
      </c>
      <c r="M126" s="10" t="s">
        <v>244</v>
      </c>
      <c r="N126" s="84">
        <v>2.6</v>
      </c>
      <c r="O126" s="84">
        <v>18</v>
      </c>
      <c r="P126" s="82" t="s">
        <v>252</v>
      </c>
      <c r="Q126" s="86"/>
      <c r="R126" s="82" t="s">
        <v>252</v>
      </c>
      <c r="S126" s="82" t="s">
        <v>252</v>
      </c>
      <c r="T126" s="86"/>
      <c r="U126" s="84">
        <v>1.5</v>
      </c>
      <c r="V126" s="82">
        <v>0</v>
      </c>
      <c r="W126" s="84">
        <v>0.4</v>
      </c>
      <c r="X126" s="82" t="s">
        <v>253</v>
      </c>
      <c r="Y126" s="84">
        <v>5</v>
      </c>
      <c r="Z126" s="84">
        <v>5.8</v>
      </c>
      <c r="AA126" s="82">
        <v>6</v>
      </c>
      <c r="AB126" s="10" t="s">
        <v>252</v>
      </c>
      <c r="AC126" s="10" t="s">
        <v>252</v>
      </c>
      <c r="AD126" s="82" t="s">
        <v>254</v>
      </c>
      <c r="AE126" s="82" t="s">
        <v>255</v>
      </c>
      <c r="AF126" s="20">
        <f t="shared" si="17"/>
        <v>2.2307692307692308</v>
      </c>
      <c r="AG126" s="13">
        <f t="shared" si="10"/>
        <v>3</v>
      </c>
      <c r="AH126" s="7">
        <f t="shared" si="11"/>
        <v>10</v>
      </c>
      <c r="AI126" s="7">
        <f t="shared" si="12"/>
        <v>0</v>
      </c>
      <c r="AJ126" s="7">
        <f t="shared" si="13"/>
        <v>10</v>
      </c>
      <c r="AK126" s="7">
        <f t="shared" si="14"/>
        <v>6</v>
      </c>
      <c r="AL126" s="12">
        <f t="shared" si="16"/>
        <v>29</v>
      </c>
      <c r="AM126" s="14" t="str">
        <f t="shared" si="15"/>
        <v>Barrier</v>
      </c>
      <c r="AN126" s="82"/>
      <c r="AO126" s="84"/>
      <c r="AP126" s="10" t="s">
        <v>450</v>
      </c>
    </row>
    <row r="127" spans="1:42" ht="32">
      <c r="A127" s="59">
        <v>45204</v>
      </c>
      <c r="C127" s="10">
        <v>22200051</v>
      </c>
      <c r="E127" s="11">
        <v>11</v>
      </c>
      <c r="F127" s="39">
        <v>312484</v>
      </c>
      <c r="G127" s="39">
        <v>5892004</v>
      </c>
      <c r="H127" s="11" t="s">
        <v>266</v>
      </c>
      <c r="I127" s="11" t="s">
        <v>312</v>
      </c>
      <c r="K127" s="11" t="s">
        <v>119</v>
      </c>
      <c r="L127" s="10" t="s">
        <v>243</v>
      </c>
      <c r="M127" s="10" t="s">
        <v>244</v>
      </c>
      <c r="N127" s="84">
        <v>1.1000000000000001</v>
      </c>
      <c r="O127" s="84">
        <v>8</v>
      </c>
      <c r="P127" s="82" t="s">
        <v>252</v>
      </c>
      <c r="Q127" s="86"/>
      <c r="R127" s="82" t="s">
        <v>252</v>
      </c>
      <c r="S127" s="82" t="s">
        <v>252</v>
      </c>
      <c r="T127" s="86"/>
      <c r="U127" s="84">
        <v>1</v>
      </c>
      <c r="V127" s="82">
        <v>0</v>
      </c>
      <c r="W127" s="84">
        <v>0</v>
      </c>
      <c r="X127" s="82" t="s">
        <v>252</v>
      </c>
      <c r="Y127" s="84">
        <v>5</v>
      </c>
      <c r="Z127" s="84">
        <v>2.5</v>
      </c>
      <c r="AA127" s="82">
        <v>4.5</v>
      </c>
      <c r="AB127" s="10" t="s">
        <v>252</v>
      </c>
      <c r="AC127" s="10" t="s">
        <v>252</v>
      </c>
      <c r="AD127" s="82" t="s">
        <v>254</v>
      </c>
      <c r="AE127" s="82" t="s">
        <v>256</v>
      </c>
      <c r="AF127" s="20">
        <f t="shared" si="17"/>
        <v>2.2727272727272725</v>
      </c>
      <c r="AG127" s="13">
        <f t="shared" si="10"/>
        <v>0</v>
      </c>
      <c r="AH127" s="7">
        <f t="shared" si="11"/>
        <v>10</v>
      </c>
      <c r="AI127" s="7">
        <f t="shared" si="12"/>
        <v>0</v>
      </c>
      <c r="AJ127" s="7">
        <f t="shared" si="13"/>
        <v>10</v>
      </c>
      <c r="AK127" s="7">
        <f t="shared" si="14"/>
        <v>6</v>
      </c>
      <c r="AL127" s="12">
        <f t="shared" si="16"/>
        <v>26</v>
      </c>
      <c r="AM127" s="14" t="str">
        <f t="shared" si="15"/>
        <v>Barrier</v>
      </c>
      <c r="AN127" s="82"/>
      <c r="AO127" s="84"/>
      <c r="AP127" s="10" t="s">
        <v>451</v>
      </c>
    </row>
    <row r="128" spans="1:42" ht="16">
      <c r="A128" s="59">
        <v>45204</v>
      </c>
      <c r="C128" s="10">
        <v>22200061</v>
      </c>
      <c r="E128" s="11">
        <v>11</v>
      </c>
      <c r="F128" s="39">
        <v>331629</v>
      </c>
      <c r="G128" s="39">
        <v>5875684</v>
      </c>
      <c r="H128" s="11" t="s">
        <v>310</v>
      </c>
      <c r="I128" s="11" t="s">
        <v>106</v>
      </c>
      <c r="K128" s="11" t="s">
        <v>104</v>
      </c>
      <c r="L128" s="10" t="s">
        <v>243</v>
      </c>
      <c r="M128" s="10" t="s">
        <v>251</v>
      </c>
      <c r="N128" s="84">
        <v>3.65</v>
      </c>
      <c r="O128" s="84">
        <v>21</v>
      </c>
      <c r="P128" s="82" t="s">
        <v>252</v>
      </c>
      <c r="Q128" s="86"/>
      <c r="R128" s="82" t="s">
        <v>252</v>
      </c>
      <c r="S128" s="82" t="s">
        <v>252</v>
      </c>
      <c r="T128" s="86"/>
      <c r="U128" s="84">
        <v>1.5</v>
      </c>
      <c r="V128" s="82">
        <v>0</v>
      </c>
      <c r="W128" s="84">
        <v>0.2</v>
      </c>
      <c r="X128" s="82" t="s">
        <v>253</v>
      </c>
      <c r="Y128" s="84">
        <v>6</v>
      </c>
      <c r="Z128" s="84">
        <v>5.8</v>
      </c>
      <c r="AA128" s="82">
        <v>6</v>
      </c>
      <c r="AB128" s="10" t="s">
        <v>252</v>
      </c>
      <c r="AC128" s="10" t="s">
        <v>252</v>
      </c>
      <c r="AD128" s="82" t="s">
        <v>254</v>
      </c>
      <c r="AE128" s="82" t="s">
        <v>255</v>
      </c>
      <c r="AF128" s="20">
        <f t="shared" si="17"/>
        <v>1.5890410958904109</v>
      </c>
      <c r="AG128" s="13">
        <f t="shared" si="10"/>
        <v>3</v>
      </c>
      <c r="AH128" s="7">
        <f t="shared" si="11"/>
        <v>10</v>
      </c>
      <c r="AI128" s="7">
        <f t="shared" si="12"/>
        <v>0</v>
      </c>
      <c r="AJ128" s="7">
        <f t="shared" si="13"/>
        <v>10</v>
      </c>
      <c r="AK128" s="7">
        <f t="shared" si="14"/>
        <v>6</v>
      </c>
      <c r="AL128" s="12">
        <f t="shared" si="16"/>
        <v>29</v>
      </c>
      <c r="AM128" s="14" t="str">
        <f t="shared" si="15"/>
        <v>Barrier</v>
      </c>
      <c r="AN128" s="82"/>
      <c r="AO128" s="84"/>
      <c r="AP128" s="10" t="s">
        <v>452</v>
      </c>
    </row>
    <row r="129" spans="1:42" ht="16">
      <c r="A129" s="59">
        <v>45197</v>
      </c>
      <c r="C129" s="10">
        <v>5400446</v>
      </c>
      <c r="D129" s="10" t="s">
        <v>100</v>
      </c>
      <c r="E129" s="11">
        <v>10</v>
      </c>
      <c r="F129" s="39">
        <v>307446</v>
      </c>
      <c r="G129" s="39">
        <v>6030655</v>
      </c>
      <c r="H129" s="11" t="s">
        <v>105</v>
      </c>
      <c r="I129" s="11" t="s">
        <v>106</v>
      </c>
      <c r="K129" s="11" t="s">
        <v>104</v>
      </c>
      <c r="L129" s="10" t="s">
        <v>243</v>
      </c>
      <c r="M129" s="10" t="s">
        <v>244</v>
      </c>
      <c r="N129" s="84">
        <v>2.25</v>
      </c>
      <c r="O129" s="84">
        <v>22</v>
      </c>
      <c r="P129" s="82" t="s">
        <v>252</v>
      </c>
      <c r="Q129" s="86"/>
      <c r="R129" s="82" t="s">
        <v>252</v>
      </c>
      <c r="S129" s="82" t="s">
        <v>253</v>
      </c>
      <c r="T129" s="84">
        <v>100</v>
      </c>
      <c r="U129" s="84">
        <v>1</v>
      </c>
      <c r="V129" s="82">
        <v>0</v>
      </c>
      <c r="W129" s="84">
        <v>0.3</v>
      </c>
      <c r="X129" s="82" t="s">
        <v>252</v>
      </c>
      <c r="Y129" s="84">
        <v>1.5</v>
      </c>
      <c r="Z129" s="84">
        <v>3.8</v>
      </c>
      <c r="AA129" s="82">
        <v>2</v>
      </c>
      <c r="AB129" s="10" t="s">
        <v>252</v>
      </c>
      <c r="AC129" s="10" t="s">
        <v>252</v>
      </c>
      <c r="AD129" s="82" t="s">
        <v>254</v>
      </c>
      <c r="AE129" s="82" t="s">
        <v>255</v>
      </c>
      <c r="AF129" s="20">
        <f t="shared" si="17"/>
        <v>1.6888888888888889</v>
      </c>
      <c r="AG129" s="13">
        <f t="shared" si="10"/>
        <v>3</v>
      </c>
      <c r="AH129" s="7">
        <f t="shared" si="11"/>
        <v>10</v>
      </c>
      <c r="AI129" s="7">
        <f t="shared" si="12"/>
        <v>0</v>
      </c>
      <c r="AJ129" s="7">
        <f t="shared" si="13"/>
        <v>5</v>
      </c>
      <c r="AK129" s="7">
        <f t="shared" si="14"/>
        <v>6</v>
      </c>
      <c r="AL129" s="12">
        <f t="shared" si="16"/>
        <v>24</v>
      </c>
      <c r="AM129" s="14" t="str">
        <f t="shared" si="15"/>
        <v>Barrier</v>
      </c>
      <c r="AN129" s="82"/>
      <c r="AO129" s="84"/>
      <c r="AP129" s="10" t="s">
        <v>453</v>
      </c>
    </row>
    <row r="130" spans="1:42" ht="32">
      <c r="A130" s="59">
        <v>45197</v>
      </c>
      <c r="C130" s="10">
        <v>5400589</v>
      </c>
      <c r="D130" s="10" t="s">
        <v>100</v>
      </c>
      <c r="E130" s="11">
        <v>10</v>
      </c>
      <c r="F130" s="39">
        <v>311154</v>
      </c>
      <c r="G130" s="39">
        <v>6025092</v>
      </c>
      <c r="H130" s="11" t="s">
        <v>108</v>
      </c>
      <c r="I130" s="11" t="s">
        <v>110</v>
      </c>
      <c r="K130" s="11" t="s">
        <v>104</v>
      </c>
      <c r="L130" s="10" t="s">
        <v>243</v>
      </c>
      <c r="M130" s="10" t="s">
        <v>244</v>
      </c>
      <c r="N130" s="84">
        <v>1.7</v>
      </c>
      <c r="O130" s="84">
        <v>21.5</v>
      </c>
      <c r="P130" s="82" t="s">
        <v>252</v>
      </c>
      <c r="Q130" s="86"/>
      <c r="R130" s="82" t="s">
        <v>252</v>
      </c>
      <c r="S130" s="82" t="s">
        <v>253</v>
      </c>
      <c r="T130" s="84">
        <v>100</v>
      </c>
      <c r="U130" s="84">
        <v>1</v>
      </c>
      <c r="V130" s="82">
        <v>0</v>
      </c>
      <c r="W130" s="84">
        <v>1</v>
      </c>
      <c r="X130" s="82" t="s">
        <v>252</v>
      </c>
      <c r="Y130" s="84">
        <v>0</v>
      </c>
      <c r="Z130" s="84">
        <v>4.5</v>
      </c>
      <c r="AA130" s="82">
        <v>0</v>
      </c>
      <c r="AB130" s="10" t="s">
        <v>253</v>
      </c>
      <c r="AC130" s="10" t="s">
        <v>252</v>
      </c>
      <c r="AD130" s="82" t="s">
        <v>254</v>
      </c>
      <c r="AE130" s="82" t="s">
        <v>256</v>
      </c>
      <c r="AF130" s="20">
        <f t="shared" si="17"/>
        <v>2.6470588235294117</v>
      </c>
      <c r="AG130" s="13">
        <f t="shared" si="10"/>
        <v>3</v>
      </c>
      <c r="AH130" s="7">
        <f t="shared" si="11"/>
        <v>10</v>
      </c>
      <c r="AI130" s="7">
        <f t="shared" si="12"/>
        <v>0</v>
      </c>
      <c r="AJ130" s="7">
        <f t="shared" si="13"/>
        <v>0</v>
      </c>
      <c r="AK130" s="7">
        <f t="shared" si="14"/>
        <v>6</v>
      </c>
      <c r="AL130" s="12">
        <f t="shared" si="16"/>
        <v>19</v>
      </c>
      <c r="AM130" s="14" t="str">
        <f t="shared" si="15"/>
        <v>Potential</v>
      </c>
      <c r="AN130" s="82"/>
      <c r="AO130" s="84"/>
      <c r="AP130" s="10" t="s">
        <v>454</v>
      </c>
    </row>
    <row r="131" spans="1:42" ht="16">
      <c r="A131" s="59">
        <v>45198</v>
      </c>
      <c r="C131" s="10">
        <v>5400423</v>
      </c>
      <c r="D131" s="10" t="s">
        <v>100</v>
      </c>
      <c r="E131" s="11">
        <v>10</v>
      </c>
      <c r="F131" s="39">
        <v>327463</v>
      </c>
      <c r="G131" s="39">
        <v>6011366</v>
      </c>
      <c r="H131" s="11" t="s">
        <v>115</v>
      </c>
      <c r="I131" s="11" t="s">
        <v>116</v>
      </c>
      <c r="K131" s="11" t="s">
        <v>104</v>
      </c>
      <c r="L131" s="10" t="s">
        <v>243</v>
      </c>
      <c r="M131" s="10" t="s">
        <v>244</v>
      </c>
      <c r="N131" s="84">
        <v>3.6</v>
      </c>
      <c r="O131" s="84">
        <v>21.5</v>
      </c>
      <c r="P131" s="82" t="s">
        <v>252</v>
      </c>
      <c r="Q131" s="86"/>
      <c r="R131" s="82" t="s">
        <v>252</v>
      </c>
      <c r="S131" s="82" t="s">
        <v>253</v>
      </c>
      <c r="T131" s="84">
        <v>60</v>
      </c>
      <c r="U131" s="84">
        <v>1</v>
      </c>
      <c r="V131" s="82">
        <v>0</v>
      </c>
      <c r="W131" s="84">
        <v>0.1</v>
      </c>
      <c r="X131" s="82" t="s">
        <v>252</v>
      </c>
      <c r="Y131" s="84">
        <v>1.5</v>
      </c>
      <c r="Z131" s="84">
        <v>5</v>
      </c>
      <c r="AA131" s="82">
        <v>1.5</v>
      </c>
      <c r="AB131" s="10" t="s">
        <v>252</v>
      </c>
      <c r="AC131" s="10" t="s">
        <v>252</v>
      </c>
      <c r="AD131" s="82" t="s">
        <v>254</v>
      </c>
      <c r="AE131" s="82" t="s">
        <v>255</v>
      </c>
      <c r="AF131" s="20">
        <f t="shared" si="17"/>
        <v>1.3888888888888888</v>
      </c>
      <c r="AG131" s="13">
        <f t="shared" si="10"/>
        <v>3</v>
      </c>
      <c r="AH131" s="7">
        <f t="shared" si="11"/>
        <v>10</v>
      </c>
      <c r="AI131" s="7">
        <f t="shared" si="12"/>
        <v>0</v>
      </c>
      <c r="AJ131" s="7">
        <f t="shared" si="13"/>
        <v>5</v>
      </c>
      <c r="AK131" s="7">
        <f t="shared" si="14"/>
        <v>6</v>
      </c>
      <c r="AL131" s="12">
        <f t="shared" si="16"/>
        <v>24</v>
      </c>
      <c r="AM131" s="14" t="str">
        <f t="shared" si="15"/>
        <v>Barrier</v>
      </c>
      <c r="AN131" s="82"/>
      <c r="AO131" s="84"/>
      <c r="AP131" s="10" t="s">
        <v>455</v>
      </c>
    </row>
    <row r="132" spans="1:42" ht="16">
      <c r="A132" s="59">
        <v>45198</v>
      </c>
      <c r="C132" s="10">
        <v>5400024</v>
      </c>
      <c r="D132" s="10" t="s">
        <v>100</v>
      </c>
      <c r="E132" s="11">
        <v>10</v>
      </c>
      <c r="F132" s="39">
        <v>345676</v>
      </c>
      <c r="G132" s="39">
        <v>6001245</v>
      </c>
      <c r="H132" s="11" t="s">
        <v>117</v>
      </c>
      <c r="I132" s="11" t="s">
        <v>106</v>
      </c>
      <c r="K132" s="11" t="s">
        <v>104</v>
      </c>
      <c r="L132" s="10" t="s">
        <v>243</v>
      </c>
      <c r="M132" s="10" t="s">
        <v>244</v>
      </c>
      <c r="N132" s="84">
        <v>12</v>
      </c>
      <c r="O132" s="84">
        <v>35</v>
      </c>
      <c r="P132" s="82" t="s">
        <v>252</v>
      </c>
      <c r="Q132" s="86"/>
      <c r="R132" s="82" t="s">
        <v>252</v>
      </c>
      <c r="S132" s="82" t="s">
        <v>253</v>
      </c>
      <c r="T132" s="84">
        <v>100</v>
      </c>
      <c r="U132" s="84">
        <v>3</v>
      </c>
      <c r="V132" s="82">
        <v>0</v>
      </c>
      <c r="W132" s="84">
        <v>0.7</v>
      </c>
      <c r="X132" s="82" t="s">
        <v>252</v>
      </c>
      <c r="Y132" s="84">
        <v>0.5</v>
      </c>
      <c r="Z132" s="84">
        <v>17</v>
      </c>
      <c r="AA132" s="82">
        <v>0</v>
      </c>
      <c r="AB132" s="10" t="s">
        <v>253</v>
      </c>
      <c r="AC132" s="10" t="s">
        <v>252</v>
      </c>
      <c r="AD132" s="82" t="s">
        <v>254</v>
      </c>
      <c r="AE132" s="82" t="s">
        <v>255</v>
      </c>
      <c r="AF132" s="20">
        <f t="shared" si="17"/>
        <v>1.4166666666666667</v>
      </c>
      <c r="AG132" s="13">
        <f t="shared" ref="AG132:AG195" si="18">IF(O132&lt;15,0,IF(AND(O132&gt;=15,O132&lt;30),3,IF(O132&gt;=30,6,0)))</f>
        <v>6</v>
      </c>
      <c r="AH132" s="7">
        <f t="shared" ref="AH132:AH195" si="19">IF(P132 = "No", 10, IF(ISBLANK(N132), 0, IF(ISBLANK(Q132), 0, IF(OR(Q132 / N132 &lt;= 0.2, Q132 &lt; 0.3), 5, IF(OR(Q132 / N132 &gt;= 0.2, Q132 &gt;= 0.3), 0)))))</f>
        <v>10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6</v>
      </c>
      <c r="AL132" s="12">
        <f t="shared" si="16"/>
        <v>22</v>
      </c>
      <c r="AM132" s="14" t="str">
        <f t="shared" ref="AM132:AM195" si="23">IF(ISBLANK(L132), "", IF(L132 = "Open Bottom Structure", "Passable", IF(L132 = "Other", "Unknown", IF(AL132 &lt; 15, "Passable", IF(AND(AL132 &gt;= 15,AL132 &lt;= 19), "Potential", IF(AL132 &gt; 19, "Barrier", ""))))))</f>
        <v>Barrier</v>
      </c>
      <c r="AN132" s="82"/>
      <c r="AO132" s="84"/>
      <c r="AP132" s="10" t="s">
        <v>456</v>
      </c>
    </row>
    <row r="133" spans="1:42" ht="16">
      <c r="A133" s="59">
        <v>45198</v>
      </c>
      <c r="C133" s="10">
        <v>15600273</v>
      </c>
      <c r="D133" s="10" t="s">
        <v>100</v>
      </c>
      <c r="E133" s="11">
        <v>10</v>
      </c>
      <c r="F133" s="39">
        <v>398480</v>
      </c>
      <c r="G133" s="39">
        <v>5976390</v>
      </c>
      <c r="H133" s="11" t="s">
        <v>123</v>
      </c>
      <c r="I133" s="11" t="s">
        <v>124</v>
      </c>
      <c r="K133" s="11" t="s">
        <v>104</v>
      </c>
      <c r="L133" s="10" t="s">
        <v>243</v>
      </c>
      <c r="M133" s="10" t="s">
        <v>244</v>
      </c>
      <c r="N133" s="84">
        <v>1.5</v>
      </c>
      <c r="O133" s="84">
        <v>18</v>
      </c>
      <c r="P133" s="82" t="s">
        <v>252</v>
      </c>
      <c r="Q133" s="86"/>
      <c r="R133" s="82" t="s">
        <v>252</v>
      </c>
      <c r="S133" s="82" t="s">
        <v>253</v>
      </c>
      <c r="T133" s="84">
        <v>100</v>
      </c>
      <c r="U133" s="84">
        <v>0.5</v>
      </c>
      <c r="V133" s="82">
        <v>0</v>
      </c>
      <c r="W133" s="84">
        <v>0.3</v>
      </c>
      <c r="X133" s="82" t="s">
        <v>252</v>
      </c>
      <c r="Y133" s="84">
        <v>0.5</v>
      </c>
      <c r="Z133" s="84">
        <v>3</v>
      </c>
      <c r="AA133" s="82">
        <v>0</v>
      </c>
      <c r="AB133" s="10" t="s">
        <v>252</v>
      </c>
      <c r="AC133" s="10" t="s">
        <v>252</v>
      </c>
      <c r="AD133" s="82" t="s">
        <v>254</v>
      </c>
      <c r="AE133" s="82" t="s">
        <v>256</v>
      </c>
      <c r="AF133" s="20">
        <f t="shared" si="17"/>
        <v>2</v>
      </c>
      <c r="AG133" s="13">
        <f t="shared" si="18"/>
        <v>3</v>
      </c>
      <c r="AH133" s="7">
        <f t="shared" si="19"/>
        <v>10</v>
      </c>
      <c r="AI133" s="7">
        <f t="shared" si="20"/>
        <v>0</v>
      </c>
      <c r="AJ133" s="7">
        <f t="shared" si="21"/>
        <v>0</v>
      </c>
      <c r="AK133" s="7">
        <f t="shared" si="22"/>
        <v>6</v>
      </c>
      <c r="AL133" s="12">
        <f t="shared" si="16"/>
        <v>19</v>
      </c>
      <c r="AM133" s="14" t="str">
        <f t="shared" si="23"/>
        <v>Potential</v>
      </c>
      <c r="AN133" s="82"/>
      <c r="AO133" s="84"/>
      <c r="AP133" s="10" t="s">
        <v>457</v>
      </c>
    </row>
    <row r="134" spans="1:42" ht="16">
      <c r="A134" s="59">
        <v>45199</v>
      </c>
      <c r="C134" s="10">
        <v>24727338</v>
      </c>
      <c r="D134" s="10" t="s">
        <v>100</v>
      </c>
      <c r="E134" s="11">
        <v>10</v>
      </c>
      <c r="F134" s="39">
        <v>385711</v>
      </c>
      <c r="G134" s="39">
        <v>5995594</v>
      </c>
      <c r="H134" s="11" t="s">
        <v>131</v>
      </c>
      <c r="I134" s="11" t="s">
        <v>130</v>
      </c>
      <c r="K134" s="11" t="s">
        <v>104</v>
      </c>
      <c r="L134" s="10" t="s">
        <v>243</v>
      </c>
      <c r="M134" s="10" t="s">
        <v>248</v>
      </c>
      <c r="N134" s="84">
        <v>4.5</v>
      </c>
      <c r="O134" s="84">
        <v>32</v>
      </c>
      <c r="P134" s="82" t="s">
        <v>252</v>
      </c>
      <c r="Q134" s="86"/>
      <c r="R134" s="82" t="s">
        <v>252</v>
      </c>
      <c r="S134" s="82" t="s">
        <v>253</v>
      </c>
      <c r="T134" s="84">
        <v>100</v>
      </c>
      <c r="U134" s="84">
        <v>1</v>
      </c>
      <c r="V134" s="82">
        <v>0</v>
      </c>
      <c r="W134" s="84">
        <v>1.3</v>
      </c>
      <c r="X134" s="82" t="s">
        <v>252</v>
      </c>
      <c r="Y134" s="84">
        <v>0</v>
      </c>
      <c r="Z134" s="84">
        <v>6</v>
      </c>
      <c r="AA134" s="82">
        <v>0</v>
      </c>
      <c r="AB134" s="10" t="s">
        <v>253</v>
      </c>
      <c r="AC134" s="10" t="s">
        <v>252</v>
      </c>
      <c r="AD134" s="82" t="s">
        <v>254</v>
      </c>
      <c r="AE134" s="82" t="s">
        <v>255</v>
      </c>
      <c r="AF134" s="20">
        <f t="shared" si="17"/>
        <v>1.3333333333333333</v>
      </c>
      <c r="AG134" s="13">
        <f t="shared" si="18"/>
        <v>6</v>
      </c>
      <c r="AH134" s="7">
        <f t="shared" si="19"/>
        <v>10</v>
      </c>
      <c r="AI134" s="7">
        <f t="shared" si="20"/>
        <v>0</v>
      </c>
      <c r="AJ134" s="7">
        <f t="shared" si="21"/>
        <v>0</v>
      </c>
      <c r="AK134" s="7">
        <f t="shared" si="22"/>
        <v>6</v>
      </c>
      <c r="AL134" s="12">
        <f t="shared" si="16"/>
        <v>22</v>
      </c>
      <c r="AM134" s="14" t="str">
        <f t="shared" si="23"/>
        <v>Barrier</v>
      </c>
      <c r="AN134" s="82"/>
      <c r="AO134" s="84"/>
      <c r="AP134" s="10" t="s">
        <v>458</v>
      </c>
    </row>
    <row r="135" spans="1:42" ht="16">
      <c r="A135" s="59">
        <v>45178</v>
      </c>
      <c r="C135" s="10">
        <v>15600468</v>
      </c>
      <c r="D135" s="10" t="s">
        <v>99</v>
      </c>
      <c r="E135" s="11">
        <v>10</v>
      </c>
      <c r="F135" s="39">
        <v>429073</v>
      </c>
      <c r="G135" s="39">
        <v>5991955</v>
      </c>
      <c r="H135" s="11" t="s">
        <v>155</v>
      </c>
      <c r="I135" s="11" t="s">
        <v>160</v>
      </c>
      <c r="K135" s="11" t="s">
        <v>104</v>
      </c>
      <c r="L135" s="10" t="s">
        <v>243</v>
      </c>
      <c r="M135" s="10" t="s">
        <v>244</v>
      </c>
      <c r="N135" s="84">
        <v>2.2000000000000002</v>
      </c>
      <c r="O135" s="84">
        <v>14</v>
      </c>
      <c r="P135" s="82" t="s">
        <v>252</v>
      </c>
      <c r="Q135" s="86"/>
      <c r="R135" s="82" t="s">
        <v>252</v>
      </c>
      <c r="S135" s="82" t="s">
        <v>253</v>
      </c>
      <c r="T135" s="84">
        <v>100</v>
      </c>
      <c r="U135" s="84">
        <v>1.5</v>
      </c>
      <c r="V135" s="82">
        <v>0</v>
      </c>
      <c r="W135" s="84">
        <v>0.5</v>
      </c>
      <c r="X135" s="82" t="s">
        <v>252</v>
      </c>
      <c r="Y135" s="84">
        <v>0.5</v>
      </c>
      <c r="Z135" s="84">
        <v>2.7</v>
      </c>
      <c r="AA135" s="82">
        <v>0</v>
      </c>
      <c r="AB135" s="10" t="s">
        <v>252</v>
      </c>
      <c r="AC135" s="10" t="s">
        <v>252</v>
      </c>
      <c r="AD135" s="82" t="s">
        <v>254</v>
      </c>
      <c r="AE135" s="82" t="s">
        <v>256</v>
      </c>
      <c r="AF135" s="20">
        <f t="shared" si="17"/>
        <v>1.2272727272727273</v>
      </c>
      <c r="AG135" s="13">
        <f t="shared" si="18"/>
        <v>0</v>
      </c>
      <c r="AH135" s="7">
        <f t="shared" si="19"/>
        <v>10</v>
      </c>
      <c r="AI135" s="7">
        <f t="shared" si="20"/>
        <v>0</v>
      </c>
      <c r="AJ135" s="7">
        <f t="shared" si="21"/>
        <v>0</v>
      </c>
      <c r="AK135" s="7">
        <f t="shared" si="22"/>
        <v>3</v>
      </c>
      <c r="AL135" s="12">
        <f t="shared" ref="AL135:AL198" si="24">AG135 + AH135 + AI135 + AJ135 + AK135</f>
        <v>13</v>
      </c>
      <c r="AM135" s="14" t="str">
        <f t="shared" si="23"/>
        <v>Passable</v>
      </c>
      <c r="AN135" s="82"/>
      <c r="AO135" s="84"/>
      <c r="AP135" s="10" t="s">
        <v>459</v>
      </c>
    </row>
    <row r="136" spans="1:42" ht="16">
      <c r="A136" s="59">
        <v>45178</v>
      </c>
      <c r="C136" s="10">
        <v>15600468</v>
      </c>
      <c r="D136" s="10" t="s">
        <v>99</v>
      </c>
      <c r="E136" s="11">
        <v>10</v>
      </c>
      <c r="F136" s="39">
        <v>429073</v>
      </c>
      <c r="G136" s="39">
        <v>5991955</v>
      </c>
      <c r="H136" s="11" t="s">
        <v>155</v>
      </c>
      <c r="I136" s="11" t="s">
        <v>160</v>
      </c>
      <c r="K136" s="11" t="s">
        <v>104</v>
      </c>
      <c r="L136" s="10" t="s">
        <v>243</v>
      </c>
      <c r="M136" s="10" t="s">
        <v>244</v>
      </c>
      <c r="N136" s="84">
        <v>2.2000000000000002</v>
      </c>
      <c r="O136" s="84">
        <v>14</v>
      </c>
      <c r="P136" s="82" t="s">
        <v>252</v>
      </c>
      <c r="Q136" s="86"/>
      <c r="R136" s="82" t="s">
        <v>252</v>
      </c>
      <c r="S136" s="82" t="s">
        <v>253</v>
      </c>
      <c r="T136" s="84">
        <v>100</v>
      </c>
      <c r="U136" s="84">
        <v>1.5</v>
      </c>
      <c r="V136" s="82">
        <v>0</v>
      </c>
      <c r="W136" s="84">
        <v>0.5</v>
      </c>
      <c r="X136" s="82" t="s">
        <v>252</v>
      </c>
      <c r="Y136" s="84">
        <v>0.5</v>
      </c>
      <c r="Z136" s="84">
        <v>2.7</v>
      </c>
      <c r="AA136" s="82">
        <v>0</v>
      </c>
      <c r="AB136" s="10" t="s">
        <v>252</v>
      </c>
      <c r="AC136" s="10" t="s">
        <v>252</v>
      </c>
      <c r="AD136" s="82" t="s">
        <v>254</v>
      </c>
      <c r="AE136" s="82" t="s">
        <v>256</v>
      </c>
      <c r="AF136" s="20">
        <f t="shared" si="17"/>
        <v>1.2272727272727273</v>
      </c>
      <c r="AG136" s="13">
        <f t="shared" si="18"/>
        <v>0</v>
      </c>
      <c r="AH136" s="7">
        <f t="shared" si="19"/>
        <v>10</v>
      </c>
      <c r="AI136" s="7">
        <f t="shared" si="20"/>
        <v>0</v>
      </c>
      <c r="AJ136" s="7">
        <f t="shared" si="21"/>
        <v>0</v>
      </c>
      <c r="AK136" s="7">
        <f t="shared" si="22"/>
        <v>3</v>
      </c>
      <c r="AL136" s="12">
        <f t="shared" si="24"/>
        <v>13</v>
      </c>
      <c r="AM136" s="14" t="str">
        <f t="shared" si="23"/>
        <v>Passable</v>
      </c>
      <c r="AN136" s="82"/>
      <c r="AO136" s="84"/>
      <c r="AP136" s="10" t="s">
        <v>460</v>
      </c>
    </row>
    <row r="137" spans="1:42" ht="16">
      <c r="A137" s="59">
        <v>45178</v>
      </c>
      <c r="C137" s="10">
        <v>15600111</v>
      </c>
      <c r="D137" s="10" t="s">
        <v>99</v>
      </c>
      <c r="E137" s="11">
        <v>10</v>
      </c>
      <c r="F137" s="39">
        <v>429944</v>
      </c>
      <c r="G137" s="39">
        <v>5992722</v>
      </c>
      <c r="H137" s="11" t="s">
        <v>155</v>
      </c>
      <c r="I137" s="11" t="s">
        <v>161</v>
      </c>
      <c r="K137" s="11" t="s">
        <v>119</v>
      </c>
      <c r="L137" s="10" t="s">
        <v>243</v>
      </c>
      <c r="M137" s="10" t="s">
        <v>251</v>
      </c>
      <c r="N137" s="84">
        <v>3.1</v>
      </c>
      <c r="O137" s="84">
        <v>16</v>
      </c>
      <c r="P137" s="82" t="s">
        <v>252</v>
      </c>
      <c r="Q137" s="86"/>
      <c r="R137" s="82" t="s">
        <v>252</v>
      </c>
      <c r="S137" s="82" t="s">
        <v>253</v>
      </c>
      <c r="T137" s="84">
        <v>100</v>
      </c>
      <c r="U137" s="84">
        <v>0.5</v>
      </c>
      <c r="V137" s="82">
        <v>0</v>
      </c>
      <c r="W137" s="84">
        <v>0.1</v>
      </c>
      <c r="X137" s="82" t="s">
        <v>252</v>
      </c>
      <c r="Y137" s="84">
        <v>0</v>
      </c>
      <c r="Z137" s="84">
        <v>2.7</v>
      </c>
      <c r="AA137" s="82">
        <v>0.5</v>
      </c>
      <c r="AB137" s="10" t="s">
        <v>252</v>
      </c>
      <c r="AC137" s="10" t="s">
        <v>252</v>
      </c>
      <c r="AD137" s="82" t="s">
        <v>254</v>
      </c>
      <c r="AE137" s="82" t="s">
        <v>255</v>
      </c>
      <c r="AF137" s="20">
        <f t="shared" ref="AF137:AF200" si="25">IF(ISBLANK(Z137), 0, IF(ISBLANK(N137) &lt; 0, 0,Z137 / N137))</f>
        <v>0.87096774193548387</v>
      </c>
      <c r="AG137" s="13">
        <f t="shared" si="18"/>
        <v>3</v>
      </c>
      <c r="AH137" s="7">
        <f t="shared" si="19"/>
        <v>10</v>
      </c>
      <c r="AI137" s="7">
        <f t="shared" si="20"/>
        <v>0</v>
      </c>
      <c r="AJ137" s="7">
        <f t="shared" si="21"/>
        <v>0</v>
      </c>
      <c r="AK137" s="7">
        <f t="shared" si="22"/>
        <v>0</v>
      </c>
      <c r="AL137" s="12">
        <f t="shared" si="24"/>
        <v>13</v>
      </c>
      <c r="AM137" s="14" t="str">
        <f t="shared" si="23"/>
        <v>Passable</v>
      </c>
      <c r="AN137" s="82"/>
      <c r="AO137" s="84"/>
      <c r="AP137" s="10" t="s">
        <v>461</v>
      </c>
    </row>
    <row r="138" spans="1:42" ht="16">
      <c r="A138" s="59">
        <v>45178</v>
      </c>
      <c r="C138" s="10">
        <v>15600106</v>
      </c>
      <c r="D138" s="10" t="s">
        <v>99</v>
      </c>
      <c r="E138" s="11">
        <v>10</v>
      </c>
      <c r="F138" s="39">
        <v>431487</v>
      </c>
      <c r="G138" s="39">
        <v>5990586</v>
      </c>
      <c r="H138" s="11" t="s">
        <v>162</v>
      </c>
      <c r="I138" s="11" t="s">
        <v>160</v>
      </c>
      <c r="K138" s="11" t="s">
        <v>104</v>
      </c>
      <c r="L138" s="10" t="s">
        <v>243</v>
      </c>
      <c r="M138" s="10" t="s">
        <v>244</v>
      </c>
      <c r="N138" s="84">
        <v>2.5</v>
      </c>
      <c r="O138" s="84">
        <v>18</v>
      </c>
      <c r="P138" s="82" t="s">
        <v>252</v>
      </c>
      <c r="Q138" s="86"/>
      <c r="R138" s="82" t="s">
        <v>252</v>
      </c>
      <c r="S138" s="82" t="s">
        <v>253</v>
      </c>
      <c r="T138" s="84">
        <v>100</v>
      </c>
      <c r="U138" s="84">
        <v>3</v>
      </c>
      <c r="V138" s="82">
        <v>0</v>
      </c>
      <c r="W138" s="84">
        <v>1.5</v>
      </c>
      <c r="X138" s="82" t="s">
        <v>253</v>
      </c>
      <c r="Y138" s="84">
        <v>1</v>
      </c>
      <c r="Z138" s="84">
        <v>2.5</v>
      </c>
      <c r="AA138" s="82">
        <v>1</v>
      </c>
      <c r="AB138" s="10" t="s">
        <v>253</v>
      </c>
      <c r="AC138" s="10" t="s">
        <v>252</v>
      </c>
      <c r="AD138" s="82" t="s">
        <v>254</v>
      </c>
      <c r="AE138" s="82" t="s">
        <v>257</v>
      </c>
      <c r="AF138" s="20">
        <f t="shared" si="25"/>
        <v>1</v>
      </c>
      <c r="AG138" s="13">
        <f t="shared" si="18"/>
        <v>3</v>
      </c>
      <c r="AH138" s="7">
        <f t="shared" si="19"/>
        <v>10</v>
      </c>
      <c r="AI138" s="7">
        <f t="shared" si="20"/>
        <v>0</v>
      </c>
      <c r="AJ138" s="7">
        <f t="shared" si="21"/>
        <v>5</v>
      </c>
      <c r="AK138" s="7">
        <f t="shared" si="22"/>
        <v>3</v>
      </c>
      <c r="AL138" s="12">
        <f t="shared" si="24"/>
        <v>21</v>
      </c>
      <c r="AM138" s="14" t="str">
        <f t="shared" si="23"/>
        <v>Barrier</v>
      </c>
      <c r="AN138" s="82"/>
      <c r="AO138" s="84"/>
      <c r="AP138" s="10" t="s">
        <v>462</v>
      </c>
    </row>
    <row r="139" spans="1:42" ht="32">
      <c r="A139" s="59">
        <v>45179</v>
      </c>
      <c r="C139" s="10">
        <v>15600488</v>
      </c>
      <c r="D139" s="10" t="s">
        <v>99</v>
      </c>
      <c r="E139" s="11">
        <v>10</v>
      </c>
      <c r="F139" s="39">
        <v>427033</v>
      </c>
      <c r="G139" s="39">
        <v>5994538</v>
      </c>
      <c r="H139" s="11" t="s">
        <v>173</v>
      </c>
      <c r="I139" s="11" t="s">
        <v>174</v>
      </c>
      <c r="K139" s="11" t="s">
        <v>104</v>
      </c>
      <c r="L139" s="10" t="s">
        <v>243</v>
      </c>
      <c r="M139" s="10" t="s">
        <v>244</v>
      </c>
      <c r="N139" s="84">
        <v>1.3</v>
      </c>
      <c r="O139" s="84">
        <v>20</v>
      </c>
      <c r="P139" s="82" t="s">
        <v>252</v>
      </c>
      <c r="Q139" s="86"/>
      <c r="R139" s="82" t="s">
        <v>252</v>
      </c>
      <c r="S139" s="82" t="s">
        <v>253</v>
      </c>
      <c r="T139" s="84">
        <v>100</v>
      </c>
      <c r="U139" s="84">
        <v>2.5</v>
      </c>
      <c r="V139" s="82">
        <v>0</v>
      </c>
      <c r="W139" s="84">
        <v>0.8</v>
      </c>
      <c r="X139" s="82" t="s">
        <v>252</v>
      </c>
      <c r="Y139" s="84">
        <v>1</v>
      </c>
      <c r="Z139" s="84">
        <v>1.3</v>
      </c>
      <c r="AA139" s="82">
        <v>1</v>
      </c>
      <c r="AB139" s="10" t="s">
        <v>253</v>
      </c>
      <c r="AC139" s="10" t="s">
        <v>252</v>
      </c>
      <c r="AD139" s="82" t="s">
        <v>254</v>
      </c>
      <c r="AE139" s="82" t="s">
        <v>256</v>
      </c>
      <c r="AF139" s="20">
        <f t="shared" si="25"/>
        <v>1</v>
      </c>
      <c r="AG139" s="13">
        <f t="shared" si="18"/>
        <v>3</v>
      </c>
      <c r="AH139" s="7">
        <f t="shared" si="19"/>
        <v>10</v>
      </c>
      <c r="AI139" s="7">
        <f t="shared" si="20"/>
        <v>0</v>
      </c>
      <c r="AJ139" s="7">
        <f t="shared" si="21"/>
        <v>5</v>
      </c>
      <c r="AK139" s="7">
        <f t="shared" si="22"/>
        <v>3</v>
      </c>
      <c r="AL139" s="12">
        <f t="shared" si="24"/>
        <v>21</v>
      </c>
      <c r="AM139" s="14" t="str">
        <f t="shared" si="23"/>
        <v>Barrier</v>
      </c>
      <c r="AN139" s="82"/>
      <c r="AO139" s="84"/>
      <c r="AP139" s="10" t="s">
        <v>463</v>
      </c>
    </row>
    <row r="140" spans="1:42" ht="16">
      <c r="A140" s="59">
        <v>45179</v>
      </c>
      <c r="C140" s="10">
        <v>15600120</v>
      </c>
      <c r="D140" s="10" t="s">
        <v>99</v>
      </c>
      <c r="E140" s="11">
        <v>10</v>
      </c>
      <c r="F140" s="39">
        <v>426006</v>
      </c>
      <c r="G140" s="39">
        <v>5998858</v>
      </c>
      <c r="H140" s="11" t="s">
        <v>171</v>
      </c>
      <c r="I140" s="11" t="s">
        <v>176</v>
      </c>
      <c r="K140" s="11" t="s">
        <v>119</v>
      </c>
      <c r="L140" s="10" t="s">
        <v>243</v>
      </c>
      <c r="M140" s="10" t="s">
        <v>244</v>
      </c>
      <c r="N140" s="84">
        <v>2.35</v>
      </c>
      <c r="O140" s="84">
        <v>10</v>
      </c>
      <c r="P140" s="82" t="s">
        <v>252</v>
      </c>
      <c r="Q140" s="86"/>
      <c r="R140" s="82" t="s">
        <v>252</v>
      </c>
      <c r="S140" s="82" t="s">
        <v>253</v>
      </c>
      <c r="T140" s="84">
        <v>100</v>
      </c>
      <c r="U140" s="84">
        <v>0.3</v>
      </c>
      <c r="V140" s="82">
        <v>0</v>
      </c>
      <c r="W140" s="84">
        <v>0.4</v>
      </c>
      <c r="X140" s="82" t="s">
        <v>252</v>
      </c>
      <c r="Y140" s="84">
        <v>1</v>
      </c>
      <c r="Z140" s="84">
        <v>2.5</v>
      </c>
      <c r="AA140" s="82">
        <v>4</v>
      </c>
      <c r="AB140" s="10" t="s">
        <v>253</v>
      </c>
      <c r="AC140" s="10" t="s">
        <v>252</v>
      </c>
      <c r="AD140" s="82" t="s">
        <v>254</v>
      </c>
      <c r="AE140" s="82" t="s">
        <v>256</v>
      </c>
      <c r="AF140" s="20">
        <f t="shared" si="25"/>
        <v>1.0638297872340425</v>
      </c>
      <c r="AG140" s="13">
        <f t="shared" si="18"/>
        <v>0</v>
      </c>
      <c r="AH140" s="7">
        <f t="shared" si="19"/>
        <v>10</v>
      </c>
      <c r="AI140" s="7">
        <f t="shared" si="20"/>
        <v>0</v>
      </c>
      <c r="AJ140" s="7">
        <f t="shared" si="21"/>
        <v>5</v>
      </c>
      <c r="AK140" s="7">
        <f t="shared" si="22"/>
        <v>3</v>
      </c>
      <c r="AL140" s="12">
        <f t="shared" si="24"/>
        <v>18</v>
      </c>
      <c r="AM140" s="14" t="str">
        <f t="shared" si="23"/>
        <v>Potential</v>
      </c>
      <c r="AN140" s="82"/>
      <c r="AO140" s="84"/>
      <c r="AP140" s="10" t="s">
        <v>464</v>
      </c>
    </row>
    <row r="141" spans="1:42" ht="32">
      <c r="A141" s="59">
        <v>45180</v>
      </c>
      <c r="C141" s="10">
        <v>15600158</v>
      </c>
      <c r="D141" s="10" t="s">
        <v>99</v>
      </c>
      <c r="E141" s="11">
        <v>10</v>
      </c>
      <c r="F141" s="39">
        <v>434160</v>
      </c>
      <c r="G141" s="39">
        <v>5985531</v>
      </c>
      <c r="H141" s="11" t="s">
        <v>137</v>
      </c>
      <c r="I141" s="11" t="s">
        <v>194</v>
      </c>
      <c r="K141" s="11" t="s">
        <v>157</v>
      </c>
      <c r="L141" s="10" t="s">
        <v>243</v>
      </c>
      <c r="M141" s="10" t="s">
        <v>244</v>
      </c>
      <c r="N141" s="84">
        <v>0.8</v>
      </c>
      <c r="O141" s="84">
        <v>16</v>
      </c>
      <c r="P141" s="82" t="s">
        <v>252</v>
      </c>
      <c r="Q141" s="86"/>
      <c r="R141" s="82" t="s">
        <v>252</v>
      </c>
      <c r="S141" s="82" t="s">
        <v>253</v>
      </c>
      <c r="T141" s="84">
        <v>100</v>
      </c>
      <c r="U141" s="84">
        <v>2</v>
      </c>
      <c r="V141" s="82">
        <v>0</v>
      </c>
      <c r="W141" s="84">
        <v>0</v>
      </c>
      <c r="X141" s="82" t="s">
        <v>252</v>
      </c>
      <c r="Y141" s="84">
        <v>0</v>
      </c>
      <c r="Z141" s="84">
        <v>1.5</v>
      </c>
      <c r="AA141" s="82">
        <v>1</v>
      </c>
      <c r="AB141" s="10" t="s">
        <v>252</v>
      </c>
      <c r="AC141" s="10" t="s">
        <v>252</v>
      </c>
      <c r="AD141" s="82" t="s">
        <v>254</v>
      </c>
      <c r="AE141" s="82" t="s">
        <v>256</v>
      </c>
      <c r="AF141" s="20">
        <f t="shared" si="25"/>
        <v>1.875</v>
      </c>
      <c r="AG141" s="13">
        <f t="shared" si="18"/>
        <v>3</v>
      </c>
      <c r="AH141" s="7">
        <f t="shared" si="19"/>
        <v>10</v>
      </c>
      <c r="AI141" s="7">
        <f t="shared" si="20"/>
        <v>0</v>
      </c>
      <c r="AJ141" s="7">
        <f t="shared" si="21"/>
        <v>0</v>
      </c>
      <c r="AK141" s="7">
        <f t="shared" si="22"/>
        <v>6</v>
      </c>
      <c r="AL141" s="12">
        <f t="shared" si="24"/>
        <v>19</v>
      </c>
      <c r="AM141" s="14" t="str">
        <f t="shared" si="23"/>
        <v>Potential</v>
      </c>
      <c r="AN141" s="82"/>
      <c r="AO141" s="84"/>
      <c r="AP141" s="10" t="s">
        <v>465</v>
      </c>
    </row>
    <row r="142" spans="1:42" ht="32">
      <c r="A142" s="59">
        <v>45180</v>
      </c>
      <c r="C142" s="10">
        <v>15605366</v>
      </c>
      <c r="D142" s="10" t="s">
        <v>99</v>
      </c>
      <c r="E142" s="11">
        <v>10</v>
      </c>
      <c r="F142" s="39">
        <v>434208</v>
      </c>
      <c r="G142" s="39">
        <v>5985603</v>
      </c>
      <c r="H142" s="11" t="s">
        <v>137</v>
      </c>
      <c r="I142" s="11" t="s">
        <v>195</v>
      </c>
      <c r="K142" s="11" t="s">
        <v>196</v>
      </c>
      <c r="L142" s="10" t="s">
        <v>243</v>
      </c>
      <c r="M142" s="10" t="s">
        <v>244</v>
      </c>
      <c r="N142" s="84">
        <v>0.9</v>
      </c>
      <c r="O142" s="84">
        <v>18</v>
      </c>
      <c r="P142" s="82" t="s">
        <v>252</v>
      </c>
      <c r="Q142" s="86"/>
      <c r="R142" s="82" t="s">
        <v>252</v>
      </c>
      <c r="S142" s="82" t="s">
        <v>253</v>
      </c>
      <c r="T142" s="84">
        <v>100</v>
      </c>
      <c r="U142" s="84">
        <v>2</v>
      </c>
      <c r="V142" s="82">
        <v>0</v>
      </c>
      <c r="W142" s="84">
        <v>0.5</v>
      </c>
      <c r="X142" s="82" t="s">
        <v>252</v>
      </c>
      <c r="Y142" s="84">
        <v>0</v>
      </c>
      <c r="Z142" s="84">
        <v>1.3</v>
      </c>
      <c r="AA142" s="82">
        <v>0</v>
      </c>
      <c r="AB142" s="10" t="s">
        <v>252</v>
      </c>
      <c r="AC142" s="10" t="s">
        <v>252</v>
      </c>
      <c r="AD142" s="82" t="s">
        <v>254</v>
      </c>
      <c r="AE142" s="82" t="s">
        <v>257</v>
      </c>
      <c r="AF142" s="20">
        <f t="shared" si="25"/>
        <v>1.4444444444444444</v>
      </c>
      <c r="AG142" s="13">
        <f t="shared" si="18"/>
        <v>3</v>
      </c>
      <c r="AH142" s="7">
        <f t="shared" si="19"/>
        <v>10</v>
      </c>
      <c r="AI142" s="7">
        <f t="shared" si="20"/>
        <v>0</v>
      </c>
      <c r="AJ142" s="7">
        <f t="shared" si="21"/>
        <v>0</v>
      </c>
      <c r="AK142" s="7">
        <f t="shared" si="22"/>
        <v>6</v>
      </c>
      <c r="AL142" s="12">
        <f t="shared" si="24"/>
        <v>19</v>
      </c>
      <c r="AM142" s="14" t="str">
        <f t="shared" si="23"/>
        <v>Potential</v>
      </c>
      <c r="AN142" s="82"/>
      <c r="AO142" s="84"/>
      <c r="AP142" s="10" t="s">
        <v>466</v>
      </c>
    </row>
    <row r="143" spans="1:42" ht="16">
      <c r="A143" s="59">
        <v>45181</v>
      </c>
      <c r="C143" s="10">
        <v>15600112</v>
      </c>
      <c r="D143" s="10" t="s">
        <v>99</v>
      </c>
      <c r="E143" s="11">
        <v>10</v>
      </c>
      <c r="F143" s="39">
        <v>426644</v>
      </c>
      <c r="G143" s="39">
        <v>5985671</v>
      </c>
      <c r="H143" s="11" t="s">
        <v>202</v>
      </c>
      <c r="I143" s="11" t="s">
        <v>177</v>
      </c>
      <c r="K143" s="11" t="s">
        <v>104</v>
      </c>
      <c r="L143" s="10" t="s">
        <v>243</v>
      </c>
      <c r="M143" s="10" t="s">
        <v>244</v>
      </c>
      <c r="N143" s="84">
        <v>2.2000000000000002</v>
      </c>
      <c r="O143" s="84">
        <v>30</v>
      </c>
      <c r="P143" s="82" t="s">
        <v>252</v>
      </c>
      <c r="Q143" s="86"/>
      <c r="R143" s="82" t="s">
        <v>252</v>
      </c>
      <c r="S143" s="82" t="s">
        <v>253</v>
      </c>
      <c r="T143" s="84">
        <v>100</v>
      </c>
      <c r="U143" s="84">
        <v>4</v>
      </c>
      <c r="V143" s="82">
        <v>0</v>
      </c>
      <c r="W143" s="84">
        <v>0.5</v>
      </c>
      <c r="X143" s="82" t="s">
        <v>252</v>
      </c>
      <c r="Y143" s="84">
        <v>1</v>
      </c>
      <c r="Z143" s="84">
        <v>2.2000000000000002</v>
      </c>
      <c r="AA143" s="82">
        <v>1.5</v>
      </c>
      <c r="AB143" s="10" t="s">
        <v>252</v>
      </c>
      <c r="AC143" s="10" t="s">
        <v>252</v>
      </c>
      <c r="AD143" s="82" t="s">
        <v>254</v>
      </c>
      <c r="AE143" s="82" t="s">
        <v>256</v>
      </c>
      <c r="AF143" s="20">
        <f t="shared" si="25"/>
        <v>1</v>
      </c>
      <c r="AG143" s="13">
        <f t="shared" si="18"/>
        <v>6</v>
      </c>
      <c r="AH143" s="7">
        <f t="shared" si="19"/>
        <v>10</v>
      </c>
      <c r="AI143" s="7">
        <f t="shared" si="20"/>
        <v>0</v>
      </c>
      <c r="AJ143" s="7">
        <f t="shared" si="21"/>
        <v>5</v>
      </c>
      <c r="AK143" s="7">
        <f t="shared" si="22"/>
        <v>3</v>
      </c>
      <c r="AL143" s="12">
        <f t="shared" si="24"/>
        <v>24</v>
      </c>
      <c r="AM143" s="14" t="str">
        <f t="shared" si="23"/>
        <v>Barrier</v>
      </c>
      <c r="AN143" s="82"/>
      <c r="AO143" s="84"/>
      <c r="AP143" s="10" t="s">
        <v>467</v>
      </c>
    </row>
    <row r="144" spans="1:42" ht="16">
      <c r="A144" s="59">
        <v>45197</v>
      </c>
      <c r="C144" s="10">
        <v>5400448</v>
      </c>
      <c r="D144" s="10" t="s">
        <v>99</v>
      </c>
      <c r="E144" s="11">
        <v>10</v>
      </c>
      <c r="F144" s="39">
        <v>306137</v>
      </c>
      <c r="G144" s="39">
        <v>6031749</v>
      </c>
      <c r="H144" s="11" t="s">
        <v>205</v>
      </c>
      <c r="I144" s="11" t="s">
        <v>103</v>
      </c>
      <c r="K144" s="11" t="s">
        <v>104</v>
      </c>
      <c r="L144" s="10" t="s">
        <v>243</v>
      </c>
      <c r="M144" s="10" t="s">
        <v>244</v>
      </c>
      <c r="N144" s="84">
        <v>2.1</v>
      </c>
      <c r="O144" s="84">
        <v>44</v>
      </c>
      <c r="P144" s="82" t="s">
        <v>252</v>
      </c>
      <c r="Q144" s="86"/>
      <c r="R144" s="82" t="s">
        <v>252</v>
      </c>
      <c r="S144" s="82" t="s">
        <v>253</v>
      </c>
      <c r="T144" s="84">
        <v>25</v>
      </c>
      <c r="U144" s="84">
        <v>4</v>
      </c>
      <c r="V144" s="82">
        <v>0</v>
      </c>
      <c r="W144" s="84">
        <v>0.5</v>
      </c>
      <c r="X144" s="82" t="s">
        <v>252</v>
      </c>
      <c r="Y144" s="84">
        <v>3</v>
      </c>
      <c r="Z144" s="84">
        <v>2.4</v>
      </c>
      <c r="AA144" s="82">
        <v>3</v>
      </c>
      <c r="AB144" s="10" t="s">
        <v>252</v>
      </c>
      <c r="AC144" s="10" t="s">
        <v>253</v>
      </c>
      <c r="AD144" s="82" t="s">
        <v>254</v>
      </c>
      <c r="AE144" s="82" t="s">
        <v>255</v>
      </c>
      <c r="AF144" s="20">
        <f t="shared" si="25"/>
        <v>1.1428571428571428</v>
      </c>
      <c r="AG144" s="13">
        <f t="shared" si="18"/>
        <v>6</v>
      </c>
      <c r="AH144" s="7">
        <f t="shared" si="19"/>
        <v>10</v>
      </c>
      <c r="AI144" s="7">
        <f t="shared" si="20"/>
        <v>0</v>
      </c>
      <c r="AJ144" s="7">
        <f t="shared" si="21"/>
        <v>10</v>
      </c>
      <c r="AK144" s="7">
        <f t="shared" si="22"/>
        <v>3</v>
      </c>
      <c r="AL144" s="12">
        <f t="shared" si="24"/>
        <v>29</v>
      </c>
      <c r="AM144" s="14" t="str">
        <f t="shared" si="23"/>
        <v>Barrier</v>
      </c>
      <c r="AN144" s="82"/>
      <c r="AO144" s="84"/>
      <c r="AP144" s="10" t="s">
        <v>468</v>
      </c>
    </row>
    <row r="145" spans="1:42" ht="16">
      <c r="A145" s="59">
        <v>45197</v>
      </c>
      <c r="C145" s="10">
        <v>5400181</v>
      </c>
      <c r="D145" s="10" t="s">
        <v>99</v>
      </c>
      <c r="E145" s="11">
        <v>10</v>
      </c>
      <c r="F145" s="39">
        <v>321873</v>
      </c>
      <c r="G145" s="39">
        <v>6012125</v>
      </c>
      <c r="H145" s="11" t="s">
        <v>212</v>
      </c>
      <c r="I145" s="11" t="s">
        <v>213</v>
      </c>
      <c r="K145" s="11" t="s">
        <v>113</v>
      </c>
      <c r="L145" s="10" t="s">
        <v>243</v>
      </c>
      <c r="M145" s="10" t="s">
        <v>244</v>
      </c>
      <c r="N145" s="84">
        <v>0.8</v>
      </c>
      <c r="O145" s="84">
        <v>28</v>
      </c>
      <c r="P145" s="82" t="s">
        <v>252</v>
      </c>
      <c r="Q145" s="86"/>
      <c r="R145" s="82" t="s">
        <v>252</v>
      </c>
      <c r="S145" s="82" t="s">
        <v>253</v>
      </c>
      <c r="T145" s="84">
        <v>100</v>
      </c>
      <c r="U145" s="84">
        <v>3</v>
      </c>
      <c r="V145" s="82">
        <v>0</v>
      </c>
      <c r="W145" s="84">
        <v>0.5</v>
      </c>
      <c r="X145" s="82" t="s">
        <v>252</v>
      </c>
      <c r="Y145" s="84">
        <v>2</v>
      </c>
      <c r="Z145" s="84">
        <v>0.8</v>
      </c>
      <c r="AA145" s="82">
        <v>1</v>
      </c>
      <c r="AB145" s="10" t="s">
        <v>253</v>
      </c>
      <c r="AC145" s="10" t="s">
        <v>252</v>
      </c>
      <c r="AD145" s="82" t="s">
        <v>254</v>
      </c>
      <c r="AE145" s="82" t="s">
        <v>256</v>
      </c>
      <c r="AF145" s="20">
        <f t="shared" si="25"/>
        <v>1</v>
      </c>
      <c r="AG145" s="13">
        <f t="shared" si="18"/>
        <v>3</v>
      </c>
      <c r="AH145" s="7">
        <f t="shared" si="19"/>
        <v>10</v>
      </c>
      <c r="AI145" s="7">
        <f t="shared" si="20"/>
        <v>0</v>
      </c>
      <c r="AJ145" s="7">
        <f t="shared" si="21"/>
        <v>5</v>
      </c>
      <c r="AK145" s="7">
        <f t="shared" si="22"/>
        <v>3</v>
      </c>
      <c r="AL145" s="12">
        <f t="shared" si="24"/>
        <v>21</v>
      </c>
      <c r="AM145" s="14" t="str">
        <f t="shared" si="23"/>
        <v>Barrier</v>
      </c>
      <c r="AN145" s="82"/>
      <c r="AO145" s="84"/>
      <c r="AP145" s="10" t="s">
        <v>469</v>
      </c>
    </row>
    <row r="146" spans="1:42" ht="16">
      <c r="A146" s="59">
        <v>45198</v>
      </c>
      <c r="C146" s="10">
        <v>5403082</v>
      </c>
      <c r="D146" s="10" t="s">
        <v>99</v>
      </c>
      <c r="E146" s="11">
        <v>10</v>
      </c>
      <c r="F146" s="39">
        <v>327620</v>
      </c>
      <c r="G146" s="39">
        <v>6010443</v>
      </c>
      <c r="H146" s="11" t="s">
        <v>214</v>
      </c>
      <c r="I146" s="11" t="s">
        <v>106</v>
      </c>
      <c r="K146" s="11" t="s">
        <v>104</v>
      </c>
      <c r="L146" s="10" t="s">
        <v>243</v>
      </c>
      <c r="M146" s="10" t="s">
        <v>244</v>
      </c>
      <c r="N146" s="84">
        <v>1.7</v>
      </c>
      <c r="O146" s="84">
        <v>22</v>
      </c>
      <c r="P146" s="82" t="s">
        <v>252</v>
      </c>
      <c r="Q146" s="86"/>
      <c r="R146" s="82" t="s">
        <v>252</v>
      </c>
      <c r="S146" s="82" t="s">
        <v>253</v>
      </c>
      <c r="T146" s="84">
        <v>100</v>
      </c>
      <c r="U146" s="84">
        <v>1.8</v>
      </c>
      <c r="V146" s="82">
        <v>0</v>
      </c>
      <c r="W146" s="84">
        <v>0</v>
      </c>
      <c r="X146" s="82" t="s">
        <v>252</v>
      </c>
      <c r="Y146" s="84">
        <v>2.5</v>
      </c>
      <c r="Z146" s="84">
        <v>3.1</v>
      </c>
      <c r="AA146" s="82">
        <v>2</v>
      </c>
      <c r="AB146" s="10" t="s">
        <v>252</v>
      </c>
      <c r="AC146" s="10" t="s">
        <v>252</v>
      </c>
      <c r="AD146" s="82" t="s">
        <v>254</v>
      </c>
      <c r="AE146" s="82" t="s">
        <v>255</v>
      </c>
      <c r="AF146" s="20">
        <f t="shared" si="25"/>
        <v>1.8235294117647061</v>
      </c>
      <c r="AG146" s="13">
        <f t="shared" si="18"/>
        <v>3</v>
      </c>
      <c r="AH146" s="7">
        <f t="shared" si="19"/>
        <v>10</v>
      </c>
      <c r="AI146" s="7">
        <f t="shared" si="20"/>
        <v>0</v>
      </c>
      <c r="AJ146" s="7">
        <f t="shared" si="21"/>
        <v>5</v>
      </c>
      <c r="AK146" s="7">
        <f t="shared" si="22"/>
        <v>6</v>
      </c>
      <c r="AL146" s="12">
        <f t="shared" si="24"/>
        <v>24</v>
      </c>
      <c r="AM146" s="14" t="str">
        <f t="shared" si="23"/>
        <v>Barrier</v>
      </c>
      <c r="AN146" s="82"/>
      <c r="AO146" s="84"/>
      <c r="AP146" s="10" t="s">
        <v>470</v>
      </c>
    </row>
    <row r="147" spans="1:42" ht="16">
      <c r="A147" s="59">
        <v>45198</v>
      </c>
      <c r="C147" s="10">
        <v>5400193</v>
      </c>
      <c r="D147" s="10" t="s">
        <v>99</v>
      </c>
      <c r="E147" s="11">
        <v>10</v>
      </c>
      <c r="F147" s="39">
        <v>352357</v>
      </c>
      <c r="G147" s="39">
        <v>5996976</v>
      </c>
      <c r="H147" s="11" t="s">
        <v>218</v>
      </c>
      <c r="I147" s="11" t="s">
        <v>106</v>
      </c>
      <c r="K147" s="11" t="s">
        <v>104</v>
      </c>
      <c r="L147" s="10" t="s">
        <v>243</v>
      </c>
      <c r="M147" s="10" t="s">
        <v>244</v>
      </c>
      <c r="N147" s="84">
        <v>4</v>
      </c>
      <c r="O147" s="84">
        <v>32</v>
      </c>
      <c r="P147" s="82" t="s">
        <v>252</v>
      </c>
      <c r="Q147" s="86"/>
      <c r="R147" s="82" t="s">
        <v>252</v>
      </c>
      <c r="S147" s="82" t="s">
        <v>253</v>
      </c>
      <c r="T147" s="84">
        <v>100</v>
      </c>
      <c r="U147" s="84">
        <v>2.2000000000000002</v>
      </c>
      <c r="V147" s="82">
        <v>0</v>
      </c>
      <c r="W147" s="84">
        <v>0</v>
      </c>
      <c r="X147" s="82" t="s">
        <v>252</v>
      </c>
      <c r="Y147" s="84">
        <v>1</v>
      </c>
      <c r="Z147" s="84">
        <v>8.4</v>
      </c>
      <c r="AA147" s="82">
        <v>1</v>
      </c>
      <c r="AB147" s="10" t="s">
        <v>252</v>
      </c>
      <c r="AC147" s="10" t="s">
        <v>252</v>
      </c>
      <c r="AD147" s="82" t="s">
        <v>254</v>
      </c>
      <c r="AE147" s="82" t="s">
        <v>256</v>
      </c>
      <c r="AF147" s="20">
        <f t="shared" si="25"/>
        <v>2.1</v>
      </c>
      <c r="AG147" s="13">
        <f t="shared" si="18"/>
        <v>6</v>
      </c>
      <c r="AH147" s="7">
        <f t="shared" si="19"/>
        <v>10</v>
      </c>
      <c r="AI147" s="7">
        <f t="shared" si="20"/>
        <v>0</v>
      </c>
      <c r="AJ147" s="7">
        <f t="shared" si="21"/>
        <v>5</v>
      </c>
      <c r="AK147" s="7">
        <f t="shared" si="22"/>
        <v>6</v>
      </c>
      <c r="AL147" s="12">
        <f t="shared" si="24"/>
        <v>27</v>
      </c>
      <c r="AM147" s="14" t="str">
        <f t="shared" si="23"/>
        <v>Barrier</v>
      </c>
      <c r="AN147" s="82"/>
      <c r="AO147" s="84"/>
      <c r="AP147" s="10" t="s">
        <v>471</v>
      </c>
    </row>
    <row r="148" spans="1:42" ht="32">
      <c r="A148" s="59">
        <v>45200</v>
      </c>
      <c r="C148" s="10">
        <v>9905144</v>
      </c>
      <c r="D148" s="10" t="s">
        <v>99</v>
      </c>
      <c r="E148" s="11">
        <v>10</v>
      </c>
      <c r="F148" s="39">
        <v>492375</v>
      </c>
      <c r="G148" s="39">
        <v>5956652</v>
      </c>
      <c r="H148" s="11" t="s">
        <v>239</v>
      </c>
      <c r="I148" s="11" t="s">
        <v>240</v>
      </c>
      <c r="K148" s="11" t="s">
        <v>119</v>
      </c>
      <c r="L148" s="10" t="s">
        <v>243</v>
      </c>
      <c r="M148" s="10" t="s">
        <v>244</v>
      </c>
      <c r="N148" s="84">
        <v>0.9</v>
      </c>
      <c r="O148" s="84">
        <v>16</v>
      </c>
      <c r="P148" s="82" t="s">
        <v>252</v>
      </c>
      <c r="Q148" s="86"/>
      <c r="R148" s="82" t="s">
        <v>252</v>
      </c>
      <c r="S148" s="82" t="s">
        <v>253</v>
      </c>
      <c r="T148" s="84">
        <v>100</v>
      </c>
      <c r="U148" s="84">
        <v>1.6</v>
      </c>
      <c r="V148" s="82">
        <v>0</v>
      </c>
      <c r="W148" s="84">
        <v>0.5</v>
      </c>
      <c r="X148" s="82" t="s">
        <v>252</v>
      </c>
      <c r="Y148" s="84">
        <v>1.5</v>
      </c>
      <c r="Z148" s="84">
        <v>1</v>
      </c>
      <c r="AA148" s="82">
        <v>1</v>
      </c>
      <c r="AB148" s="10" t="s">
        <v>253</v>
      </c>
      <c r="AC148" s="10" t="s">
        <v>252</v>
      </c>
      <c r="AD148" s="82" t="s">
        <v>254</v>
      </c>
      <c r="AE148" s="82" t="s">
        <v>257</v>
      </c>
      <c r="AF148" s="20">
        <f t="shared" si="25"/>
        <v>1.1111111111111112</v>
      </c>
      <c r="AG148" s="13">
        <f t="shared" si="18"/>
        <v>3</v>
      </c>
      <c r="AH148" s="7">
        <f t="shared" si="19"/>
        <v>10</v>
      </c>
      <c r="AI148" s="7">
        <f t="shared" si="20"/>
        <v>0</v>
      </c>
      <c r="AJ148" s="7">
        <f t="shared" si="21"/>
        <v>5</v>
      </c>
      <c r="AK148" s="7">
        <f t="shared" si="22"/>
        <v>3</v>
      </c>
      <c r="AL148" s="12">
        <f t="shared" si="24"/>
        <v>21</v>
      </c>
      <c r="AM148" s="14" t="str">
        <f t="shared" si="23"/>
        <v>Barrier</v>
      </c>
      <c r="AN148" s="82"/>
      <c r="AO148" s="84"/>
      <c r="AP148" s="10" t="s">
        <v>472</v>
      </c>
    </row>
    <row r="149" spans="1:42" ht="32">
      <c r="A149" s="59">
        <v>45202</v>
      </c>
      <c r="C149" s="10">
        <v>13900028</v>
      </c>
      <c r="E149" s="11">
        <v>10</v>
      </c>
      <c r="F149" s="39">
        <v>612135</v>
      </c>
      <c r="G149" s="39">
        <v>5967623</v>
      </c>
      <c r="H149" s="11" t="s">
        <v>266</v>
      </c>
      <c r="I149" s="11" t="s">
        <v>313</v>
      </c>
      <c r="K149" s="11" t="s">
        <v>314</v>
      </c>
      <c r="L149" s="10" t="s">
        <v>243</v>
      </c>
      <c r="M149" s="10" t="s">
        <v>244</v>
      </c>
      <c r="N149" s="84">
        <v>1.4</v>
      </c>
      <c r="O149" s="84">
        <v>10</v>
      </c>
      <c r="P149" s="82" t="s">
        <v>252</v>
      </c>
      <c r="Q149" s="86"/>
      <c r="R149" s="82" t="s">
        <v>252</v>
      </c>
      <c r="S149" s="82" t="s">
        <v>253</v>
      </c>
      <c r="T149" s="84">
        <v>40</v>
      </c>
      <c r="U149" s="84">
        <v>0.3</v>
      </c>
      <c r="V149" s="82">
        <v>0</v>
      </c>
      <c r="W149" s="84">
        <v>1</v>
      </c>
      <c r="X149" s="82" t="s">
        <v>252</v>
      </c>
      <c r="Y149" s="84">
        <v>1.5</v>
      </c>
      <c r="Z149" s="84">
        <v>3.4</v>
      </c>
      <c r="AA149" s="82">
        <v>3</v>
      </c>
      <c r="AB149" s="10" t="s">
        <v>252</v>
      </c>
      <c r="AC149" s="10" t="s">
        <v>252</v>
      </c>
      <c r="AD149" s="82" t="s">
        <v>254</v>
      </c>
      <c r="AE149" s="82" t="s">
        <v>256</v>
      </c>
      <c r="AF149" s="20">
        <f t="shared" si="25"/>
        <v>2.4285714285714288</v>
      </c>
      <c r="AG149" s="13">
        <f t="shared" si="18"/>
        <v>0</v>
      </c>
      <c r="AH149" s="7">
        <f t="shared" si="19"/>
        <v>10</v>
      </c>
      <c r="AI149" s="7">
        <f t="shared" si="20"/>
        <v>0</v>
      </c>
      <c r="AJ149" s="7">
        <f t="shared" si="21"/>
        <v>5</v>
      </c>
      <c r="AK149" s="7">
        <f t="shared" si="22"/>
        <v>6</v>
      </c>
      <c r="AL149" s="12">
        <f t="shared" si="24"/>
        <v>21</v>
      </c>
      <c r="AM149" s="14" t="str">
        <f t="shared" si="23"/>
        <v>Barrier</v>
      </c>
      <c r="AN149" s="82"/>
      <c r="AO149" s="84"/>
      <c r="AP149" s="10" t="s">
        <v>473</v>
      </c>
    </row>
    <row r="150" spans="1:42" ht="32">
      <c r="A150" s="59">
        <v>45202</v>
      </c>
      <c r="C150" s="10">
        <v>13900308</v>
      </c>
      <c r="E150" s="11">
        <v>10</v>
      </c>
      <c r="F150" s="39">
        <v>607110</v>
      </c>
      <c r="G150" s="39">
        <v>5971294</v>
      </c>
      <c r="H150" s="11" t="s">
        <v>266</v>
      </c>
      <c r="I150" s="11" t="s">
        <v>262</v>
      </c>
      <c r="K150" s="11" t="s">
        <v>263</v>
      </c>
      <c r="L150" s="10" t="s">
        <v>243</v>
      </c>
      <c r="M150" s="10" t="s">
        <v>244</v>
      </c>
      <c r="N150" s="84">
        <v>2</v>
      </c>
      <c r="O150" s="84">
        <v>8.5</v>
      </c>
      <c r="P150" s="82" t="s">
        <v>252</v>
      </c>
      <c r="Q150" s="86"/>
      <c r="R150" s="82" t="s">
        <v>252</v>
      </c>
      <c r="S150" s="82" t="s">
        <v>253</v>
      </c>
      <c r="T150" s="84">
        <v>100</v>
      </c>
      <c r="U150" s="84">
        <v>0.7</v>
      </c>
      <c r="V150" s="82">
        <v>0</v>
      </c>
      <c r="W150" s="84">
        <v>0.6</v>
      </c>
      <c r="X150" s="82" t="s">
        <v>252</v>
      </c>
      <c r="Y150" s="84">
        <v>0</v>
      </c>
      <c r="Z150" s="84">
        <v>5.9</v>
      </c>
      <c r="AA150" s="82">
        <v>3</v>
      </c>
      <c r="AB150" s="10" t="s">
        <v>252</v>
      </c>
      <c r="AC150" s="10" t="s">
        <v>253</v>
      </c>
      <c r="AD150" s="82" t="s">
        <v>254</v>
      </c>
      <c r="AE150" s="82" t="s">
        <v>255</v>
      </c>
      <c r="AF150" s="20">
        <f t="shared" si="25"/>
        <v>2.95</v>
      </c>
      <c r="AG150" s="13">
        <f t="shared" si="18"/>
        <v>0</v>
      </c>
      <c r="AH150" s="7">
        <f t="shared" si="19"/>
        <v>10</v>
      </c>
      <c r="AI150" s="7">
        <f t="shared" si="20"/>
        <v>0</v>
      </c>
      <c r="AJ150" s="7">
        <f t="shared" si="21"/>
        <v>0</v>
      </c>
      <c r="AK150" s="7">
        <f t="shared" si="22"/>
        <v>6</v>
      </c>
      <c r="AL150" s="12">
        <f t="shared" si="24"/>
        <v>16</v>
      </c>
      <c r="AM150" s="14" t="str">
        <f t="shared" si="23"/>
        <v>Potential</v>
      </c>
      <c r="AN150" s="82"/>
      <c r="AO150" s="84"/>
      <c r="AP150" s="10" t="s">
        <v>474</v>
      </c>
    </row>
    <row r="151" spans="1:42" ht="16">
      <c r="A151" s="59">
        <v>45202</v>
      </c>
      <c r="C151" s="10">
        <v>13900252</v>
      </c>
      <c r="E151" s="11">
        <v>10</v>
      </c>
      <c r="F151" s="39">
        <v>590794</v>
      </c>
      <c r="G151" s="39">
        <v>5982763</v>
      </c>
      <c r="H151" s="11" t="s">
        <v>315</v>
      </c>
      <c r="I151" s="11" t="s">
        <v>272</v>
      </c>
      <c r="K151" s="11" t="s">
        <v>104</v>
      </c>
      <c r="L151" s="10" t="s">
        <v>243</v>
      </c>
      <c r="M151" s="10" t="s">
        <v>244</v>
      </c>
      <c r="N151" s="84">
        <v>3.3</v>
      </c>
      <c r="O151" s="84">
        <v>7</v>
      </c>
      <c r="P151" s="82" t="s">
        <v>252</v>
      </c>
      <c r="Q151" s="86"/>
      <c r="R151" s="82" t="s">
        <v>252</v>
      </c>
      <c r="S151" s="82" t="s">
        <v>253</v>
      </c>
      <c r="T151" s="84">
        <v>100</v>
      </c>
      <c r="U151" s="84">
        <v>1</v>
      </c>
      <c r="V151" s="82">
        <v>0</v>
      </c>
      <c r="W151" s="84">
        <v>0</v>
      </c>
      <c r="X151" s="82" t="s">
        <v>252</v>
      </c>
      <c r="Y151" s="84">
        <v>1</v>
      </c>
      <c r="Z151" s="84">
        <v>4.0999999999999996</v>
      </c>
      <c r="AA151" s="82">
        <v>2</v>
      </c>
      <c r="AB151" s="10" t="s">
        <v>252</v>
      </c>
      <c r="AC151" s="10" t="s">
        <v>252</v>
      </c>
      <c r="AD151" s="82" t="s">
        <v>254</v>
      </c>
      <c r="AE151" s="82" t="s">
        <v>255</v>
      </c>
      <c r="AF151" s="20">
        <f t="shared" si="25"/>
        <v>1.2424242424242424</v>
      </c>
      <c r="AG151" s="13">
        <f t="shared" si="18"/>
        <v>0</v>
      </c>
      <c r="AH151" s="7">
        <f t="shared" si="19"/>
        <v>10</v>
      </c>
      <c r="AI151" s="7">
        <f t="shared" si="20"/>
        <v>0</v>
      </c>
      <c r="AJ151" s="7">
        <f t="shared" si="21"/>
        <v>5</v>
      </c>
      <c r="AK151" s="7">
        <f t="shared" si="22"/>
        <v>3</v>
      </c>
      <c r="AL151" s="12">
        <f t="shared" si="24"/>
        <v>18</v>
      </c>
      <c r="AM151" s="14" t="str">
        <f t="shared" si="23"/>
        <v>Potential</v>
      </c>
      <c r="AN151" s="82"/>
      <c r="AO151" s="84"/>
      <c r="AP151" s="10" t="s">
        <v>475</v>
      </c>
    </row>
    <row r="152" spans="1:42" ht="32">
      <c r="A152" s="59">
        <v>45202</v>
      </c>
      <c r="C152" s="10">
        <v>13900050</v>
      </c>
      <c r="E152" s="11">
        <v>10</v>
      </c>
      <c r="F152" s="39">
        <v>582105</v>
      </c>
      <c r="G152" s="39">
        <v>5989825</v>
      </c>
      <c r="H152" s="11" t="s">
        <v>266</v>
      </c>
      <c r="I152" s="11" t="s">
        <v>272</v>
      </c>
      <c r="K152" s="11" t="s">
        <v>104</v>
      </c>
      <c r="L152" s="10" t="s">
        <v>243</v>
      </c>
      <c r="M152" s="10" t="s">
        <v>244</v>
      </c>
      <c r="N152" s="84">
        <v>0.8</v>
      </c>
      <c r="O152" s="84">
        <v>12</v>
      </c>
      <c r="P152" s="82" t="s">
        <v>252</v>
      </c>
      <c r="Q152" s="86"/>
      <c r="R152" s="82" t="s">
        <v>252</v>
      </c>
      <c r="S152" s="82" t="s">
        <v>253</v>
      </c>
      <c r="T152" s="84">
        <v>100</v>
      </c>
      <c r="U152" s="84">
        <v>1.2</v>
      </c>
      <c r="V152" s="82">
        <v>0</v>
      </c>
      <c r="W152" s="84">
        <v>0</v>
      </c>
      <c r="X152" s="82" t="s">
        <v>252</v>
      </c>
      <c r="Y152" s="84">
        <v>2</v>
      </c>
      <c r="Z152" s="84">
        <v>1.2</v>
      </c>
      <c r="AA152" s="82">
        <v>1.5</v>
      </c>
      <c r="AB152" s="10" t="s">
        <v>252</v>
      </c>
      <c r="AC152" s="10" t="s">
        <v>252</v>
      </c>
      <c r="AD152" s="82" t="s">
        <v>254</v>
      </c>
      <c r="AE152" s="82" t="s">
        <v>257</v>
      </c>
      <c r="AF152" s="20">
        <f t="shared" si="25"/>
        <v>1.4999999999999998</v>
      </c>
      <c r="AG152" s="13">
        <f t="shared" si="18"/>
        <v>0</v>
      </c>
      <c r="AH152" s="7">
        <f t="shared" si="19"/>
        <v>10</v>
      </c>
      <c r="AI152" s="7">
        <f t="shared" si="20"/>
        <v>0</v>
      </c>
      <c r="AJ152" s="7">
        <f t="shared" si="21"/>
        <v>5</v>
      </c>
      <c r="AK152" s="7">
        <f t="shared" si="22"/>
        <v>6</v>
      </c>
      <c r="AL152" s="12">
        <f t="shared" si="24"/>
        <v>21</v>
      </c>
      <c r="AM152" s="14" t="str">
        <f t="shared" si="23"/>
        <v>Barrier</v>
      </c>
      <c r="AN152" s="82"/>
      <c r="AO152" s="84"/>
      <c r="AP152" s="10" t="s">
        <v>476</v>
      </c>
    </row>
    <row r="153" spans="1:42" ht="16">
      <c r="A153" s="59">
        <v>45202</v>
      </c>
      <c r="C153" s="10">
        <v>13900283</v>
      </c>
      <c r="E153" s="11">
        <v>10</v>
      </c>
      <c r="F153" s="39">
        <v>558697</v>
      </c>
      <c r="G153" s="39">
        <v>5995816</v>
      </c>
      <c r="H153" s="11" t="s">
        <v>316</v>
      </c>
      <c r="I153" s="11" t="s">
        <v>272</v>
      </c>
      <c r="K153" s="11" t="s">
        <v>104</v>
      </c>
      <c r="L153" s="10" t="s">
        <v>243</v>
      </c>
      <c r="M153" s="10" t="s">
        <v>244</v>
      </c>
      <c r="N153" s="84">
        <v>2</v>
      </c>
      <c r="O153" s="84">
        <v>14</v>
      </c>
      <c r="P153" s="82" t="s">
        <v>252</v>
      </c>
      <c r="Q153" s="86"/>
      <c r="R153" s="82" t="s">
        <v>252</v>
      </c>
      <c r="S153" s="82" t="s">
        <v>253</v>
      </c>
      <c r="T153" s="84">
        <v>100</v>
      </c>
      <c r="U153" s="84">
        <v>2.5</v>
      </c>
      <c r="V153" s="82">
        <v>0</v>
      </c>
      <c r="W153" s="84">
        <v>0.7</v>
      </c>
      <c r="X153" s="82" t="s">
        <v>252</v>
      </c>
      <c r="Y153" s="84">
        <v>0</v>
      </c>
      <c r="Z153" s="84">
        <v>2.5</v>
      </c>
      <c r="AA153" s="82">
        <v>0</v>
      </c>
      <c r="AB153" s="10" t="s">
        <v>253</v>
      </c>
      <c r="AC153" s="10" t="s">
        <v>252</v>
      </c>
      <c r="AD153" s="82" t="s">
        <v>254</v>
      </c>
      <c r="AE153" s="82" t="s">
        <v>256</v>
      </c>
      <c r="AF153" s="20">
        <f t="shared" si="25"/>
        <v>1.25</v>
      </c>
      <c r="AG153" s="13">
        <f t="shared" si="18"/>
        <v>0</v>
      </c>
      <c r="AH153" s="7">
        <f t="shared" si="19"/>
        <v>10</v>
      </c>
      <c r="AI153" s="7">
        <f t="shared" si="20"/>
        <v>0</v>
      </c>
      <c r="AJ153" s="7">
        <f t="shared" si="21"/>
        <v>0</v>
      </c>
      <c r="AK153" s="7">
        <f t="shared" si="22"/>
        <v>3</v>
      </c>
      <c r="AL153" s="12">
        <f t="shared" si="24"/>
        <v>13</v>
      </c>
      <c r="AM153" s="14" t="str">
        <f t="shared" si="23"/>
        <v>Passable</v>
      </c>
      <c r="AN153" s="82"/>
      <c r="AO153" s="84"/>
      <c r="AP153" s="10" t="s">
        <v>477</v>
      </c>
    </row>
    <row r="154" spans="1:42" ht="32">
      <c r="A154" s="59">
        <v>45203</v>
      </c>
      <c r="C154" s="10">
        <v>13903627</v>
      </c>
      <c r="E154" s="11">
        <v>10</v>
      </c>
      <c r="F154" s="39">
        <v>579525</v>
      </c>
      <c r="G154" s="39">
        <v>5977412</v>
      </c>
      <c r="H154" s="11" t="s">
        <v>275</v>
      </c>
      <c r="I154" s="11" t="s">
        <v>276</v>
      </c>
      <c r="K154" s="11" t="s">
        <v>317</v>
      </c>
      <c r="L154" s="10" t="s">
        <v>243</v>
      </c>
      <c r="M154" s="10" t="s">
        <v>244</v>
      </c>
      <c r="N154" s="84">
        <v>0.7</v>
      </c>
      <c r="O154" s="84">
        <v>16</v>
      </c>
      <c r="P154" s="82" t="s">
        <v>252</v>
      </c>
      <c r="Q154" s="86"/>
      <c r="R154" s="82" t="s">
        <v>252</v>
      </c>
      <c r="S154" s="82" t="s">
        <v>253</v>
      </c>
      <c r="T154" s="84">
        <v>100</v>
      </c>
      <c r="U154" s="84">
        <v>1.5</v>
      </c>
      <c r="V154" s="82">
        <v>0</v>
      </c>
      <c r="W154" s="84">
        <v>0</v>
      </c>
      <c r="X154" s="82" t="s">
        <v>252</v>
      </c>
      <c r="Y154" s="84">
        <v>1</v>
      </c>
      <c r="Z154" s="84">
        <v>2.1</v>
      </c>
      <c r="AA154" s="82">
        <v>0</v>
      </c>
      <c r="AB154" s="10" t="s">
        <v>252</v>
      </c>
      <c r="AC154" s="10" t="s">
        <v>252</v>
      </c>
      <c r="AD154" s="82" t="s">
        <v>254</v>
      </c>
      <c r="AE154" s="82" t="s">
        <v>257</v>
      </c>
      <c r="AF154" s="20">
        <f t="shared" si="25"/>
        <v>3.0000000000000004</v>
      </c>
      <c r="AG154" s="13">
        <f t="shared" si="18"/>
        <v>3</v>
      </c>
      <c r="AH154" s="7">
        <f t="shared" si="19"/>
        <v>10</v>
      </c>
      <c r="AI154" s="7">
        <f t="shared" si="20"/>
        <v>0</v>
      </c>
      <c r="AJ154" s="7">
        <f t="shared" si="21"/>
        <v>5</v>
      </c>
      <c r="AK154" s="7">
        <f t="shared" si="22"/>
        <v>6</v>
      </c>
      <c r="AL154" s="12">
        <f t="shared" si="24"/>
        <v>24</v>
      </c>
      <c r="AM154" s="14" t="str">
        <f t="shared" si="23"/>
        <v>Barrier</v>
      </c>
      <c r="AN154" s="82"/>
      <c r="AO154" s="84"/>
      <c r="AP154" s="10" t="s">
        <v>478</v>
      </c>
    </row>
    <row r="155" spans="1:42" ht="32">
      <c r="A155" s="59">
        <v>45203</v>
      </c>
      <c r="C155" s="10">
        <v>13903618</v>
      </c>
      <c r="E155" s="11">
        <v>10</v>
      </c>
      <c r="F155" s="39">
        <v>578804</v>
      </c>
      <c r="G155" s="39">
        <v>5973956</v>
      </c>
      <c r="H155" s="11" t="s">
        <v>275</v>
      </c>
      <c r="I155" s="11" t="s">
        <v>276</v>
      </c>
      <c r="J155" s="22">
        <v>31</v>
      </c>
      <c r="K155" s="11" t="s">
        <v>317</v>
      </c>
      <c r="L155" s="10" t="s">
        <v>243</v>
      </c>
      <c r="M155" s="10" t="s">
        <v>244</v>
      </c>
      <c r="N155" s="84">
        <v>0.9</v>
      </c>
      <c r="O155" s="84">
        <v>18</v>
      </c>
      <c r="P155" s="82" t="s">
        <v>252</v>
      </c>
      <c r="Q155" s="86"/>
      <c r="R155" s="82" t="s">
        <v>252</v>
      </c>
      <c r="S155" s="82" t="s">
        <v>253</v>
      </c>
      <c r="T155" s="84">
        <v>50</v>
      </c>
      <c r="U155" s="84">
        <v>1.4</v>
      </c>
      <c r="V155" s="82">
        <v>0</v>
      </c>
      <c r="W155" s="84">
        <v>0.5</v>
      </c>
      <c r="X155" s="82" t="s">
        <v>252</v>
      </c>
      <c r="Y155" s="84">
        <v>4</v>
      </c>
      <c r="Z155" s="84">
        <v>1.8</v>
      </c>
      <c r="AA155" s="82">
        <v>1.5</v>
      </c>
      <c r="AB155" s="10" t="s">
        <v>253</v>
      </c>
      <c r="AC155" s="10" t="s">
        <v>252</v>
      </c>
      <c r="AD155" s="82" t="s">
        <v>254</v>
      </c>
      <c r="AE155" s="82" t="s">
        <v>256</v>
      </c>
      <c r="AF155" s="20">
        <f t="shared" si="25"/>
        <v>2</v>
      </c>
      <c r="AG155" s="13">
        <f t="shared" si="18"/>
        <v>3</v>
      </c>
      <c r="AH155" s="7">
        <f t="shared" si="19"/>
        <v>10</v>
      </c>
      <c r="AI155" s="7">
        <f t="shared" si="20"/>
        <v>0</v>
      </c>
      <c r="AJ155" s="7">
        <f t="shared" si="21"/>
        <v>10</v>
      </c>
      <c r="AK155" s="7">
        <f t="shared" si="22"/>
        <v>6</v>
      </c>
      <c r="AL155" s="12">
        <f t="shared" si="24"/>
        <v>29</v>
      </c>
      <c r="AM155" s="14" t="str">
        <f t="shared" si="23"/>
        <v>Barrier</v>
      </c>
      <c r="AN155" s="82"/>
      <c r="AO155" s="84"/>
      <c r="AP155" s="10" t="s">
        <v>479</v>
      </c>
    </row>
    <row r="156" spans="1:42" ht="32">
      <c r="A156" s="59">
        <v>45203</v>
      </c>
      <c r="C156" s="10">
        <v>13900193</v>
      </c>
      <c r="E156" s="11">
        <v>10</v>
      </c>
      <c r="F156" s="39">
        <v>585722</v>
      </c>
      <c r="G156" s="39">
        <v>5973394</v>
      </c>
      <c r="H156" s="11" t="s">
        <v>275</v>
      </c>
      <c r="I156" s="11" t="s">
        <v>106</v>
      </c>
      <c r="K156" s="11" t="s">
        <v>104</v>
      </c>
      <c r="L156" s="10" t="s">
        <v>243</v>
      </c>
      <c r="M156" s="10" t="s">
        <v>244</v>
      </c>
      <c r="N156" s="84">
        <v>1.2</v>
      </c>
      <c r="O156" s="84">
        <v>21</v>
      </c>
      <c r="P156" s="82" t="s">
        <v>252</v>
      </c>
      <c r="Q156" s="86"/>
      <c r="R156" s="82" t="s">
        <v>252</v>
      </c>
      <c r="S156" s="82" t="s">
        <v>253</v>
      </c>
      <c r="T156" s="84"/>
      <c r="U156" s="84">
        <v>1.2</v>
      </c>
      <c r="V156" s="82">
        <v>0</v>
      </c>
      <c r="W156" s="84">
        <v>0</v>
      </c>
      <c r="X156" s="82" t="s">
        <v>253</v>
      </c>
      <c r="Y156" s="84">
        <v>4</v>
      </c>
      <c r="Z156" s="84">
        <v>2.1</v>
      </c>
      <c r="AA156" s="82">
        <v>5</v>
      </c>
      <c r="AB156" s="10" t="s">
        <v>252</v>
      </c>
      <c r="AC156" s="10" t="s">
        <v>253</v>
      </c>
      <c r="AD156" s="82" t="s">
        <v>254</v>
      </c>
      <c r="AE156" s="82" t="s">
        <v>255</v>
      </c>
      <c r="AF156" s="20">
        <f t="shared" si="25"/>
        <v>1.7500000000000002</v>
      </c>
      <c r="AG156" s="13">
        <f t="shared" si="18"/>
        <v>3</v>
      </c>
      <c r="AH156" s="7">
        <f t="shared" si="19"/>
        <v>10</v>
      </c>
      <c r="AI156" s="7">
        <f t="shared" si="20"/>
        <v>0</v>
      </c>
      <c r="AJ156" s="7">
        <f t="shared" si="21"/>
        <v>10</v>
      </c>
      <c r="AK156" s="7">
        <f t="shared" si="22"/>
        <v>6</v>
      </c>
      <c r="AL156" s="12">
        <f t="shared" si="24"/>
        <v>29</v>
      </c>
      <c r="AM156" s="14" t="str">
        <f t="shared" si="23"/>
        <v>Barrier</v>
      </c>
      <c r="AN156" s="82"/>
      <c r="AO156" s="84"/>
      <c r="AP156" s="10" t="s">
        <v>480</v>
      </c>
    </row>
    <row r="157" spans="1:42" ht="16">
      <c r="A157" s="59">
        <v>45204</v>
      </c>
      <c r="C157" s="10">
        <v>13903148</v>
      </c>
      <c r="E157" s="11">
        <v>10</v>
      </c>
      <c r="F157" s="39">
        <v>689760</v>
      </c>
      <c r="G157" s="39">
        <v>5909638</v>
      </c>
      <c r="H157" s="11" t="s">
        <v>293</v>
      </c>
      <c r="I157" s="11" t="s">
        <v>106</v>
      </c>
      <c r="K157" s="11" t="s">
        <v>104</v>
      </c>
      <c r="L157" s="10" t="s">
        <v>243</v>
      </c>
      <c r="M157" s="10" t="s">
        <v>244</v>
      </c>
      <c r="N157" s="84">
        <v>1.05</v>
      </c>
      <c r="O157" s="84">
        <v>32</v>
      </c>
      <c r="P157" s="82" t="s">
        <v>252</v>
      </c>
      <c r="Q157" s="86"/>
      <c r="R157" s="82" t="s">
        <v>252</v>
      </c>
      <c r="S157" s="82" t="s">
        <v>253</v>
      </c>
      <c r="T157" s="84">
        <v>100</v>
      </c>
      <c r="U157" s="84">
        <v>1.3</v>
      </c>
      <c r="V157" s="82">
        <v>0</v>
      </c>
      <c r="W157" s="84">
        <v>0</v>
      </c>
      <c r="X157" s="82" t="s">
        <v>252</v>
      </c>
      <c r="Y157" s="84">
        <v>0</v>
      </c>
      <c r="Z157" s="84">
        <v>2.9</v>
      </c>
      <c r="AA157" s="82">
        <v>0</v>
      </c>
      <c r="AB157" s="10" t="s">
        <v>252</v>
      </c>
      <c r="AC157" s="10" t="s">
        <v>252</v>
      </c>
      <c r="AD157" s="82" t="s">
        <v>254</v>
      </c>
      <c r="AE157" s="82" t="s">
        <v>257</v>
      </c>
      <c r="AF157" s="20">
        <f t="shared" si="25"/>
        <v>2.7619047619047619</v>
      </c>
      <c r="AG157" s="13">
        <f t="shared" si="18"/>
        <v>6</v>
      </c>
      <c r="AH157" s="7">
        <f t="shared" si="19"/>
        <v>10</v>
      </c>
      <c r="AI157" s="7">
        <f t="shared" si="20"/>
        <v>0</v>
      </c>
      <c r="AJ157" s="7">
        <f t="shared" si="21"/>
        <v>0</v>
      </c>
      <c r="AK157" s="7">
        <f t="shared" si="22"/>
        <v>6</v>
      </c>
      <c r="AL157" s="12">
        <f t="shared" si="24"/>
        <v>22</v>
      </c>
      <c r="AM157" s="14" t="str">
        <f t="shared" si="23"/>
        <v>Barrier</v>
      </c>
      <c r="AN157" s="82"/>
      <c r="AO157" s="84"/>
      <c r="AP157" s="10" t="s">
        <v>481</v>
      </c>
    </row>
    <row r="158" spans="1:42" ht="16">
      <c r="A158" s="59">
        <v>45204</v>
      </c>
      <c r="C158" s="10">
        <v>22200015</v>
      </c>
      <c r="E158" s="11">
        <v>11</v>
      </c>
      <c r="F158" s="39">
        <v>345011</v>
      </c>
      <c r="G158" s="39">
        <v>5860593</v>
      </c>
      <c r="H158" s="11" t="s">
        <v>300</v>
      </c>
      <c r="I158" s="11" t="s">
        <v>318</v>
      </c>
      <c r="K158" s="11" t="s">
        <v>104</v>
      </c>
      <c r="L158" s="10" t="s">
        <v>243</v>
      </c>
      <c r="M158" s="10" t="s">
        <v>244</v>
      </c>
      <c r="N158" s="84">
        <v>0.9</v>
      </c>
      <c r="O158" s="84">
        <v>67</v>
      </c>
      <c r="P158" s="82" t="s">
        <v>252</v>
      </c>
      <c r="Q158" s="86"/>
      <c r="R158" s="82" t="s">
        <v>252</v>
      </c>
      <c r="S158" s="82" t="s">
        <v>253</v>
      </c>
      <c r="T158" s="84">
        <v>10</v>
      </c>
      <c r="U158" s="84">
        <v>7.5</v>
      </c>
      <c r="V158" s="82">
        <v>0</v>
      </c>
      <c r="W158" s="84">
        <v>1</v>
      </c>
      <c r="X158" s="82" t="s">
        <v>252</v>
      </c>
      <c r="Y158" s="84">
        <v>3</v>
      </c>
      <c r="Z158" s="84">
        <v>1.8</v>
      </c>
      <c r="AA158" s="82">
        <v>1.5</v>
      </c>
      <c r="AB158" s="10" t="s">
        <v>253</v>
      </c>
      <c r="AC158" s="10" t="s">
        <v>252</v>
      </c>
      <c r="AD158" s="82" t="s">
        <v>254</v>
      </c>
      <c r="AE158" s="82" t="s">
        <v>256</v>
      </c>
      <c r="AF158" s="20">
        <f t="shared" si="25"/>
        <v>2</v>
      </c>
      <c r="AG158" s="13">
        <f t="shared" si="18"/>
        <v>6</v>
      </c>
      <c r="AH158" s="7">
        <f t="shared" si="19"/>
        <v>10</v>
      </c>
      <c r="AI158" s="7">
        <f t="shared" si="20"/>
        <v>0</v>
      </c>
      <c r="AJ158" s="7">
        <f t="shared" si="21"/>
        <v>10</v>
      </c>
      <c r="AK158" s="7">
        <f t="shared" si="22"/>
        <v>6</v>
      </c>
      <c r="AL158" s="12">
        <f t="shared" si="24"/>
        <v>32</v>
      </c>
      <c r="AM158" s="14" t="str">
        <f t="shared" si="23"/>
        <v>Barrier</v>
      </c>
      <c r="AN158" s="82"/>
      <c r="AO158" s="84"/>
      <c r="AP158" s="10" t="s">
        <v>482</v>
      </c>
    </row>
    <row r="159" spans="1:42" ht="16">
      <c r="A159" s="59">
        <v>45197</v>
      </c>
      <c r="C159" s="10">
        <v>5400179</v>
      </c>
      <c r="D159" s="10" t="s">
        <v>100</v>
      </c>
      <c r="E159" s="11">
        <v>10</v>
      </c>
      <c r="F159" s="39">
        <v>319471</v>
      </c>
      <c r="G159" s="39">
        <v>6012988</v>
      </c>
      <c r="H159" s="11" t="s">
        <v>111</v>
      </c>
      <c r="I159" s="11" t="s">
        <v>114</v>
      </c>
      <c r="K159" s="11" t="s">
        <v>113</v>
      </c>
      <c r="L159" s="10" t="s">
        <v>243</v>
      </c>
      <c r="M159" s="10" t="s">
        <v>244</v>
      </c>
      <c r="N159" s="84">
        <v>4.5</v>
      </c>
      <c r="O159" s="84">
        <v>37.5</v>
      </c>
      <c r="P159" s="82" t="s">
        <v>253</v>
      </c>
      <c r="Q159" s="84">
        <v>0.75</v>
      </c>
      <c r="R159" s="82" t="s">
        <v>253</v>
      </c>
      <c r="S159" s="82" t="s">
        <v>252</v>
      </c>
      <c r="T159" s="86"/>
      <c r="U159" s="84">
        <v>1.5</v>
      </c>
      <c r="V159" s="82">
        <v>0</v>
      </c>
      <c r="W159" s="84">
        <v>0</v>
      </c>
      <c r="X159" s="82" t="s">
        <v>252</v>
      </c>
      <c r="Y159" s="84">
        <v>0</v>
      </c>
      <c r="Z159" s="84">
        <v>2.8</v>
      </c>
      <c r="AA159" s="82">
        <v>0</v>
      </c>
      <c r="AB159" s="10" t="s">
        <v>253</v>
      </c>
      <c r="AC159" s="10" t="s">
        <v>252</v>
      </c>
      <c r="AD159" s="82" t="s">
        <v>254</v>
      </c>
      <c r="AE159" s="82" t="s">
        <v>256</v>
      </c>
      <c r="AF159" s="20">
        <f t="shared" si="25"/>
        <v>0.62222222222222223</v>
      </c>
      <c r="AG159" s="13">
        <f t="shared" si="18"/>
        <v>6</v>
      </c>
      <c r="AH159" s="7">
        <f t="shared" si="19"/>
        <v>5</v>
      </c>
      <c r="AI159" s="7">
        <f t="shared" si="20"/>
        <v>0</v>
      </c>
      <c r="AJ159" s="7">
        <f t="shared" si="21"/>
        <v>0</v>
      </c>
      <c r="AK159" s="7">
        <f t="shared" si="22"/>
        <v>0</v>
      </c>
      <c r="AL159" s="12">
        <f t="shared" si="24"/>
        <v>11</v>
      </c>
      <c r="AM159" s="14" t="str">
        <f t="shared" si="23"/>
        <v>Passable</v>
      </c>
      <c r="AN159" s="85"/>
      <c r="AO159" s="86"/>
      <c r="AP159" s="10" t="s">
        <v>483</v>
      </c>
    </row>
    <row r="160" spans="1:42" ht="16">
      <c r="A160" s="59">
        <v>45178</v>
      </c>
      <c r="C160" s="10">
        <v>15600147</v>
      </c>
      <c r="D160" s="10" t="s">
        <v>99</v>
      </c>
      <c r="E160" s="11">
        <v>10</v>
      </c>
      <c r="F160" s="39">
        <v>438071</v>
      </c>
      <c r="G160" s="39">
        <v>5986296</v>
      </c>
      <c r="H160" s="11" t="s">
        <v>166</v>
      </c>
      <c r="I160" s="11" t="s">
        <v>167</v>
      </c>
      <c r="K160" s="11" t="s">
        <v>157</v>
      </c>
      <c r="L160" s="10" t="s">
        <v>243</v>
      </c>
      <c r="M160" s="10" t="s">
        <v>244</v>
      </c>
      <c r="N160" s="84">
        <v>2.7</v>
      </c>
      <c r="O160" s="84">
        <v>16</v>
      </c>
      <c r="P160" s="82" t="s">
        <v>253</v>
      </c>
      <c r="Q160" s="84">
        <v>0.3</v>
      </c>
      <c r="R160" s="82" t="s">
        <v>252</v>
      </c>
      <c r="S160" s="82" t="s">
        <v>252</v>
      </c>
      <c r="T160" s="86"/>
      <c r="U160" s="84">
        <v>0.5</v>
      </c>
      <c r="V160" s="82">
        <v>0</v>
      </c>
      <c r="W160" s="84">
        <v>0</v>
      </c>
      <c r="X160" s="82" t="s">
        <v>252</v>
      </c>
      <c r="Y160" s="84">
        <v>1</v>
      </c>
      <c r="Z160" s="84">
        <v>1.9</v>
      </c>
      <c r="AA160" s="82">
        <v>2</v>
      </c>
      <c r="AB160" s="10" t="s">
        <v>252</v>
      </c>
      <c r="AC160" s="10" t="s">
        <v>252</v>
      </c>
      <c r="AD160" s="82" t="s">
        <v>254</v>
      </c>
      <c r="AE160" s="82" t="s">
        <v>256</v>
      </c>
      <c r="AF160" s="20">
        <f t="shared" si="25"/>
        <v>0.70370370370370361</v>
      </c>
      <c r="AG160" s="13">
        <f t="shared" si="18"/>
        <v>3</v>
      </c>
      <c r="AH160" s="7">
        <f t="shared" si="19"/>
        <v>5</v>
      </c>
      <c r="AI160" s="7">
        <f t="shared" si="20"/>
        <v>0</v>
      </c>
      <c r="AJ160" s="7">
        <f t="shared" si="21"/>
        <v>5</v>
      </c>
      <c r="AK160" s="7">
        <f t="shared" si="22"/>
        <v>0</v>
      </c>
      <c r="AL160" s="12">
        <f t="shared" si="24"/>
        <v>13</v>
      </c>
      <c r="AM160" s="14" t="str">
        <f t="shared" si="23"/>
        <v>Passable</v>
      </c>
      <c r="AN160" s="82"/>
      <c r="AO160" s="84"/>
      <c r="AP160" s="10" t="s">
        <v>484</v>
      </c>
    </row>
    <row r="161" spans="1:42" ht="16">
      <c r="A161" s="59">
        <v>45179</v>
      </c>
      <c r="C161" s="10">
        <v>15600154</v>
      </c>
      <c r="D161" s="10" t="s">
        <v>99</v>
      </c>
      <c r="E161" s="11">
        <v>10</v>
      </c>
      <c r="F161" s="39">
        <v>416009</v>
      </c>
      <c r="G161" s="39">
        <v>5993732</v>
      </c>
      <c r="H161" s="11" t="s">
        <v>180</v>
      </c>
      <c r="I161" s="11" t="s">
        <v>172</v>
      </c>
      <c r="K161" s="11" t="s">
        <v>104</v>
      </c>
      <c r="L161" s="10" t="s">
        <v>243</v>
      </c>
      <c r="M161" s="10" t="s">
        <v>244</v>
      </c>
      <c r="N161" s="84">
        <v>1</v>
      </c>
      <c r="O161" s="84">
        <v>16</v>
      </c>
      <c r="P161" s="82" t="s">
        <v>253</v>
      </c>
      <c r="Q161" s="84">
        <v>0.1</v>
      </c>
      <c r="R161" s="82" t="s">
        <v>252</v>
      </c>
      <c r="S161" s="82" t="s">
        <v>252</v>
      </c>
      <c r="T161" s="86"/>
      <c r="U161" s="84">
        <v>1</v>
      </c>
      <c r="V161" s="82">
        <v>0</v>
      </c>
      <c r="W161" s="84">
        <v>0</v>
      </c>
      <c r="X161" s="82" t="s">
        <v>252</v>
      </c>
      <c r="Y161" s="84">
        <v>1</v>
      </c>
      <c r="Z161" s="84">
        <v>1</v>
      </c>
      <c r="AA161" s="82">
        <v>2</v>
      </c>
      <c r="AB161" s="10" t="s">
        <v>252</v>
      </c>
      <c r="AC161" s="10" t="s">
        <v>252</v>
      </c>
      <c r="AD161" s="82" t="s">
        <v>254</v>
      </c>
      <c r="AE161" s="82" t="s">
        <v>257</v>
      </c>
      <c r="AF161" s="20">
        <f t="shared" si="25"/>
        <v>1</v>
      </c>
      <c r="AG161" s="13">
        <f t="shared" si="18"/>
        <v>3</v>
      </c>
      <c r="AH161" s="7">
        <f t="shared" si="19"/>
        <v>5</v>
      </c>
      <c r="AI161" s="7">
        <f t="shared" si="20"/>
        <v>0</v>
      </c>
      <c r="AJ161" s="7">
        <f t="shared" si="21"/>
        <v>5</v>
      </c>
      <c r="AK161" s="7">
        <f t="shared" si="22"/>
        <v>3</v>
      </c>
      <c r="AL161" s="12">
        <f t="shared" si="24"/>
        <v>16</v>
      </c>
      <c r="AM161" s="14" t="str">
        <f t="shared" si="23"/>
        <v>Potential</v>
      </c>
      <c r="AN161" s="82"/>
      <c r="AO161" s="84"/>
      <c r="AP161" s="10" t="s">
        <v>485</v>
      </c>
    </row>
    <row r="162" spans="1:42" ht="16">
      <c r="A162" s="59">
        <v>45198</v>
      </c>
      <c r="C162" s="10">
        <v>5400028</v>
      </c>
      <c r="D162" s="10" t="s">
        <v>99</v>
      </c>
      <c r="E162" s="11">
        <v>10</v>
      </c>
      <c r="F162" s="39">
        <v>330232</v>
      </c>
      <c r="G162" s="39">
        <v>6009362</v>
      </c>
      <c r="H162" s="11" t="s">
        <v>215</v>
      </c>
      <c r="I162" s="11" t="s">
        <v>106</v>
      </c>
      <c r="K162" s="11" t="s">
        <v>104</v>
      </c>
      <c r="L162" s="10" t="s">
        <v>243</v>
      </c>
      <c r="M162" s="10" t="s">
        <v>244</v>
      </c>
      <c r="N162" s="84">
        <v>3.8</v>
      </c>
      <c r="O162" s="84">
        <v>44</v>
      </c>
      <c r="P162" s="82" t="s">
        <v>253</v>
      </c>
      <c r="Q162" s="84">
        <v>0.2</v>
      </c>
      <c r="R162" s="82" t="s">
        <v>252</v>
      </c>
      <c r="S162" s="82" t="s">
        <v>252</v>
      </c>
      <c r="T162" s="86"/>
      <c r="U162" s="84">
        <v>2</v>
      </c>
      <c r="V162" s="82">
        <v>0</v>
      </c>
      <c r="W162" s="84">
        <v>0</v>
      </c>
      <c r="X162" s="82" t="s">
        <v>252</v>
      </c>
      <c r="Y162" s="84">
        <v>2</v>
      </c>
      <c r="Z162" s="84">
        <v>3.6</v>
      </c>
      <c r="AA162" s="82">
        <v>1</v>
      </c>
      <c r="AB162" s="10" t="s">
        <v>252</v>
      </c>
      <c r="AC162" s="10" t="s">
        <v>252</v>
      </c>
      <c r="AD162" s="82" t="s">
        <v>254</v>
      </c>
      <c r="AE162" s="82" t="s">
        <v>255</v>
      </c>
      <c r="AF162" s="20">
        <f t="shared" si="25"/>
        <v>0.94736842105263164</v>
      </c>
      <c r="AG162" s="13">
        <f t="shared" si="18"/>
        <v>6</v>
      </c>
      <c r="AH162" s="7">
        <f t="shared" si="19"/>
        <v>5</v>
      </c>
      <c r="AI162" s="7">
        <f t="shared" si="20"/>
        <v>0</v>
      </c>
      <c r="AJ162" s="7">
        <f t="shared" si="21"/>
        <v>5</v>
      </c>
      <c r="AK162" s="7">
        <f t="shared" si="22"/>
        <v>0</v>
      </c>
      <c r="AL162" s="12">
        <f t="shared" si="24"/>
        <v>16</v>
      </c>
      <c r="AM162" s="14" t="str">
        <f t="shared" si="23"/>
        <v>Potential</v>
      </c>
      <c r="AN162" s="82"/>
      <c r="AO162" s="84"/>
      <c r="AP162" s="10" t="s">
        <v>486</v>
      </c>
    </row>
    <row r="163" spans="1:42" ht="16">
      <c r="A163" s="59">
        <v>45202</v>
      </c>
      <c r="C163" s="10">
        <v>13905385</v>
      </c>
      <c r="E163" s="11">
        <v>10</v>
      </c>
      <c r="F163" s="39">
        <v>590814</v>
      </c>
      <c r="G163" s="39">
        <v>5982800</v>
      </c>
      <c r="H163" s="11" t="s">
        <v>315</v>
      </c>
      <c r="I163" s="11" t="s">
        <v>267</v>
      </c>
      <c r="K163" s="11" t="s">
        <v>196</v>
      </c>
      <c r="L163" s="10" t="s">
        <v>243</v>
      </c>
      <c r="M163" s="10" t="s">
        <v>244</v>
      </c>
      <c r="N163" s="84">
        <v>4.8</v>
      </c>
      <c r="O163" s="84">
        <v>17.5</v>
      </c>
      <c r="P163" s="82" t="s">
        <v>253</v>
      </c>
      <c r="Q163" s="84">
        <v>0.25</v>
      </c>
      <c r="R163" s="82" t="s">
        <v>253</v>
      </c>
      <c r="S163" s="82" t="s">
        <v>252</v>
      </c>
      <c r="T163" s="86"/>
      <c r="U163" s="84">
        <v>2</v>
      </c>
      <c r="V163" s="82">
        <v>0</v>
      </c>
      <c r="W163" s="84">
        <v>0.1</v>
      </c>
      <c r="X163" s="82" t="s">
        <v>252</v>
      </c>
      <c r="Y163" s="84">
        <v>0</v>
      </c>
      <c r="Z163" s="84">
        <v>3.3</v>
      </c>
      <c r="AA163" s="82">
        <v>1.5</v>
      </c>
      <c r="AB163" s="10" t="s">
        <v>253</v>
      </c>
      <c r="AC163" s="10" t="s">
        <v>252</v>
      </c>
      <c r="AD163" s="82" t="s">
        <v>254</v>
      </c>
      <c r="AE163" s="82" t="s">
        <v>255</v>
      </c>
      <c r="AF163" s="20">
        <f t="shared" si="25"/>
        <v>0.6875</v>
      </c>
      <c r="AG163" s="13">
        <f t="shared" si="18"/>
        <v>3</v>
      </c>
      <c r="AH163" s="7">
        <f t="shared" si="19"/>
        <v>5</v>
      </c>
      <c r="AI163" s="7">
        <f t="shared" si="20"/>
        <v>0</v>
      </c>
      <c r="AJ163" s="7">
        <f t="shared" si="21"/>
        <v>0</v>
      </c>
      <c r="AK163" s="7">
        <f t="shared" si="22"/>
        <v>0</v>
      </c>
      <c r="AL163" s="12">
        <f t="shared" si="24"/>
        <v>8</v>
      </c>
      <c r="AM163" s="14" t="str">
        <f t="shared" si="23"/>
        <v>Passable</v>
      </c>
      <c r="AN163" s="82"/>
      <c r="AO163" s="84"/>
      <c r="AP163" s="10" t="s">
        <v>487</v>
      </c>
    </row>
    <row r="164" spans="1:42" ht="16">
      <c r="A164" s="59">
        <v>45203</v>
      </c>
      <c r="C164" s="10">
        <v>13900265</v>
      </c>
      <c r="E164" s="11">
        <v>10</v>
      </c>
      <c r="F164" s="39">
        <v>591253</v>
      </c>
      <c r="G164" s="39">
        <v>5971048</v>
      </c>
      <c r="H164" s="11" t="s">
        <v>319</v>
      </c>
      <c r="I164" s="11" t="s">
        <v>106</v>
      </c>
      <c r="K164" s="11" t="s">
        <v>104</v>
      </c>
      <c r="L164" s="10" t="s">
        <v>243</v>
      </c>
      <c r="M164" s="10" t="s">
        <v>244</v>
      </c>
      <c r="N164" s="84">
        <v>2</v>
      </c>
      <c r="O164" s="84">
        <v>22</v>
      </c>
      <c r="P164" s="82" t="s">
        <v>253</v>
      </c>
      <c r="Q164" s="84">
        <v>0.25</v>
      </c>
      <c r="R164" s="82" t="s">
        <v>252</v>
      </c>
      <c r="S164" s="82" t="s">
        <v>252</v>
      </c>
      <c r="T164" s="86"/>
      <c r="U164" s="84">
        <v>0.8</v>
      </c>
      <c r="V164" s="82">
        <v>0</v>
      </c>
      <c r="W164" s="84">
        <v>0</v>
      </c>
      <c r="X164" s="82" t="s">
        <v>252</v>
      </c>
      <c r="Y164" s="84">
        <v>1</v>
      </c>
      <c r="Z164" s="84">
        <v>6.2</v>
      </c>
      <c r="AA164" s="82">
        <v>5.5</v>
      </c>
      <c r="AB164" s="10" t="s">
        <v>252</v>
      </c>
      <c r="AC164" s="10" t="s">
        <v>252</v>
      </c>
      <c r="AD164" s="82" t="s">
        <v>254</v>
      </c>
      <c r="AE164" s="82" t="s">
        <v>255</v>
      </c>
      <c r="AF164" s="20">
        <f t="shared" si="25"/>
        <v>3.1</v>
      </c>
      <c r="AG164" s="13">
        <f t="shared" si="18"/>
        <v>3</v>
      </c>
      <c r="AH164" s="7">
        <f t="shared" si="19"/>
        <v>5</v>
      </c>
      <c r="AI164" s="7">
        <f t="shared" si="20"/>
        <v>0</v>
      </c>
      <c r="AJ164" s="7">
        <f t="shared" si="21"/>
        <v>5</v>
      </c>
      <c r="AK164" s="7">
        <f t="shared" si="22"/>
        <v>6</v>
      </c>
      <c r="AL164" s="12">
        <f t="shared" si="24"/>
        <v>19</v>
      </c>
      <c r="AM164" s="14" t="str">
        <f t="shared" si="23"/>
        <v>Potential</v>
      </c>
      <c r="AN164" s="82"/>
      <c r="AO164" s="84"/>
      <c r="AP164" s="10" t="s">
        <v>488</v>
      </c>
    </row>
    <row r="165" spans="1:42" ht="16">
      <c r="A165" s="59">
        <v>45204</v>
      </c>
      <c r="C165" s="10">
        <v>13900025</v>
      </c>
      <c r="E165" s="11">
        <v>10</v>
      </c>
      <c r="F165" s="39">
        <v>688754</v>
      </c>
      <c r="G165" s="39">
        <v>5910557</v>
      </c>
      <c r="H165" s="11" t="s">
        <v>320</v>
      </c>
      <c r="I165" s="11" t="s">
        <v>321</v>
      </c>
      <c r="K165" s="11" t="s">
        <v>295</v>
      </c>
      <c r="L165" s="10" t="s">
        <v>243</v>
      </c>
      <c r="M165" s="10" t="s">
        <v>244</v>
      </c>
      <c r="N165" s="84">
        <v>3</v>
      </c>
      <c r="O165" s="84">
        <v>27</v>
      </c>
      <c r="P165" s="82" t="s">
        <v>253</v>
      </c>
      <c r="Q165" s="84">
        <v>0.15</v>
      </c>
      <c r="R165" s="82" t="s">
        <v>252</v>
      </c>
      <c r="S165" s="82" t="s">
        <v>252</v>
      </c>
      <c r="T165" s="86"/>
      <c r="U165" s="84">
        <v>2.2000000000000002</v>
      </c>
      <c r="V165" s="82">
        <v>0</v>
      </c>
      <c r="W165" s="84">
        <v>0</v>
      </c>
      <c r="X165" s="82" t="s">
        <v>252</v>
      </c>
      <c r="Y165" s="84">
        <v>3</v>
      </c>
      <c r="Z165" s="84">
        <v>1.4</v>
      </c>
      <c r="AA165" s="82">
        <v>2</v>
      </c>
      <c r="AB165" s="10" t="s">
        <v>252</v>
      </c>
      <c r="AC165" s="10" t="s">
        <v>252</v>
      </c>
      <c r="AD165" s="82" t="s">
        <v>254</v>
      </c>
      <c r="AE165" s="82" t="s">
        <v>256</v>
      </c>
      <c r="AF165" s="20">
        <f t="shared" si="25"/>
        <v>0.46666666666666662</v>
      </c>
      <c r="AG165" s="13">
        <f t="shared" si="18"/>
        <v>3</v>
      </c>
      <c r="AH165" s="7">
        <f t="shared" si="19"/>
        <v>5</v>
      </c>
      <c r="AI165" s="7">
        <f t="shared" si="20"/>
        <v>0</v>
      </c>
      <c r="AJ165" s="7">
        <f t="shared" si="21"/>
        <v>10</v>
      </c>
      <c r="AK165" s="7">
        <f t="shared" si="22"/>
        <v>0</v>
      </c>
      <c r="AL165" s="12">
        <f t="shared" si="24"/>
        <v>18</v>
      </c>
      <c r="AM165" s="14" t="str">
        <f t="shared" si="23"/>
        <v>Potential</v>
      </c>
      <c r="AN165" s="82"/>
      <c r="AO165" s="84"/>
      <c r="AP165" s="10" t="s">
        <v>489</v>
      </c>
    </row>
    <row r="166" spans="1:42" ht="16">
      <c r="A166" s="59">
        <v>45204</v>
      </c>
      <c r="C166" s="10">
        <v>22200082</v>
      </c>
      <c r="E166" s="11">
        <v>11</v>
      </c>
      <c r="F166" s="39">
        <v>345873</v>
      </c>
      <c r="G166" s="39">
        <v>5855411</v>
      </c>
      <c r="H166" s="11" t="s">
        <v>322</v>
      </c>
      <c r="I166" s="11" t="s">
        <v>323</v>
      </c>
      <c r="K166" s="11" t="s">
        <v>104</v>
      </c>
      <c r="L166" s="10" t="s">
        <v>243</v>
      </c>
      <c r="M166" s="10" t="s">
        <v>244</v>
      </c>
      <c r="N166" s="84">
        <v>0.75</v>
      </c>
      <c r="O166" s="84">
        <v>12.5</v>
      </c>
      <c r="P166" s="82" t="s">
        <v>253</v>
      </c>
      <c r="Q166" s="84">
        <v>0.18</v>
      </c>
      <c r="R166" s="82" t="s">
        <v>253</v>
      </c>
      <c r="S166" s="82" t="s">
        <v>252</v>
      </c>
      <c r="T166" s="86"/>
      <c r="U166" s="84">
        <v>1</v>
      </c>
      <c r="V166" s="82">
        <v>0</v>
      </c>
      <c r="W166" s="84">
        <v>0</v>
      </c>
      <c r="X166" s="82" t="s">
        <v>252</v>
      </c>
      <c r="Y166" s="84">
        <v>0</v>
      </c>
      <c r="Z166" s="84">
        <v>4</v>
      </c>
      <c r="AA166" s="82">
        <v>0</v>
      </c>
      <c r="AB166" s="10" t="s">
        <v>253</v>
      </c>
      <c r="AC166" s="10" t="s">
        <v>252</v>
      </c>
      <c r="AD166" s="82" t="s">
        <v>254</v>
      </c>
      <c r="AE166" s="82" t="s">
        <v>256</v>
      </c>
      <c r="AF166" s="20">
        <f t="shared" si="25"/>
        <v>5.333333333333333</v>
      </c>
      <c r="AG166" s="13">
        <f t="shared" si="18"/>
        <v>0</v>
      </c>
      <c r="AH166" s="7">
        <f t="shared" si="19"/>
        <v>5</v>
      </c>
      <c r="AI166" s="7">
        <f t="shared" si="20"/>
        <v>0</v>
      </c>
      <c r="AJ166" s="7">
        <f t="shared" si="21"/>
        <v>0</v>
      </c>
      <c r="AK166" s="7">
        <f t="shared" si="22"/>
        <v>6</v>
      </c>
      <c r="AL166" s="12">
        <f t="shared" si="24"/>
        <v>11</v>
      </c>
      <c r="AM166" s="14" t="str">
        <f t="shared" si="23"/>
        <v>Passable</v>
      </c>
      <c r="AN166" s="82"/>
      <c r="AO166" s="84"/>
      <c r="AP166" s="10" t="s">
        <v>490</v>
      </c>
    </row>
    <row r="167" spans="1:42" ht="16">
      <c r="A167" s="59">
        <v>45204</v>
      </c>
      <c r="C167" s="10">
        <v>13900015</v>
      </c>
      <c r="E167" s="11">
        <v>10</v>
      </c>
      <c r="F167" s="39">
        <v>688844</v>
      </c>
      <c r="G167" s="39">
        <v>5909209</v>
      </c>
      <c r="H167" s="11" t="s">
        <v>293</v>
      </c>
      <c r="I167" s="11" t="s">
        <v>324</v>
      </c>
      <c r="K167" s="11" t="s">
        <v>295</v>
      </c>
      <c r="L167" s="10" t="s">
        <v>243</v>
      </c>
      <c r="M167" s="10" t="s">
        <v>244</v>
      </c>
      <c r="N167" s="84">
        <v>3.7</v>
      </c>
      <c r="O167" s="84">
        <v>30</v>
      </c>
      <c r="P167" s="82" t="s">
        <v>253</v>
      </c>
      <c r="Q167" s="84">
        <v>0.2</v>
      </c>
      <c r="R167" s="82" t="s">
        <v>253</v>
      </c>
      <c r="S167" s="82" t="s">
        <v>252</v>
      </c>
      <c r="T167" s="86"/>
      <c r="U167" s="84">
        <v>2</v>
      </c>
      <c r="V167" s="82">
        <v>0</v>
      </c>
      <c r="W167" s="84">
        <v>0</v>
      </c>
      <c r="X167" s="82" t="s">
        <v>252</v>
      </c>
      <c r="Y167" s="84">
        <v>1</v>
      </c>
      <c r="Z167" s="84">
        <v>3.4</v>
      </c>
      <c r="AA167" s="82">
        <v>0</v>
      </c>
      <c r="AB167" s="10" t="s">
        <v>252</v>
      </c>
      <c r="AC167" s="10" t="s">
        <v>252</v>
      </c>
      <c r="AD167" s="82" t="s">
        <v>254</v>
      </c>
      <c r="AE167" s="82" t="s">
        <v>255</v>
      </c>
      <c r="AF167" s="20">
        <f t="shared" si="25"/>
        <v>0.91891891891891886</v>
      </c>
      <c r="AG167" s="13">
        <f t="shared" si="18"/>
        <v>6</v>
      </c>
      <c r="AH167" s="7">
        <f t="shared" si="19"/>
        <v>5</v>
      </c>
      <c r="AI167" s="7">
        <f t="shared" si="20"/>
        <v>0</v>
      </c>
      <c r="AJ167" s="7">
        <f t="shared" si="21"/>
        <v>5</v>
      </c>
      <c r="AK167" s="7">
        <f t="shared" si="22"/>
        <v>0</v>
      </c>
      <c r="AL167" s="12">
        <f t="shared" si="24"/>
        <v>16</v>
      </c>
      <c r="AM167" s="14" t="str">
        <f t="shared" si="23"/>
        <v>Potential</v>
      </c>
      <c r="AN167" s="82"/>
      <c r="AO167" s="84"/>
      <c r="AP167" s="10" t="s">
        <v>491</v>
      </c>
    </row>
    <row r="168" spans="1:42" ht="16">
      <c r="A168" s="59">
        <v>45204</v>
      </c>
      <c r="C168" s="10">
        <v>13900073</v>
      </c>
      <c r="E168" s="11">
        <v>10</v>
      </c>
      <c r="F168" s="39">
        <v>693145</v>
      </c>
      <c r="G168" s="39">
        <v>5907919</v>
      </c>
      <c r="H168" s="11" t="s">
        <v>325</v>
      </c>
      <c r="I168" s="11" t="s">
        <v>326</v>
      </c>
      <c r="K168" s="11" t="s">
        <v>119</v>
      </c>
      <c r="L168" s="10" t="s">
        <v>243</v>
      </c>
      <c r="M168" s="10" t="s">
        <v>244</v>
      </c>
      <c r="N168" s="84">
        <v>2.5</v>
      </c>
      <c r="O168" s="84">
        <v>20</v>
      </c>
      <c r="P168" s="82" t="s">
        <v>253</v>
      </c>
      <c r="Q168" s="84">
        <v>0.3</v>
      </c>
      <c r="R168" s="82" t="s">
        <v>253</v>
      </c>
      <c r="S168" s="82" t="s">
        <v>252</v>
      </c>
      <c r="T168" s="86"/>
      <c r="U168" s="84">
        <v>1.5</v>
      </c>
      <c r="V168" s="82">
        <v>0</v>
      </c>
      <c r="W168" s="84">
        <v>0.5</v>
      </c>
      <c r="X168" s="82" t="s">
        <v>252</v>
      </c>
      <c r="Y168" s="84">
        <v>1</v>
      </c>
      <c r="Z168" s="84">
        <v>3.1</v>
      </c>
      <c r="AA168" s="82">
        <v>0</v>
      </c>
      <c r="AB168" s="10" t="s">
        <v>252</v>
      </c>
      <c r="AC168" s="10" t="s">
        <v>252</v>
      </c>
      <c r="AD168" s="82" t="s">
        <v>254</v>
      </c>
      <c r="AE168" s="82" t="s">
        <v>256</v>
      </c>
      <c r="AF168" s="20">
        <f t="shared" si="25"/>
        <v>1.24</v>
      </c>
      <c r="AG168" s="13">
        <f t="shared" si="18"/>
        <v>3</v>
      </c>
      <c r="AH168" s="7">
        <f t="shared" si="19"/>
        <v>5</v>
      </c>
      <c r="AI168" s="7">
        <f t="shared" si="20"/>
        <v>0</v>
      </c>
      <c r="AJ168" s="7">
        <f t="shared" si="21"/>
        <v>5</v>
      </c>
      <c r="AK168" s="7">
        <f t="shared" si="22"/>
        <v>3</v>
      </c>
      <c r="AL168" s="12">
        <f t="shared" si="24"/>
        <v>16</v>
      </c>
      <c r="AM168" s="14" t="str">
        <f t="shared" si="23"/>
        <v>Potential</v>
      </c>
      <c r="AN168" s="82"/>
      <c r="AO168" s="84"/>
      <c r="AP168" s="10" t="s">
        <v>492</v>
      </c>
    </row>
    <row r="169" spans="1:42" ht="16">
      <c r="A169" s="59">
        <v>45204</v>
      </c>
      <c r="C169" s="10">
        <v>13900012</v>
      </c>
      <c r="E169" s="11">
        <v>10</v>
      </c>
      <c r="F169" s="39">
        <v>693878</v>
      </c>
      <c r="G169" s="39">
        <v>5908064</v>
      </c>
      <c r="H169" s="11" t="s">
        <v>325</v>
      </c>
      <c r="I169" s="11" t="s">
        <v>106</v>
      </c>
      <c r="K169" s="11" t="s">
        <v>104</v>
      </c>
      <c r="L169" s="10" t="s">
        <v>243</v>
      </c>
      <c r="M169" s="10" t="s">
        <v>244</v>
      </c>
      <c r="N169" s="84">
        <v>2.5</v>
      </c>
      <c r="O169" s="84">
        <v>32</v>
      </c>
      <c r="P169" s="82" t="s">
        <v>253</v>
      </c>
      <c r="Q169" s="84">
        <v>0.2</v>
      </c>
      <c r="R169" s="82" t="s">
        <v>253</v>
      </c>
      <c r="S169" s="82" t="s">
        <v>252</v>
      </c>
      <c r="T169" s="86"/>
      <c r="U169" s="84">
        <v>2.2000000000000002</v>
      </c>
      <c r="V169" s="82">
        <v>0</v>
      </c>
      <c r="W169" s="84">
        <v>0</v>
      </c>
      <c r="X169" s="82" t="s">
        <v>252</v>
      </c>
      <c r="Y169" s="84">
        <v>1</v>
      </c>
      <c r="Z169" s="84">
        <v>2.8</v>
      </c>
      <c r="AA169" s="82">
        <v>2</v>
      </c>
      <c r="AB169" s="10" t="s">
        <v>252</v>
      </c>
      <c r="AC169" s="10" t="s">
        <v>253</v>
      </c>
      <c r="AD169" s="82" t="s">
        <v>254</v>
      </c>
      <c r="AE169" s="82" t="s">
        <v>256</v>
      </c>
      <c r="AF169" s="20">
        <f t="shared" si="25"/>
        <v>1.1199999999999999</v>
      </c>
      <c r="AG169" s="13">
        <f t="shared" si="18"/>
        <v>6</v>
      </c>
      <c r="AH169" s="7">
        <f t="shared" si="19"/>
        <v>5</v>
      </c>
      <c r="AI169" s="7">
        <f t="shared" si="20"/>
        <v>0</v>
      </c>
      <c r="AJ169" s="7">
        <f t="shared" si="21"/>
        <v>5</v>
      </c>
      <c r="AK169" s="7">
        <f t="shared" si="22"/>
        <v>3</v>
      </c>
      <c r="AL169" s="12">
        <f t="shared" si="24"/>
        <v>19</v>
      </c>
      <c r="AM169" s="14" t="str">
        <f t="shared" si="23"/>
        <v>Potential</v>
      </c>
      <c r="AN169" s="82"/>
      <c r="AO169" s="84"/>
      <c r="AP169" s="10" t="s">
        <v>493</v>
      </c>
    </row>
    <row r="170" spans="1:42" ht="16">
      <c r="A170" s="59">
        <v>45198</v>
      </c>
      <c r="C170" s="10">
        <v>15600048</v>
      </c>
      <c r="D170" s="10" t="s">
        <v>100</v>
      </c>
      <c r="E170" s="11">
        <v>10</v>
      </c>
      <c r="F170" s="39">
        <v>397528</v>
      </c>
      <c r="G170" s="39">
        <v>5976165</v>
      </c>
      <c r="H170" s="11" t="s">
        <v>125</v>
      </c>
      <c r="I170" s="11" t="s">
        <v>126</v>
      </c>
      <c r="K170" s="11" t="s">
        <v>104</v>
      </c>
      <c r="L170" s="10" t="s">
        <v>243</v>
      </c>
      <c r="M170" s="10" t="s">
        <v>244</v>
      </c>
      <c r="N170" s="84">
        <v>1.8</v>
      </c>
      <c r="O170" s="84">
        <v>17</v>
      </c>
      <c r="P170" s="82" t="s">
        <v>253</v>
      </c>
      <c r="Q170" s="84">
        <v>0.2</v>
      </c>
      <c r="R170" s="82" t="s">
        <v>253</v>
      </c>
      <c r="S170" s="82" t="s">
        <v>253</v>
      </c>
      <c r="T170" s="84">
        <v>100</v>
      </c>
      <c r="U170" s="84">
        <v>1</v>
      </c>
      <c r="V170" s="82">
        <v>0</v>
      </c>
      <c r="W170" s="84">
        <v>0.3</v>
      </c>
      <c r="X170" s="82" t="s">
        <v>252</v>
      </c>
      <c r="Y170" s="84">
        <v>0</v>
      </c>
      <c r="Z170" s="84">
        <v>3</v>
      </c>
      <c r="AA170" s="82">
        <v>0</v>
      </c>
      <c r="AB170" s="10" t="s">
        <v>252</v>
      </c>
      <c r="AC170" s="10" t="s">
        <v>252</v>
      </c>
      <c r="AD170" s="82" t="s">
        <v>254</v>
      </c>
      <c r="AE170" s="82" t="s">
        <v>256</v>
      </c>
      <c r="AF170" s="20">
        <f t="shared" si="25"/>
        <v>1.6666666666666665</v>
      </c>
      <c r="AG170" s="13">
        <f t="shared" si="18"/>
        <v>3</v>
      </c>
      <c r="AH170" s="7">
        <f t="shared" si="19"/>
        <v>5</v>
      </c>
      <c r="AI170" s="7">
        <f t="shared" si="20"/>
        <v>0</v>
      </c>
      <c r="AJ170" s="7">
        <f t="shared" si="21"/>
        <v>0</v>
      </c>
      <c r="AK170" s="7">
        <f t="shared" si="22"/>
        <v>6</v>
      </c>
      <c r="AL170" s="12">
        <f t="shared" si="24"/>
        <v>14</v>
      </c>
      <c r="AM170" s="14" t="str">
        <f t="shared" si="23"/>
        <v>Passable</v>
      </c>
      <c r="AN170" s="82"/>
      <c r="AO170" s="84"/>
      <c r="AP170" s="10" t="s">
        <v>494</v>
      </c>
    </row>
    <row r="171" spans="1:42" ht="16">
      <c r="A171" s="59">
        <v>45199</v>
      </c>
      <c r="C171" s="10">
        <v>5400201</v>
      </c>
      <c r="D171" s="10" t="s">
        <v>100</v>
      </c>
      <c r="E171" s="11">
        <v>10</v>
      </c>
      <c r="F171" s="39">
        <v>388367</v>
      </c>
      <c r="G171" s="39">
        <v>5996767</v>
      </c>
      <c r="H171" s="11" t="s">
        <v>132</v>
      </c>
      <c r="I171" s="11" t="s">
        <v>133</v>
      </c>
      <c r="K171" s="11" t="s">
        <v>104</v>
      </c>
      <c r="L171" s="10" t="s">
        <v>243</v>
      </c>
      <c r="M171" s="10" t="s">
        <v>244</v>
      </c>
      <c r="N171" s="84">
        <v>1.2</v>
      </c>
      <c r="O171" s="84">
        <v>11</v>
      </c>
      <c r="P171" s="82" t="s">
        <v>253</v>
      </c>
      <c r="Q171" s="84">
        <v>0.5</v>
      </c>
      <c r="R171" s="82" t="s">
        <v>253</v>
      </c>
      <c r="S171" s="82" t="s">
        <v>253</v>
      </c>
      <c r="T171" s="84">
        <v>80</v>
      </c>
      <c r="U171" s="84">
        <v>1.5</v>
      </c>
      <c r="V171" s="82">
        <v>0</v>
      </c>
      <c r="W171" s="84">
        <v>0.05</v>
      </c>
      <c r="X171" s="82" t="s">
        <v>252</v>
      </c>
      <c r="Y171" s="84">
        <v>0.25</v>
      </c>
      <c r="Z171" s="84">
        <v>1.7</v>
      </c>
      <c r="AA171" s="82">
        <v>3</v>
      </c>
      <c r="AB171" s="10" t="s">
        <v>252</v>
      </c>
      <c r="AC171" s="10" t="s">
        <v>252</v>
      </c>
      <c r="AD171" s="82" t="s">
        <v>254</v>
      </c>
      <c r="AE171" s="82" t="s">
        <v>256</v>
      </c>
      <c r="AF171" s="20">
        <f t="shared" si="25"/>
        <v>1.4166666666666667</v>
      </c>
      <c r="AG171" s="13">
        <f t="shared" si="18"/>
        <v>0</v>
      </c>
      <c r="AH171" s="7">
        <f t="shared" si="19"/>
        <v>0</v>
      </c>
      <c r="AI171" s="7">
        <f t="shared" si="20"/>
        <v>0</v>
      </c>
      <c r="AJ171" s="7">
        <f t="shared" si="21"/>
        <v>0</v>
      </c>
      <c r="AK171" s="7">
        <f t="shared" si="22"/>
        <v>6</v>
      </c>
      <c r="AL171" s="12">
        <f t="shared" si="24"/>
        <v>6</v>
      </c>
      <c r="AM171" s="14" t="str">
        <f t="shared" si="23"/>
        <v>Passable</v>
      </c>
      <c r="AN171" s="82"/>
      <c r="AO171" s="84"/>
      <c r="AP171" s="10" t="s">
        <v>495</v>
      </c>
    </row>
    <row r="172" spans="1:42" ht="32">
      <c r="A172" s="59">
        <v>45202</v>
      </c>
      <c r="C172" s="10">
        <v>24715754</v>
      </c>
      <c r="E172" s="11">
        <v>10</v>
      </c>
      <c r="F172" s="39">
        <v>576134</v>
      </c>
      <c r="G172" s="39">
        <v>5992813</v>
      </c>
      <c r="H172" s="11" t="s">
        <v>266</v>
      </c>
      <c r="I172" s="11" t="s">
        <v>274</v>
      </c>
      <c r="K172" s="11" t="s">
        <v>104</v>
      </c>
      <c r="L172" s="10" t="s">
        <v>243</v>
      </c>
      <c r="M172" s="10" t="s">
        <v>244</v>
      </c>
      <c r="N172" s="84">
        <v>4.4000000000000004</v>
      </c>
      <c r="O172" s="84">
        <v>35</v>
      </c>
      <c r="P172" s="82" t="s">
        <v>253</v>
      </c>
      <c r="Q172" s="84">
        <v>1.3</v>
      </c>
      <c r="R172" s="82" t="s">
        <v>253</v>
      </c>
      <c r="S172" s="82" t="s">
        <v>253</v>
      </c>
      <c r="T172" s="84">
        <v>100</v>
      </c>
      <c r="U172" s="84">
        <v>2.5</v>
      </c>
      <c r="V172" s="82">
        <v>0</v>
      </c>
      <c r="W172" s="84">
        <v>2</v>
      </c>
      <c r="X172" s="82" t="s">
        <v>252</v>
      </c>
      <c r="Y172" s="84">
        <v>0</v>
      </c>
      <c r="Z172" s="84">
        <v>12</v>
      </c>
      <c r="AA172" s="82">
        <v>0</v>
      </c>
      <c r="AB172" s="10" t="s">
        <v>253</v>
      </c>
      <c r="AC172" s="10" t="s">
        <v>252</v>
      </c>
      <c r="AD172" s="82" t="s">
        <v>254</v>
      </c>
      <c r="AE172" s="82" t="s">
        <v>255</v>
      </c>
      <c r="AF172" s="20">
        <f t="shared" si="25"/>
        <v>2.7272727272727271</v>
      </c>
      <c r="AG172" s="13">
        <f t="shared" si="18"/>
        <v>6</v>
      </c>
      <c r="AH172" s="7">
        <f t="shared" si="19"/>
        <v>0</v>
      </c>
      <c r="AI172" s="7">
        <f t="shared" si="20"/>
        <v>0</v>
      </c>
      <c r="AJ172" s="7">
        <f t="shared" si="21"/>
        <v>0</v>
      </c>
      <c r="AK172" s="7">
        <f t="shared" si="22"/>
        <v>6</v>
      </c>
      <c r="AL172" s="12">
        <f t="shared" si="24"/>
        <v>12</v>
      </c>
      <c r="AM172" s="14" t="str">
        <f t="shared" si="23"/>
        <v>Passable</v>
      </c>
      <c r="AN172" s="82"/>
      <c r="AO172" s="84"/>
      <c r="AP172" s="10" t="s">
        <v>496</v>
      </c>
    </row>
    <row r="173" spans="1:42" ht="16">
      <c r="A173" s="59">
        <v>45197</v>
      </c>
      <c r="C173" s="10">
        <v>5400159</v>
      </c>
      <c r="D173" s="10" t="s">
        <v>100</v>
      </c>
      <c r="E173" s="11">
        <v>10</v>
      </c>
      <c r="F173" s="39">
        <v>319797</v>
      </c>
      <c r="G173" s="39">
        <v>6012952</v>
      </c>
      <c r="H173" s="11" t="s">
        <v>111</v>
      </c>
      <c r="I173" s="11" t="s">
        <v>112</v>
      </c>
      <c r="K173" s="11" t="s">
        <v>113</v>
      </c>
      <c r="L173" s="10" t="s">
        <v>245</v>
      </c>
      <c r="M173" s="10" t="s">
        <v>246</v>
      </c>
      <c r="N173" s="84">
        <v>4</v>
      </c>
      <c r="O173" s="84">
        <v>11</v>
      </c>
      <c r="P173" s="85"/>
      <c r="Q173" s="86"/>
      <c r="R173" s="85"/>
      <c r="S173" s="85"/>
      <c r="T173" s="86"/>
      <c r="U173" s="86"/>
      <c r="V173" s="85"/>
      <c r="W173" s="86"/>
      <c r="X173" s="85"/>
      <c r="Y173" s="86"/>
      <c r="Z173" s="86"/>
      <c r="AA173" s="85"/>
      <c r="AB173" s="10" t="s">
        <v>252</v>
      </c>
      <c r="AC173" s="10" t="s">
        <v>252</v>
      </c>
      <c r="AD173" s="85"/>
      <c r="AE173" s="85"/>
      <c r="AF173" s="20">
        <f t="shared" si="25"/>
        <v>0</v>
      </c>
      <c r="AG173" s="13">
        <f t="shared" si="18"/>
        <v>0</v>
      </c>
      <c r="AH173" s="7">
        <f t="shared" si="19"/>
        <v>0</v>
      </c>
      <c r="AI173" s="7">
        <f t="shared" si="20"/>
        <v>0</v>
      </c>
      <c r="AJ173" s="7">
        <f t="shared" si="21"/>
        <v>0</v>
      </c>
      <c r="AK173" s="7">
        <f t="shared" si="22"/>
        <v>0</v>
      </c>
      <c r="AL173" s="12">
        <f t="shared" si="24"/>
        <v>0</v>
      </c>
      <c r="AM173" s="14" t="str">
        <f t="shared" si="23"/>
        <v>Passable</v>
      </c>
      <c r="AN173" s="85"/>
      <c r="AO173" s="86"/>
      <c r="AP173" s="10" t="s">
        <v>497</v>
      </c>
    </row>
    <row r="174" spans="1:42" ht="16">
      <c r="A174" s="59">
        <v>45198</v>
      </c>
      <c r="C174" s="10">
        <v>5400180</v>
      </c>
      <c r="D174" s="10" t="s">
        <v>100</v>
      </c>
      <c r="E174" s="11">
        <v>10</v>
      </c>
      <c r="F174" s="39">
        <v>321069</v>
      </c>
      <c r="G174" s="39">
        <v>6011579</v>
      </c>
      <c r="H174" s="11" t="s">
        <v>127</v>
      </c>
      <c r="I174" s="11" t="s">
        <v>128</v>
      </c>
      <c r="K174" s="11" t="s">
        <v>113</v>
      </c>
      <c r="L174" s="10" t="s">
        <v>245</v>
      </c>
      <c r="M174" s="10" t="s">
        <v>247</v>
      </c>
      <c r="N174" s="84">
        <v>2.65</v>
      </c>
      <c r="O174" s="84">
        <v>12.5</v>
      </c>
      <c r="P174" s="85"/>
      <c r="Q174" s="86"/>
      <c r="R174" s="85"/>
      <c r="S174" s="85"/>
      <c r="T174" s="86"/>
      <c r="U174" s="86"/>
      <c r="V174" s="85"/>
      <c r="W174" s="86"/>
      <c r="X174" s="85"/>
      <c r="Y174" s="86"/>
      <c r="Z174" s="86"/>
      <c r="AA174" s="85"/>
      <c r="AB174" s="10" t="s">
        <v>252</v>
      </c>
      <c r="AC174" s="10" t="s">
        <v>252</v>
      </c>
      <c r="AD174" s="85"/>
      <c r="AE174" s="85"/>
      <c r="AF174" s="20">
        <f t="shared" si="25"/>
        <v>0</v>
      </c>
      <c r="AG174" s="13">
        <f t="shared" si="18"/>
        <v>0</v>
      </c>
      <c r="AH174" s="7">
        <f t="shared" si="19"/>
        <v>0</v>
      </c>
      <c r="AI174" s="7">
        <f t="shared" si="20"/>
        <v>0</v>
      </c>
      <c r="AJ174" s="7">
        <f t="shared" si="21"/>
        <v>0</v>
      </c>
      <c r="AK174" s="7">
        <f t="shared" si="22"/>
        <v>0</v>
      </c>
      <c r="AL174" s="12">
        <f t="shared" si="24"/>
        <v>0</v>
      </c>
      <c r="AM174" s="14" t="str">
        <f t="shared" si="23"/>
        <v>Passable</v>
      </c>
      <c r="AN174" s="85"/>
      <c r="AO174" s="86"/>
      <c r="AP174" s="10" t="s">
        <v>498</v>
      </c>
    </row>
    <row r="175" spans="1:42" ht="32">
      <c r="A175" s="59">
        <v>45199</v>
      </c>
      <c r="C175" s="10">
        <v>15604870</v>
      </c>
      <c r="D175" s="10" t="s">
        <v>100</v>
      </c>
      <c r="E175" s="11">
        <v>10</v>
      </c>
      <c r="F175" s="39">
        <v>396140</v>
      </c>
      <c r="G175" s="39">
        <v>5997722</v>
      </c>
      <c r="H175" s="11" t="s">
        <v>135</v>
      </c>
      <c r="I175" s="11" t="s">
        <v>140</v>
      </c>
      <c r="K175" s="11" t="s">
        <v>139</v>
      </c>
      <c r="L175" s="10" t="s">
        <v>245</v>
      </c>
      <c r="M175" s="10" t="s">
        <v>246</v>
      </c>
      <c r="N175" s="84">
        <v>13</v>
      </c>
      <c r="O175" s="84">
        <v>5</v>
      </c>
      <c r="P175" s="85"/>
      <c r="Q175" s="86"/>
      <c r="R175" s="85"/>
      <c r="S175" s="85"/>
      <c r="T175" s="86"/>
      <c r="U175" s="86"/>
      <c r="V175" s="85"/>
      <c r="W175" s="86"/>
      <c r="X175" s="85"/>
      <c r="Y175" s="86"/>
      <c r="Z175" s="86"/>
      <c r="AA175" s="85"/>
      <c r="AB175" s="10" t="s">
        <v>252</v>
      </c>
      <c r="AC175" s="10" t="s">
        <v>252</v>
      </c>
      <c r="AD175" s="85"/>
      <c r="AE175" s="85"/>
      <c r="AF175" s="20">
        <f t="shared" si="25"/>
        <v>0</v>
      </c>
      <c r="AG175" s="13">
        <f t="shared" si="18"/>
        <v>0</v>
      </c>
      <c r="AH175" s="7">
        <f t="shared" si="19"/>
        <v>0</v>
      </c>
      <c r="AI175" s="7">
        <f t="shared" si="20"/>
        <v>0</v>
      </c>
      <c r="AJ175" s="7">
        <f t="shared" si="21"/>
        <v>0</v>
      </c>
      <c r="AK175" s="7">
        <f t="shared" si="22"/>
        <v>0</v>
      </c>
      <c r="AL175" s="12">
        <f t="shared" si="24"/>
        <v>0</v>
      </c>
      <c r="AM175" s="14" t="str">
        <f t="shared" si="23"/>
        <v>Passable</v>
      </c>
      <c r="AN175" s="85"/>
      <c r="AO175" s="86"/>
      <c r="AP175" s="10" t="s">
        <v>499</v>
      </c>
    </row>
    <row r="176" spans="1:42" ht="32">
      <c r="A176" s="59">
        <v>45199</v>
      </c>
      <c r="C176" s="10">
        <v>15604704</v>
      </c>
      <c r="D176" s="10" t="s">
        <v>100</v>
      </c>
      <c r="E176" s="11">
        <v>10</v>
      </c>
      <c r="F176" s="39">
        <v>395496</v>
      </c>
      <c r="G176" s="39">
        <v>6003141</v>
      </c>
      <c r="H176" s="11" t="s">
        <v>141</v>
      </c>
      <c r="I176" s="11" t="s">
        <v>142</v>
      </c>
      <c r="K176" s="11" t="s">
        <v>143</v>
      </c>
      <c r="L176" s="10" t="s">
        <v>245</v>
      </c>
      <c r="M176" s="10" t="s">
        <v>246</v>
      </c>
      <c r="N176" s="84">
        <v>20</v>
      </c>
      <c r="O176" s="84">
        <v>5</v>
      </c>
      <c r="P176" s="85"/>
      <c r="Q176" s="86"/>
      <c r="R176" s="85"/>
      <c r="S176" s="85"/>
      <c r="T176" s="86"/>
      <c r="U176" s="86"/>
      <c r="V176" s="85"/>
      <c r="W176" s="86"/>
      <c r="X176" s="85"/>
      <c r="Y176" s="86"/>
      <c r="Z176" s="86"/>
      <c r="AA176" s="85"/>
      <c r="AB176" s="10" t="s">
        <v>252</v>
      </c>
      <c r="AC176" s="10" t="s">
        <v>252</v>
      </c>
      <c r="AD176" s="85"/>
      <c r="AE176" s="85"/>
      <c r="AF176" s="20">
        <f t="shared" si="25"/>
        <v>0</v>
      </c>
      <c r="AG176" s="13">
        <f t="shared" si="18"/>
        <v>0</v>
      </c>
      <c r="AH176" s="7">
        <f t="shared" si="19"/>
        <v>0</v>
      </c>
      <c r="AI176" s="7">
        <f t="shared" si="20"/>
        <v>0</v>
      </c>
      <c r="AJ176" s="7">
        <f t="shared" si="21"/>
        <v>0</v>
      </c>
      <c r="AK176" s="7">
        <f t="shared" si="22"/>
        <v>0</v>
      </c>
      <c r="AL176" s="12">
        <f t="shared" si="24"/>
        <v>0</v>
      </c>
      <c r="AM176" s="14" t="str">
        <f t="shared" si="23"/>
        <v>Passable</v>
      </c>
      <c r="AN176" s="85"/>
      <c r="AO176" s="86"/>
      <c r="AP176" s="10" t="s">
        <v>500</v>
      </c>
    </row>
    <row r="177" spans="1:42" ht="16">
      <c r="A177" s="59">
        <v>45180</v>
      </c>
      <c r="C177" s="10">
        <v>15600065</v>
      </c>
      <c r="D177" s="10" t="s">
        <v>99</v>
      </c>
      <c r="E177" s="11">
        <v>10</v>
      </c>
      <c r="F177" s="39">
        <v>441140</v>
      </c>
      <c r="G177" s="39">
        <v>5989596</v>
      </c>
      <c r="H177" s="11" t="s">
        <v>166</v>
      </c>
      <c r="I177" s="11" t="s">
        <v>182</v>
      </c>
      <c r="K177" s="11" t="s">
        <v>119</v>
      </c>
      <c r="L177" s="10" t="s">
        <v>245</v>
      </c>
      <c r="M177" s="10" t="s">
        <v>246</v>
      </c>
      <c r="N177" s="84">
        <v>13</v>
      </c>
      <c r="O177" s="84">
        <v>4.5</v>
      </c>
      <c r="P177" s="85"/>
      <c r="Q177" s="86"/>
      <c r="R177" s="85"/>
      <c r="S177" s="85"/>
      <c r="T177" s="86"/>
      <c r="U177" s="86"/>
      <c r="V177" s="85"/>
      <c r="W177" s="86"/>
      <c r="X177" s="85"/>
      <c r="Y177" s="86"/>
      <c r="Z177" s="86"/>
      <c r="AA177" s="85"/>
      <c r="AB177" s="10" t="s">
        <v>252</v>
      </c>
      <c r="AC177" s="10" t="s">
        <v>252</v>
      </c>
      <c r="AD177" s="85"/>
      <c r="AE177" s="85"/>
      <c r="AF177" s="20">
        <f t="shared" si="25"/>
        <v>0</v>
      </c>
      <c r="AG177" s="13">
        <f t="shared" si="18"/>
        <v>0</v>
      </c>
      <c r="AH177" s="7">
        <f t="shared" si="19"/>
        <v>0</v>
      </c>
      <c r="AI177" s="7">
        <f t="shared" si="20"/>
        <v>0</v>
      </c>
      <c r="AJ177" s="7">
        <f t="shared" si="21"/>
        <v>0</v>
      </c>
      <c r="AK177" s="7">
        <f t="shared" si="22"/>
        <v>0</v>
      </c>
      <c r="AL177" s="12">
        <f t="shared" si="24"/>
        <v>0</v>
      </c>
      <c r="AM177" s="14" t="str">
        <f t="shared" si="23"/>
        <v>Passable</v>
      </c>
      <c r="AN177" s="85"/>
      <c r="AO177" s="86"/>
      <c r="AP177" s="10" t="s">
        <v>501</v>
      </c>
    </row>
    <row r="178" spans="1:42" ht="16">
      <c r="A178" s="59">
        <v>45202</v>
      </c>
      <c r="C178" s="10">
        <v>24715750</v>
      </c>
      <c r="E178" s="11">
        <v>10</v>
      </c>
      <c r="F178" s="39">
        <v>613206</v>
      </c>
      <c r="G178" s="39">
        <v>5966880</v>
      </c>
      <c r="H178" s="11" t="s">
        <v>327</v>
      </c>
      <c r="I178" s="11" t="s">
        <v>328</v>
      </c>
      <c r="K178" s="11" t="s">
        <v>119</v>
      </c>
      <c r="L178" s="10" t="s">
        <v>245</v>
      </c>
      <c r="M178" s="10" t="s">
        <v>246</v>
      </c>
      <c r="N178" s="84">
        <v>12</v>
      </c>
      <c r="O178" s="84">
        <v>5</v>
      </c>
      <c r="P178" s="85"/>
      <c r="Q178" s="86"/>
      <c r="R178" s="85"/>
      <c r="S178" s="85"/>
      <c r="T178" s="86"/>
      <c r="U178" s="86"/>
      <c r="V178" s="85"/>
      <c r="W178" s="86"/>
      <c r="X178" s="85"/>
      <c r="Y178" s="86"/>
      <c r="Z178" s="86"/>
      <c r="AA178" s="85"/>
      <c r="AB178" s="10" t="s">
        <v>252</v>
      </c>
      <c r="AC178" s="10" t="s">
        <v>252</v>
      </c>
      <c r="AD178" s="85"/>
      <c r="AE178" s="85"/>
      <c r="AF178" s="20">
        <f t="shared" si="25"/>
        <v>0</v>
      </c>
      <c r="AG178" s="13">
        <f t="shared" si="18"/>
        <v>0</v>
      </c>
      <c r="AH178" s="7">
        <f t="shared" si="19"/>
        <v>0</v>
      </c>
      <c r="AI178" s="7">
        <f t="shared" si="20"/>
        <v>0</v>
      </c>
      <c r="AJ178" s="7">
        <f t="shared" si="21"/>
        <v>0</v>
      </c>
      <c r="AK178" s="7">
        <f t="shared" si="22"/>
        <v>0</v>
      </c>
      <c r="AL178" s="12">
        <f t="shared" si="24"/>
        <v>0</v>
      </c>
      <c r="AM178" s="14" t="str">
        <f t="shared" si="23"/>
        <v>Passable</v>
      </c>
      <c r="AN178" s="85"/>
      <c r="AO178" s="86"/>
      <c r="AP178" s="10" t="s">
        <v>502</v>
      </c>
    </row>
    <row r="179" spans="1:42" ht="16">
      <c r="A179" s="59">
        <v>45200</v>
      </c>
      <c r="C179" s="10">
        <v>9904385</v>
      </c>
      <c r="D179" s="10" t="s">
        <v>101</v>
      </c>
      <c r="E179" s="11">
        <v>10</v>
      </c>
      <c r="F179" s="39">
        <v>485546</v>
      </c>
      <c r="G179" s="39">
        <v>5954833</v>
      </c>
      <c r="H179" s="11" t="s">
        <v>152</v>
      </c>
      <c r="I179" s="11" t="s">
        <v>153</v>
      </c>
      <c r="K179" s="11" t="s">
        <v>154</v>
      </c>
      <c r="L179" s="10" t="s">
        <v>249</v>
      </c>
      <c r="M179" s="10" t="s">
        <v>250</v>
      </c>
      <c r="N179" s="86"/>
      <c r="O179" s="86"/>
      <c r="P179" s="85"/>
      <c r="Q179" s="86"/>
      <c r="R179" s="85"/>
      <c r="S179" s="85"/>
      <c r="T179" s="86"/>
      <c r="U179" s="86"/>
      <c r="V179" s="85"/>
      <c r="W179" s="86"/>
      <c r="X179" s="85"/>
      <c r="Y179" s="86"/>
      <c r="Z179" s="86"/>
      <c r="AA179" s="85"/>
      <c r="AB179" s="10" t="s">
        <v>252</v>
      </c>
      <c r="AC179" s="10" t="s">
        <v>252</v>
      </c>
      <c r="AD179" s="85"/>
      <c r="AE179" s="85"/>
      <c r="AF179" s="20">
        <f t="shared" si="25"/>
        <v>0</v>
      </c>
      <c r="AG179" s="13">
        <f t="shared" si="18"/>
        <v>0</v>
      </c>
      <c r="AH179" s="7">
        <f t="shared" si="19"/>
        <v>0</v>
      </c>
      <c r="AI179" s="7">
        <f t="shared" si="20"/>
        <v>0</v>
      </c>
      <c r="AJ179" s="7">
        <f t="shared" si="21"/>
        <v>0</v>
      </c>
      <c r="AK179" s="7">
        <f t="shared" si="22"/>
        <v>0</v>
      </c>
      <c r="AL179" s="12">
        <f t="shared" si="24"/>
        <v>0</v>
      </c>
      <c r="AM179" s="14" t="str">
        <f t="shared" si="23"/>
        <v>Unknown</v>
      </c>
      <c r="AN179" s="82"/>
      <c r="AO179" s="84"/>
      <c r="AP179" s="10" t="s">
        <v>503</v>
      </c>
    </row>
    <row r="180" spans="1:42" ht="16">
      <c r="A180" s="59">
        <v>45179</v>
      </c>
      <c r="C180" s="10">
        <v>15600486</v>
      </c>
      <c r="D180" s="10" t="s">
        <v>99</v>
      </c>
      <c r="E180" s="11">
        <v>10</v>
      </c>
      <c r="F180" s="39">
        <v>420111</v>
      </c>
      <c r="G180" s="39">
        <v>5994723</v>
      </c>
      <c r="H180" s="11" t="s">
        <v>179</v>
      </c>
      <c r="I180" s="11" t="s">
        <v>182</v>
      </c>
      <c r="K180" s="11" t="s">
        <v>183</v>
      </c>
      <c r="L180" s="10" t="s">
        <v>249</v>
      </c>
      <c r="M180" s="10" t="s">
        <v>250</v>
      </c>
      <c r="N180" s="86"/>
      <c r="O180" s="86"/>
      <c r="P180" s="85"/>
      <c r="Q180" s="86"/>
      <c r="R180" s="85"/>
      <c r="S180" s="85"/>
      <c r="T180" s="86"/>
      <c r="U180" s="86"/>
      <c r="V180" s="85"/>
      <c r="W180" s="86"/>
      <c r="X180" s="85"/>
      <c r="Y180" s="86"/>
      <c r="Z180" s="86"/>
      <c r="AA180" s="85"/>
      <c r="AB180" s="10" t="s">
        <v>252</v>
      </c>
      <c r="AC180" s="10" t="s">
        <v>252</v>
      </c>
      <c r="AD180" s="85"/>
      <c r="AE180" s="85"/>
      <c r="AF180" s="20">
        <f t="shared" si="25"/>
        <v>0</v>
      </c>
      <c r="AG180" s="13">
        <f t="shared" si="18"/>
        <v>0</v>
      </c>
      <c r="AH180" s="7">
        <f t="shared" si="19"/>
        <v>0</v>
      </c>
      <c r="AI180" s="7">
        <f t="shared" si="20"/>
        <v>0</v>
      </c>
      <c r="AJ180" s="7">
        <f t="shared" si="21"/>
        <v>0</v>
      </c>
      <c r="AK180" s="7">
        <f t="shared" si="22"/>
        <v>0</v>
      </c>
      <c r="AL180" s="12">
        <f t="shared" si="24"/>
        <v>0</v>
      </c>
      <c r="AM180" s="14" t="str">
        <f t="shared" si="23"/>
        <v>Unknown</v>
      </c>
      <c r="AN180" s="82"/>
      <c r="AO180" s="84"/>
      <c r="AP180" s="10" t="s">
        <v>504</v>
      </c>
    </row>
    <row r="181" spans="1:42" ht="32">
      <c r="A181" s="59">
        <v>45180</v>
      </c>
      <c r="C181" s="10">
        <v>15604176</v>
      </c>
      <c r="D181" s="10" t="s">
        <v>99</v>
      </c>
      <c r="E181" s="11">
        <v>10</v>
      </c>
      <c r="F181" s="39">
        <v>412266</v>
      </c>
      <c r="G181" s="39">
        <v>6001835</v>
      </c>
      <c r="H181" s="11" t="s">
        <v>137</v>
      </c>
      <c r="I181" s="11" t="s">
        <v>182</v>
      </c>
      <c r="K181" s="11" t="s">
        <v>197</v>
      </c>
      <c r="L181" s="10" t="s">
        <v>249</v>
      </c>
      <c r="M181" s="10" t="s">
        <v>250</v>
      </c>
      <c r="N181" s="86"/>
      <c r="O181" s="86"/>
      <c r="P181" s="85"/>
      <c r="Q181" s="86"/>
      <c r="R181" s="85"/>
      <c r="S181" s="85"/>
      <c r="T181" s="86"/>
      <c r="U181" s="86"/>
      <c r="V181" s="85"/>
      <c r="W181" s="86"/>
      <c r="X181" s="85"/>
      <c r="Y181" s="86"/>
      <c r="Z181" s="86"/>
      <c r="AA181" s="85"/>
      <c r="AB181" s="10" t="s">
        <v>252</v>
      </c>
      <c r="AC181" s="10" t="s">
        <v>252</v>
      </c>
      <c r="AD181" s="85"/>
      <c r="AE181" s="85"/>
      <c r="AF181" s="20">
        <f t="shared" si="25"/>
        <v>0</v>
      </c>
      <c r="AG181" s="13">
        <f t="shared" si="18"/>
        <v>0</v>
      </c>
      <c r="AH181" s="7">
        <f t="shared" si="19"/>
        <v>0</v>
      </c>
      <c r="AI181" s="7">
        <f t="shared" si="20"/>
        <v>0</v>
      </c>
      <c r="AJ181" s="7">
        <f t="shared" si="21"/>
        <v>0</v>
      </c>
      <c r="AK181" s="7">
        <f t="shared" si="22"/>
        <v>0</v>
      </c>
      <c r="AL181" s="12">
        <f t="shared" si="24"/>
        <v>0</v>
      </c>
      <c r="AM181" s="14" t="str">
        <f t="shared" si="23"/>
        <v>Unknown</v>
      </c>
      <c r="AN181" s="85"/>
      <c r="AO181" s="86"/>
      <c r="AP181" s="10" t="s">
        <v>505</v>
      </c>
    </row>
    <row r="182" spans="1:42" ht="16">
      <c r="A182" s="59">
        <v>45198</v>
      </c>
      <c r="C182" s="10">
        <v>5401513</v>
      </c>
      <c r="D182" s="10" t="s">
        <v>99</v>
      </c>
      <c r="E182" s="11">
        <v>10</v>
      </c>
      <c r="F182" s="39">
        <v>330328</v>
      </c>
      <c r="G182" s="39">
        <v>6009420</v>
      </c>
      <c r="H182" s="11" t="s">
        <v>215</v>
      </c>
      <c r="I182" s="11" t="s">
        <v>216</v>
      </c>
      <c r="K182" s="11" t="s">
        <v>183</v>
      </c>
      <c r="L182" s="10" t="s">
        <v>249</v>
      </c>
      <c r="M182" s="10" t="s">
        <v>250</v>
      </c>
      <c r="N182" s="86"/>
      <c r="O182" s="86"/>
      <c r="P182" s="85"/>
      <c r="Q182" s="86"/>
      <c r="R182" s="85"/>
      <c r="S182" s="85"/>
      <c r="T182" s="86"/>
      <c r="U182" s="86"/>
      <c r="V182" s="85"/>
      <c r="W182" s="86"/>
      <c r="X182" s="85"/>
      <c r="Y182" s="86"/>
      <c r="Z182" s="86"/>
      <c r="AA182" s="85"/>
      <c r="AB182" s="10" t="s">
        <v>252</v>
      </c>
      <c r="AC182" s="10" t="s">
        <v>252</v>
      </c>
      <c r="AD182" s="85"/>
      <c r="AE182" s="85"/>
      <c r="AF182" s="20">
        <f t="shared" si="25"/>
        <v>0</v>
      </c>
      <c r="AG182" s="13">
        <f t="shared" si="18"/>
        <v>0</v>
      </c>
      <c r="AH182" s="7">
        <f t="shared" si="19"/>
        <v>0</v>
      </c>
      <c r="AI182" s="7">
        <f t="shared" si="20"/>
        <v>0</v>
      </c>
      <c r="AJ182" s="7">
        <f t="shared" si="21"/>
        <v>0</v>
      </c>
      <c r="AK182" s="7">
        <f t="shared" si="22"/>
        <v>0</v>
      </c>
      <c r="AL182" s="12">
        <f t="shared" si="24"/>
        <v>0</v>
      </c>
      <c r="AM182" s="14" t="str">
        <f t="shared" si="23"/>
        <v>Unknown</v>
      </c>
      <c r="AN182" s="85"/>
      <c r="AO182" s="86"/>
      <c r="AP182" s="10" t="s">
        <v>506</v>
      </c>
    </row>
    <row r="183" spans="1:42">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42">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42">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42">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42">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42">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42">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42">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42">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42">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kmw8HTGgJyR3SQHYRFyHl2i5UT9+FQs2CK/qPG8gEokfQQzl6Ybr0A4xku6UbbfmcfGI4jRzqu1fSkHcPE13kA==" saltValue="+ckl7Mwz16t5rBuCxlNwqw==" spinCount="100000" sheet="1" objects="1" scenarios="1"/>
  <dataConsolidate/>
  <conditionalFormatting sqref="AO12:AO65536">
    <cfRule type="cellIs" priority="213" stopIfTrue="1" operator="lessThan">
      <formula>0</formula>
    </cfRule>
  </conditionalFormatting>
  <conditionalFormatting sqref="AF6:AF4998 AF5284:AF65536">
    <cfRule type="cellIs" dxfId="8" priority="201" stopIfTrue="1" operator="greaterThan">
      <formula>9999999999</formula>
    </cfRule>
  </conditionalFormatting>
  <conditionalFormatting sqref="AF4999:AF5283">
    <cfRule type="cellIs" dxfId="7"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6" priority="1" stopIfTrue="1" operator="greaterThan">
      <formula>9999999999</formula>
    </cfRule>
  </conditionalFormatting>
  <dataValidations count="556">
    <dataValidation type="list" allowBlank="1" showInputMessage="1" showErrorMessage="1" sqref="AM5284:AM65536" xr:uid="{00000000-0002-0000-0200-000000000000}">
      <formula1>"Passable, Potential, Barrier, Unkown"</formula1>
    </dataValidation>
    <dataValidation type="list" allowBlank="1" showInputMessage="1" showErrorMessage="1" sqref="M183: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179: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79: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5" xr:uid="{2C18CFD6-9047-0C4C-A265-E594662BAD0E}">
      <formula1>"Round Culvert,Oval Culvert,Concrete Box"</formula1>
    </dataValidation>
    <dataValidation type="decimal" allowBlank="1" showInputMessage="1" showErrorMessage="1" errorTitle="Invalid Diamter or Span" error="The Diameter or Span entered is invalid. Diameter or Span must be &gt; 0 and &lt; 300" sqref="N5" xr:uid="{0FB6EE3E-2A34-6B41-8F2B-C1780A162756}">
      <formula1>0.01</formula1>
      <formula2>300</formula2>
    </dataValidation>
    <dataValidation type="decimal" allowBlank="1" showInputMessage="1" showErrorMessage="1" errorTitle="Invalid value entered" error="The Average Depth Embededdment you entered is invalid. The Average Depth Embededdment must be &lt;= 7.09 and &gt;= 0.01" sqref="Q5" xr:uid="{C221F764-259F-B34E-87D9-A2EAEA859391}">
      <formula1>0.01</formula1>
      <formula2>7.09</formula2>
    </dataValidation>
    <dataValidation type="list" allowBlank="1" showInputMessage="1" showErrorMessage="1" errorTitle="Invalid value entered" error="The crossing subtype is not compatible with a crossing type of Closed Bottom Structure" sqref="M6" xr:uid="{48C96625-DBAB-424D-9486-BB2F370FFA20}">
      <formula1>"Round Culvert,Oval Culvert,Concrete Box"</formula1>
    </dataValidation>
    <dataValidation type="decimal" allowBlank="1" showInputMessage="1" showErrorMessage="1" errorTitle="Invalid Diamter or Span" error="The Diameter or Span entered is invalid. Diameter or Span must be &gt; 0 and &lt; 300" sqref="N6" xr:uid="{AD7DF782-FDC6-064D-9DD4-A8D8957BEC82}">
      <formula1>0.01</formula1>
      <formula2>300</formula2>
    </dataValidation>
    <dataValidation type="decimal" allowBlank="1" showInputMessage="1" showErrorMessage="1" errorTitle="Invalid value entered" error="The Average Depth Embededdment you entered is invalid. The Average Depth Embededdment must be &lt;= 3.59 and &gt;= 0.01" sqref="Q6" xr:uid="{EFF2FF98-5508-9F4D-8D5A-B5D383970940}">
      <formula1>0.01</formula1>
      <formula2>3.59</formula2>
    </dataValidation>
    <dataValidation type="list" allowBlank="1" showInputMessage="1" showErrorMessage="1" errorTitle="Invalid value entered" error="The crossing subtype is not compatible with a crossing type of Closed Bottom Structure" sqref="M7" xr:uid="{9F2B9F86-8C88-5640-90B7-C79453678F2E}">
      <formula1>"Round Culvert,Oval Culvert,Concrete Box"</formula1>
    </dataValidation>
    <dataValidation type="decimal" allowBlank="1" showInputMessage="1" showErrorMessage="1" errorTitle="Invalid Diamter or Span" error="The Diameter or Span entered is invalid. Diameter or Span must be &gt; 0 and &lt; 300" sqref="N7" xr:uid="{FEDDDDD4-79B0-934F-B612-712B79555CB2}">
      <formula1>0.01</formula1>
      <formula2>300</formula2>
    </dataValidation>
    <dataValidation type="decimal" allowBlank="1" showInputMessage="1" showErrorMessage="1" errorTitle="Invalid value entered" error="The Average Depth Embededdment you entered is invalid. The Average Depth Embededdment must be &lt;= 1.79 and &gt;= 0.01" sqref="Q7" xr:uid="{0DB9BFE3-FBAF-4C42-81F4-09862657F143}">
      <formula1>0.01</formula1>
      <formula2>1.79</formula2>
    </dataValidation>
    <dataValidation type="list" allowBlank="1" showInputMessage="1" showErrorMessage="1" errorTitle="Invalid value entered" error="The crossing subtype is not compatible with a crossing type of Closed Bottom Structure" sqref="M8" xr:uid="{FE6FBEEA-E365-D54F-BF60-439B46BFA2BD}">
      <formula1>"Round Culvert,Oval Culvert,Concrete Box"</formula1>
    </dataValidation>
    <dataValidation type="decimal" allowBlank="1" showInputMessage="1" showErrorMessage="1" errorTitle="Invalid Diamter or Span" error="The Diameter or Span entered is invalid. Diameter or Span must be &gt; 0 and &lt; 300" sqref="N8" xr:uid="{C083018B-BF00-C74E-9384-BD407B5C682C}">
      <formula1>0.01</formula1>
      <formula2>300</formula2>
    </dataValidation>
    <dataValidation type="decimal" allowBlank="1" showInputMessage="1" showErrorMessage="1" errorTitle="Invalid value entered" error="The Average Depth Embededdment you entered is invalid. The Average Depth Embededdment must be &lt;= 0.59 and &gt;= 0.01" sqref="Q8" xr:uid="{CE066E61-FDD1-CE47-A035-5305772F398B}">
      <formula1>0.01</formula1>
      <formula2>0.59</formula2>
    </dataValidation>
    <dataValidation type="list" allowBlank="1" showInputMessage="1" showErrorMessage="1" errorTitle="Invalid value entered" error="The crossing subtype is not compatible with a crossing type of Closed Bottom Structure" sqref="M9" xr:uid="{EEFDC5C4-68AE-7E4E-9617-CBF566764964}">
      <formula1>"Round Culvert,Oval Culvert,Concrete Box"</formula1>
    </dataValidation>
    <dataValidation type="decimal" allowBlank="1" showInputMessage="1" showErrorMessage="1" errorTitle="Invalid Diamter or Span" error="The Diameter or Span entered is invalid. Diameter or Span must be &gt; 0 and &lt; 300" sqref="N9" xr:uid="{F2911E46-6DF5-6748-801E-A89EBA6D8A29}">
      <formula1>0.01</formula1>
      <formula2>300</formula2>
    </dataValidation>
    <dataValidation type="decimal" allowBlank="1" showInputMessage="1" showErrorMessage="1" errorTitle="Invalid value entered" error="The Average Depth Embededdment you entered is invalid. The Average Depth Embededdment must be &lt;= 1.54 and &gt;= 0.01" sqref="Q9" xr:uid="{8375428A-A1E4-684B-98C9-F975B1ED1997}">
      <formula1>0.01</formula1>
      <formula2>1.54</formula2>
    </dataValidation>
    <dataValidation type="list" allowBlank="1" showInputMessage="1" showErrorMessage="1" errorTitle="Invalid value entered" error="The crossing subtype is not compatible with a crossing type of Closed Bottom Structure" sqref="M10" xr:uid="{266502C3-DCC9-2D44-9ECD-85DBF84CDEA1}">
      <formula1>"Round Culvert,Oval Culvert,Concrete Box"</formula1>
    </dataValidation>
    <dataValidation type="decimal" allowBlank="1" showInputMessage="1" showErrorMessage="1" errorTitle="Invalid Diamter or Span" error="The Diameter or Span entered is invalid. Diameter or Span must be &gt; 0 and &lt; 300" sqref="N10" xr:uid="{E7A71894-A698-2245-92B9-186F28AEEFE4}">
      <formula1>0.01</formula1>
      <formula2>300</formula2>
    </dataValidation>
    <dataValidation type="decimal" allowBlank="1" showInputMessage="1" showErrorMessage="1" errorTitle="Invalid value entered" error="The Average Depth Embededdment you entered is invalid. The Average Depth Embededdment must be &lt;= 0.89 and &gt;= 0.01" sqref="Q10" xr:uid="{97658102-AB5C-1D40-B2FF-7537A2E079F7}">
      <formula1>0.01</formula1>
      <formula2>0.89</formula2>
    </dataValidation>
    <dataValidation type="list" allowBlank="1" showInputMessage="1" showErrorMessage="1" errorTitle="Invalid value entered" error="The crossing subtype is not compatible with a crossing type of Closed Bottom Structure" sqref="M11" xr:uid="{3DAE8FF6-7EEA-E54A-8F7E-84E88E2728F8}">
      <formula1>"Round Culvert,Oval Culvert,Concrete Box"</formula1>
    </dataValidation>
    <dataValidation type="decimal" allowBlank="1" showInputMessage="1" showErrorMessage="1" errorTitle="Invalid Diamter or Span" error="The Diameter or Span entered is invalid. Diameter or Span must be &gt; 0 and &lt; 300" sqref="N11" xr:uid="{621397C7-E768-A54E-872E-6AEE8AA8D81C}">
      <formula1>0.01</formula1>
      <formula2>300</formula2>
    </dataValidation>
    <dataValidation type="decimal" allowBlank="1" showInputMessage="1" showErrorMessage="1" errorTitle="Invalid value entered" error="The Average Depth Embededdment you entered is invalid. The Average Depth Embededdment must be &lt;= 1.49 and &gt;= 0.01" sqref="Q11" xr:uid="{6A0F7355-C8F7-5B40-AD1C-6D6EE7780B3D}">
      <formula1>0.01</formula1>
      <formula2>1.49</formula2>
    </dataValidation>
    <dataValidation type="list" allowBlank="1" showInputMessage="1" showErrorMessage="1" errorTitle="Invalid value entered" error="The crossing subtype is not compatible with a crossing type of Closed Bottom Structure" sqref="M12" xr:uid="{32CB863F-118D-7D4B-8FE1-741F705D0620}">
      <formula1>"Round Culvert,Oval Culvert,Concrete Box"</formula1>
    </dataValidation>
    <dataValidation type="decimal" allowBlank="1" showInputMessage="1" showErrorMessage="1" errorTitle="Invalid Diamter or Span" error="The Diameter or Span entered is invalid. Diameter or Span must be &gt; 0 and &lt; 300" sqref="N12" xr:uid="{0F7B6253-EA02-3D48-B3AC-1CA437556264}">
      <formula1>0.01</formula1>
      <formula2>300</formula2>
    </dataValidation>
    <dataValidation type="decimal" allowBlank="1" showInputMessage="1" showErrorMessage="1" errorTitle="Invalid value entered" error="The Average Depth Embededdment you entered is invalid. The Average Depth Embededdment must be &lt;= 0.59 and &gt;= 0.01" sqref="Q12" xr:uid="{DB4EE4EB-E662-ED41-BA03-D0AD1C9A64A3}">
      <formula1>0.01</formula1>
      <formula2>0.59</formula2>
    </dataValidation>
    <dataValidation type="list" allowBlank="1" showInputMessage="1" showErrorMessage="1" errorTitle="Invalid value entered" error="The crossing subtype is not compatible with a crossing type of Closed Bottom Structure" sqref="M13" xr:uid="{01CA6B88-31B9-364F-A480-F893B50B47BB}">
      <formula1>"Round Culvert,Oval Culvert,Concrete Box"</formula1>
    </dataValidation>
    <dataValidation type="decimal" allowBlank="1" showInputMessage="1" showErrorMessage="1" errorTitle="Invalid Diamter or Span" error="The Diameter or Span entered is invalid. Diameter or Span must be &gt; 0 and &lt; 300" sqref="N13" xr:uid="{513567C1-2397-5B4B-8CD7-403413DF4A69}">
      <formula1>0.01</formula1>
      <formula2>300</formula2>
    </dataValidation>
    <dataValidation type="decimal" allowBlank="1" showInputMessage="1" showErrorMessage="1" errorTitle="Invalid value entered" error="The Average Depth Embededdment you entered is invalid. The Average Depth Embededdment must be &lt;= 0.99 and &gt;= 0.01" sqref="Q13" xr:uid="{DBA8A0D2-E84D-6446-B52B-C7A45C1A3CDB}">
      <formula1>0.01</formula1>
      <formula2>0.99</formula2>
    </dataValidation>
    <dataValidation type="list" allowBlank="1" showInputMessage="1" showErrorMessage="1" errorTitle="Invalid value entered" error="The crossing subtype is not compatible with a crossing type of Closed Bottom Structure" sqref="M14" xr:uid="{0A25F91D-A6A4-5746-812E-51ED1A63F9DF}">
      <formula1>"Round Culvert,Oval Culvert,Concrete Box"</formula1>
    </dataValidation>
    <dataValidation type="decimal" allowBlank="1" showInputMessage="1" showErrorMessage="1" errorTitle="Invalid Diamter or Span" error="The Diameter or Span entered is invalid. Diameter or Span must be &gt; 0 and &lt; 300" sqref="N14" xr:uid="{D07BF51D-7C75-094D-8B99-74789F2C0433}">
      <formula1>0.01</formula1>
      <formula2>300</formula2>
    </dataValidation>
    <dataValidation type="decimal" allowBlank="1" showInputMessage="1" showErrorMessage="1" errorTitle="Invalid value entered" error="The Average Depth Embededdment you entered is invalid. The Average Depth Embededdment must be &lt;= 1.09 and &gt;= 0.01" sqref="Q14" xr:uid="{2887793B-99BB-D04D-820C-9BBD307F51F7}">
      <formula1>0.01</formula1>
      <formula2>1.09</formula2>
    </dataValidation>
    <dataValidation type="list" allowBlank="1" showInputMessage="1" showErrorMessage="1" errorTitle="Invalid value entered" error="The crossing subtype is not compatible with a crossing type of Closed Bottom Structure" sqref="M15" xr:uid="{D68AEF3A-BA25-1F4B-A5B4-FEF3709DBEF6}">
      <formula1>"Round Culvert,Oval Culvert,Concrete Box"</formula1>
    </dataValidation>
    <dataValidation type="decimal" allowBlank="1" showInputMessage="1" showErrorMessage="1" errorTitle="Invalid Diamter or Span" error="The Diameter or Span entered is invalid. Diameter or Span must be &gt; 0 and &lt; 300" sqref="N15" xr:uid="{AC162CB0-8489-6F46-821F-CD046F749C27}">
      <formula1>0.01</formula1>
      <formula2>300</formula2>
    </dataValidation>
    <dataValidation type="decimal" allowBlank="1" showInputMessage="1" showErrorMessage="1" errorTitle="Invalid value entered" error="The Average Depth Embededdment you entered is invalid. The Average Depth Embededdment must be &lt;= 0.94 and &gt;= 0.01" sqref="Q15" xr:uid="{92019C16-B4AD-AD40-BB48-CE27079FA19F}">
      <formula1>0.01</formula1>
      <formula2>0.94</formula2>
    </dataValidation>
    <dataValidation type="list" allowBlank="1" showInputMessage="1" showErrorMessage="1" errorTitle="Invalid value entered" error="The crossing subtype is not compatible with a crossing type of Closed Bottom Structure" sqref="M16" xr:uid="{A60EA1AD-79D8-AC42-94F6-5B383B44E3AF}">
      <formula1>"Round Culvert,Oval Culvert,Concrete Box"</formula1>
    </dataValidation>
    <dataValidation type="decimal" allowBlank="1" showInputMessage="1" showErrorMessage="1" errorTitle="Invalid Diamter or Span" error="The Diameter or Span entered is invalid. Diameter or Span must be &gt; 0 and &lt; 300" sqref="N16" xr:uid="{2DDD1153-20CE-2347-9F95-C9CB064737ED}">
      <formula1>0.01</formula1>
      <formula2>300</formula2>
    </dataValidation>
    <dataValidation type="decimal" allowBlank="1" showInputMessage="1" showErrorMessage="1" errorTitle="Invalid value entered" error="The Average Depth Embededdment you entered is invalid. The Average Depth Embededdment must be &lt;= 1.44 and &gt;= 0.01" sqref="Q16" xr:uid="{879D4B5F-51E0-204C-9348-30B6743B1C70}">
      <formula1>0.01</formula1>
      <formula2>1.44</formula2>
    </dataValidation>
    <dataValidation type="list" allowBlank="1" showInputMessage="1" showErrorMessage="1" errorTitle="Invalid value entered" error="The crossing subtype is not compatible with a crossing type of Closed Bottom Structure" sqref="M17" xr:uid="{6A96DED8-DE0A-9D4C-B3AF-866959420BF7}">
      <formula1>"Round Culvert,Oval Culvert,Concrete Box"</formula1>
    </dataValidation>
    <dataValidation type="decimal" allowBlank="1" showInputMessage="1" showErrorMessage="1" errorTitle="Invalid Diamter or Span" error="The Diameter or Span entered is invalid. Diameter or Span must be &gt; 0 and &lt; 300" sqref="N17" xr:uid="{7C77D638-B3DE-364E-864C-00B8E7139B13}">
      <formula1>0.01</formula1>
      <formula2>300</formula2>
    </dataValidation>
    <dataValidation type="decimal" allowBlank="1" showInputMessage="1" showErrorMessage="1" errorTitle="Invalid value entered" error="The Average Depth Embededdment you entered is invalid. The Average Depth Embededdment must be &lt;= 1.19 and &gt;= 0.01" sqref="Q17" xr:uid="{D80773CA-2D79-3B47-8B1C-FCEE104F7E71}">
      <formula1>0.01</formula1>
      <formula2>1.19</formula2>
    </dataValidation>
    <dataValidation type="list" allowBlank="1" showInputMessage="1" showErrorMessage="1" errorTitle="Invalid value entered" error="The crossing subtype is not compatible with a crossing type of Closed Bottom Structure" sqref="M18" xr:uid="{9D61E1EA-8204-7B4A-B187-E1CE3F7F1CAE}">
      <formula1>"Round Culvert,Oval Culvert,Concrete Box"</formula1>
    </dataValidation>
    <dataValidation type="decimal" allowBlank="1" showInputMessage="1" showErrorMessage="1" errorTitle="Invalid Diamter or Span" error="The Diameter or Span entered is invalid. Diameter or Span must be &gt; 0 and &lt; 300" sqref="N18" xr:uid="{9C66D8F0-5DB1-BF4D-8C7B-8C1A2F1F5166}">
      <formula1>0.01</formula1>
      <formula2>300</formula2>
    </dataValidation>
    <dataValidation type="decimal" allowBlank="1" showInputMessage="1" showErrorMessage="1" errorTitle="Invalid value entered" error="The Average Depth Embededdment you entered is invalid. The Average Depth Embededdment must be &lt;= 0.89 and &gt;= 0.01" sqref="Q18" xr:uid="{8483448A-F435-A04B-9921-FCD7812A02D5}">
      <formula1>0.01</formula1>
      <formula2>0.89</formula2>
    </dataValidation>
    <dataValidation type="list" allowBlank="1" showInputMessage="1" showErrorMessage="1" errorTitle="Invalid value entered" error="The crossing subtype is not compatible with a crossing type of Closed Bottom Structure" sqref="M19" xr:uid="{FE75D79A-7A68-3849-A877-FF01F72E6C65}">
      <formula1>"Round Culvert,Oval Culvert,Concrete Box"</formula1>
    </dataValidation>
    <dataValidation type="decimal" allowBlank="1" showInputMessage="1" showErrorMessage="1" errorTitle="Invalid Diamter or Span" error="The Diameter or Span entered is invalid. Diameter or Span must be &gt; 0 and &lt; 300" sqref="N19" xr:uid="{47C9440D-B3DE-4F4D-B7CA-44249DA657B5}">
      <formula1>0.01</formula1>
      <formula2>300</formula2>
    </dataValidation>
    <dataValidation type="decimal" allowBlank="1" showInputMessage="1" showErrorMessage="1" errorTitle="Invalid value entered" error="The Average Depth Embededdment you entered is invalid. The Average Depth Embededdment must be &lt;= 1.49 and &gt;= 0.01" sqref="Q19" xr:uid="{C349D9F9-0AB7-4749-A703-C32CF330378A}">
      <formula1>0.01</formula1>
      <formula2>1.49</formula2>
    </dataValidation>
    <dataValidation type="list" allowBlank="1" showInputMessage="1" showErrorMessage="1" errorTitle="Invalid value entered" error="The crossing subtype is not compatible with a crossing type of Closed Bottom Structure" sqref="M20" xr:uid="{DFD3A79C-FDB1-E949-A3A6-5E13CB2C84BF}">
      <formula1>"Round Culvert,Oval Culvert,Concrete Box"</formula1>
    </dataValidation>
    <dataValidation type="decimal" allowBlank="1" showInputMessage="1" showErrorMessage="1" errorTitle="Invalid Diamter or Span" error="The Diameter or Span entered is invalid. Diameter or Span must be &gt; 0 and &lt; 300" sqref="N20" xr:uid="{B6193CB2-2A5A-C544-975E-D662C8D55728}">
      <formula1>0.01</formula1>
      <formula2>300</formula2>
    </dataValidation>
    <dataValidation type="decimal" allowBlank="1" showInputMessage="1" showErrorMessage="1" errorTitle="Invalid value entered" error="The Average Depth Embededdment you entered is invalid. The Average Depth Embededdment must be &lt;= 4.49 and &gt;= 0.01" sqref="Q20" xr:uid="{4F00E3F0-2117-2445-BF8D-021EC3D82A19}">
      <formula1>0.01</formula1>
      <formula2>4.49</formula2>
    </dataValidation>
    <dataValidation type="list" allowBlank="1" showInputMessage="1" showErrorMessage="1" errorTitle="Invalid value entered" error="The crossing subtype is not compatible with a crossing type of Closed Bottom Structure" sqref="M21" xr:uid="{C52E3E80-108F-EB48-969E-FB5E18560BFE}">
      <formula1>"Round Culvert,Oval Culvert,Concrete Box"</formula1>
    </dataValidation>
    <dataValidation type="decimal" allowBlank="1" showInputMessage="1" showErrorMessage="1" errorTitle="Invalid Diamter or Span" error="The Diameter or Span entered is invalid. Diameter or Span must be &gt; 0 and &lt; 300" sqref="N21" xr:uid="{66900A55-400E-4246-932E-0F326F461050}">
      <formula1>0.01</formula1>
      <formula2>300</formula2>
    </dataValidation>
    <dataValidation type="decimal" allowBlank="1" showInputMessage="1" showErrorMessage="1" errorTitle="Invalid value entered" error="The Average Depth Embededdment you entered is invalid. The Average Depth Embededdment must be &lt;= 4.99 and &gt;= 0.01" sqref="Q21" xr:uid="{9D8BB621-51B8-0F4A-9D67-6F24717C82A1}">
      <formula1>0.01</formula1>
      <formula2>4.99</formula2>
    </dataValidation>
    <dataValidation type="list" allowBlank="1" showInputMessage="1" showErrorMessage="1" errorTitle="Invalid value entered" error="The crossing subtype is not compatible with a crossing type of Closed Bottom Structure" sqref="M22" xr:uid="{383D5DD0-F95D-6A48-9AF3-B85B3746A028}">
      <formula1>"Round Culvert,Oval Culvert,Concrete Box"</formula1>
    </dataValidation>
    <dataValidation type="decimal" allowBlank="1" showInputMessage="1" showErrorMessage="1" errorTitle="Invalid Diamter or Span" error="The Diameter or Span entered is invalid. Diameter or Span must be &gt; 0 and &lt; 300" sqref="N22" xr:uid="{D37FC455-268B-2149-93F6-EC3C95C3C639}">
      <formula1>0.01</formula1>
      <formula2>300</formula2>
    </dataValidation>
    <dataValidation type="decimal" allowBlank="1" showInputMessage="1" showErrorMessage="1" errorTitle="Invalid value entered" error="The Average Depth Embededdment you entered is invalid. The Average Depth Embededdment must be &lt;= 2.19 and &gt;= 0.01" sqref="Q22" xr:uid="{4877B154-C852-1246-966D-6B667AA75608}">
      <formula1>0.01</formula1>
      <formula2>2.19</formula2>
    </dataValidation>
    <dataValidation type="list" allowBlank="1" showInputMessage="1" showErrorMessage="1" errorTitle="Invalid value entered" error="The crossing subtype is not compatible with a crossing type of Closed Bottom Structure" sqref="M23" xr:uid="{38587A94-8EEC-3747-81C4-4A20C80DB264}">
      <formula1>"Round Culvert,Oval Culvert,Concrete Box"</formula1>
    </dataValidation>
    <dataValidation type="decimal" allowBlank="1" showInputMessage="1" showErrorMessage="1" errorTitle="Invalid Diamter or Span" error="The Diameter or Span entered is invalid. Diameter or Span must be &gt; 0 and &lt; 300" sqref="N23" xr:uid="{20CF98E3-58BC-1F4F-8F39-115ABA7303BE}">
      <formula1>0.01</formula1>
      <formula2>300</formula2>
    </dataValidation>
    <dataValidation type="decimal" allowBlank="1" showInputMessage="1" showErrorMessage="1" errorTitle="Invalid value entered" error="The Average Depth Embededdment you entered is invalid. The Average Depth Embededdment must be &lt;= 3.19 and &gt;= 0.01" sqref="Q23" xr:uid="{71FFBA31-89CF-9341-B235-042789CC7D80}">
      <formula1>0.01</formula1>
      <formula2>3.19</formula2>
    </dataValidation>
    <dataValidation type="list" allowBlank="1" showInputMessage="1" showErrorMessage="1" errorTitle="Invalid value entered" error="The crossing subtype is not compatible with a crossing type of Closed Bottom Structure" sqref="M24" xr:uid="{7CABB7BA-8305-D349-A455-AA96E983416D}">
      <formula1>"Round Culvert,Oval Culvert,Concrete Box"</formula1>
    </dataValidation>
    <dataValidation type="decimal" allowBlank="1" showInputMessage="1" showErrorMessage="1" errorTitle="Invalid Diamter or Span" error="The Diameter or Span entered is invalid. Diameter or Span must be &gt; 0 and &lt; 300" sqref="N24" xr:uid="{58C15BFE-2557-E84D-A1CD-2E876E67F882}">
      <formula1>0.01</formula1>
      <formula2>300</formula2>
    </dataValidation>
    <dataValidation type="decimal" allowBlank="1" showInputMessage="1" showErrorMessage="1" errorTitle="Invalid value entered" error="The Average Depth Embededdment you entered is invalid. The Average Depth Embededdment must be &lt;= 2.49 and &gt;= 0.01" sqref="Q24" xr:uid="{90E7CDA9-D967-9C48-B3E9-D9A9ED28F973}">
      <formula1>0.01</formula1>
      <formula2>2.49</formula2>
    </dataValidation>
    <dataValidation type="list" allowBlank="1" showInputMessage="1" showErrorMessage="1" errorTitle="Invalid value entered" error="The crossing subtype is not compatible with a crossing type of Closed Bottom Structure" sqref="M25" xr:uid="{B987D18F-2319-2542-BEE0-D41DEAE2031B}">
      <formula1>"Round Culvert,Oval Culvert,Concrete Box"</formula1>
    </dataValidation>
    <dataValidation type="decimal" allowBlank="1" showInputMessage="1" showErrorMessage="1" errorTitle="Invalid Diamter or Span" error="The Diameter or Span entered is invalid. Diameter or Span must be &gt; 0 and &lt; 300" sqref="N25" xr:uid="{4EB86AE4-82DA-D942-A478-586F1F2E8336}">
      <formula1>0.01</formula1>
      <formula2>300</formula2>
    </dataValidation>
    <dataValidation type="decimal" allowBlank="1" showInputMessage="1" showErrorMessage="1" errorTitle="Invalid value entered" error="The Average Depth Embededdment you entered is invalid. The Average Depth Embededdment must be &lt;= 1.79 and &gt;= 0.01" sqref="Q25" xr:uid="{B46CE045-4EC2-3D45-98E8-F3A6C962BBCA}">
      <formula1>0.01</formula1>
      <formula2>1.79</formula2>
    </dataValidation>
    <dataValidation type="list" allowBlank="1" showInputMessage="1" showErrorMessage="1" errorTitle="Invalid value entered" error="The crossing subtype is not compatible with a crossing type of Closed Bottom Structure" sqref="M26" xr:uid="{68E862F1-0247-2749-8872-3CDFAA2EC539}">
      <formula1>"Round Culvert,Oval Culvert,Concrete Box"</formula1>
    </dataValidation>
    <dataValidation type="decimal" allowBlank="1" showInputMessage="1" showErrorMessage="1" errorTitle="Invalid Diamter or Span" error="The Diameter or Span entered is invalid. Diameter or Span must be &gt; 0 and &lt; 300" sqref="N26" xr:uid="{A2607152-50B7-174C-94AB-D8B6327E6D19}">
      <formula1>0.01</formula1>
      <formula2>300</formula2>
    </dataValidation>
    <dataValidation type="decimal" allowBlank="1" showInputMessage="1" showErrorMessage="1" errorTitle="Invalid value entered" error="The Average Depth Embededdment you entered is invalid. The Average Depth Embededdment must be &lt;= 0.49 and &gt;= 0.01" sqref="Q26" xr:uid="{DB28F16F-B383-844E-ABBF-888DE882D63A}">
      <formula1>0.01</formula1>
      <formula2>0.49</formula2>
    </dataValidation>
    <dataValidation type="list" allowBlank="1" showInputMessage="1" showErrorMessage="1" errorTitle="Invalid value entered" error="The crossing subtype is not compatible with a crossing type of Closed Bottom Structure" sqref="M27" xr:uid="{50DBD5D5-C368-FC48-8873-2E17FDBBC9C1}">
      <formula1>"Round Culvert,Oval Culvert,Concrete Box"</formula1>
    </dataValidation>
    <dataValidation type="decimal" allowBlank="1" showInputMessage="1" showErrorMessage="1" errorTitle="Invalid Diamter or Span" error="The Diameter or Span entered is invalid. Diameter or Span must be &gt; 0 and &lt; 300" sqref="N27" xr:uid="{44195082-EC64-F845-BF98-35CD8BDB1EE9}">
      <formula1>0.01</formula1>
      <formula2>300</formula2>
    </dataValidation>
    <dataValidation type="decimal" allowBlank="1" showInputMessage="1" showErrorMessage="1" errorTitle="Invalid value entered" error="The Average Depth Embededdment you entered is invalid. The Average Depth Embededdment must be &lt;= 1.69 and &gt;= 0.01" sqref="Q27" xr:uid="{7C2C8D65-24F3-7B4D-AB3F-FEEEFC34FDBB}">
      <formula1>0.01</formula1>
      <formula2>1.69</formula2>
    </dataValidation>
    <dataValidation type="list" allowBlank="1" showInputMessage="1" showErrorMessage="1" errorTitle="Invalid value entered" error="The crossing subtype is not compatible with a crossing type of Closed Bottom Structure" sqref="M28" xr:uid="{E91BD297-5C20-A741-9F25-5ED550177DD0}">
      <formula1>"Round Culvert,Oval Culvert,Concrete Box"</formula1>
    </dataValidation>
    <dataValidation type="decimal" allowBlank="1" showInputMessage="1" showErrorMessage="1" errorTitle="Invalid Diamter or Span" error="The Diameter or Span entered is invalid. Diameter or Span must be &gt; 0 and &lt; 300" sqref="N28" xr:uid="{0FFAC0C4-83AD-EE46-AEB1-C111A149C395}">
      <formula1>0.01</formula1>
      <formula2>300</formula2>
    </dataValidation>
    <dataValidation type="decimal" allowBlank="1" showInputMessage="1" showErrorMessage="1" errorTitle="Invalid value entered" error="The Average Depth Embededdment you entered is invalid. The Average Depth Embededdment must be &lt;= 2.99 and &gt;= 0.01" sqref="Q28" xr:uid="{BC09BD7C-6FAB-544F-B32C-33D1FA1579BE}">
      <formula1>0.01</formula1>
      <formula2>2.99</formula2>
    </dataValidation>
    <dataValidation type="list" allowBlank="1" showInputMessage="1" showErrorMessage="1" errorTitle="Invalid value entered" error="The crossing subtype is not compatible with a crossing type of Closed Bottom Structure" sqref="M29" xr:uid="{53EE7FD6-6C35-6C46-A128-182B2E7BD403}">
      <formula1>"Round Culvert,Oval Culvert,Concrete Box"</formula1>
    </dataValidation>
    <dataValidation type="decimal" allowBlank="1" showInputMessage="1" showErrorMessage="1" errorTitle="Invalid Diamter or Span" error="The Diameter or Span entered is invalid. Diameter or Span must be &gt; 0 and &lt; 300" sqref="N29" xr:uid="{CFB3F371-5D80-7B4F-BB0F-206A885F92CC}">
      <formula1>0.01</formula1>
      <formula2>300</formula2>
    </dataValidation>
    <dataValidation type="decimal" allowBlank="1" showInputMessage="1" showErrorMessage="1" errorTitle="Invalid value entered" error="The Average Depth Embededdment you entered is invalid. The Average Depth Embededdment must be &lt;= 3.89 and &gt;= 0.01" sqref="Q29" xr:uid="{886AFBC8-2688-2E40-985C-DF962DF01250}">
      <formula1>0.01</formula1>
      <formula2>3.89</formula2>
    </dataValidation>
    <dataValidation type="list" allowBlank="1" showInputMessage="1" showErrorMessage="1" errorTitle="Invalid value entered" error="The crossing subtype is not compatible with a crossing type of Closed Bottom Structure" sqref="M30" xr:uid="{6E5E2900-6F91-8A45-A5C4-21F1EAF0826E}">
      <formula1>"Round Culvert,Oval Culvert,Concrete Box"</formula1>
    </dataValidation>
    <dataValidation type="decimal" allowBlank="1" showInputMessage="1" showErrorMessage="1" errorTitle="Invalid Diamter or Span" error="The Diameter or Span entered is invalid. Diameter or Span must be &gt; 0 and &lt; 300" sqref="N30" xr:uid="{A612EECE-681F-5B4E-A585-5724020FE98A}">
      <formula1>0.01</formula1>
      <formula2>300</formula2>
    </dataValidation>
    <dataValidation type="decimal" allowBlank="1" showInputMessage="1" showErrorMessage="1" errorTitle="Invalid value entered" error="The Average Depth Embededdment you entered is invalid. The Average Depth Embededdment must be &lt;= 0.94 and &gt;= 0.01" sqref="Q30" xr:uid="{BAFACCA8-B04D-9243-A92D-265348596FBD}">
      <formula1>0.01</formula1>
      <formula2>0.94</formula2>
    </dataValidation>
    <dataValidation type="list" allowBlank="1" showInputMessage="1" showErrorMessage="1" errorTitle="Invalid value entered" error="The crossing subtype is not compatible with a crossing type of Closed Bottom Structure" sqref="M31" xr:uid="{685E5C23-4F49-1E49-9247-711125CF52FD}">
      <formula1>"Round Culvert,Oval Culvert,Concrete Box"</formula1>
    </dataValidation>
    <dataValidation type="decimal" allowBlank="1" showInputMessage="1" showErrorMessage="1" errorTitle="Invalid Diamter or Span" error="The Diameter or Span entered is invalid. Diameter or Span must be &gt; 0 and &lt; 300" sqref="N31" xr:uid="{C75E83E8-E9E9-BA43-829E-B5D51AD4B1A9}">
      <formula1>0.01</formula1>
      <formula2>300</formula2>
    </dataValidation>
    <dataValidation type="decimal" allowBlank="1" showInputMessage="1" showErrorMessage="1" errorTitle="Invalid value entered" error="The Average Depth Embededdment you entered is invalid. The Average Depth Embededdment must be &lt;= 1.59 and &gt;= 0.01" sqref="Q31" xr:uid="{C67B8E55-97D7-EB49-B814-2325C0143B21}">
      <formula1>0.01</formula1>
      <formula2>1.59</formula2>
    </dataValidation>
    <dataValidation type="list" allowBlank="1" showInputMessage="1" showErrorMessage="1" errorTitle="Invalid value entered" error="The crossing subtype is not compatible with a crossing type of Closed Bottom Structure" sqref="M32" xr:uid="{0EC7CCF3-D124-F340-B695-C86E2AB741E3}">
      <formula1>"Round Culvert,Oval Culvert,Concrete Box"</formula1>
    </dataValidation>
    <dataValidation type="decimal" allowBlank="1" showInputMessage="1" showErrorMessage="1" errorTitle="Invalid Diamter or Span" error="The Diameter or Span entered is invalid. Diameter or Span must be &gt; 0 and &lt; 300" sqref="N32" xr:uid="{39C7D544-7B2D-8B48-8E63-094EDD1F771B}">
      <formula1>0.01</formula1>
      <formula2>300</formula2>
    </dataValidation>
    <dataValidation type="decimal" allowBlank="1" showInputMessage="1" showErrorMessage="1" errorTitle="Invalid value entered" error="The Average Depth Embededdment you entered is invalid. The Average Depth Embededdment must be &lt;= 1.69 and &gt;= 0.01" sqref="Q32" xr:uid="{DD2B7160-A4B6-1A4D-849E-4722C4715B35}">
      <formula1>0.01</formula1>
      <formula2>1.69</formula2>
    </dataValidation>
    <dataValidation type="list" allowBlank="1" showInputMessage="1" showErrorMessage="1" errorTitle="Invalid value entered" error="The crossing subtype is not compatible with a crossing type of Closed Bottom Structure" sqref="M33" xr:uid="{BE9871A4-778E-0C4E-B81D-D63CD2EA4918}">
      <formula1>"Round Culvert,Oval Culvert,Concrete Box"</formula1>
    </dataValidation>
    <dataValidation type="decimal" allowBlank="1" showInputMessage="1" showErrorMessage="1" errorTitle="Invalid Diamter or Span" error="The Diameter or Span entered is invalid. Diameter or Span must be &gt; 0 and &lt; 300" sqref="N33" xr:uid="{5053DCD3-C6F3-E748-9C1E-E04A51C96FF7}">
      <formula1>0.01</formula1>
      <formula2>300</formula2>
    </dataValidation>
    <dataValidation type="decimal" allowBlank="1" showInputMessage="1" showErrorMessage="1" errorTitle="Invalid value entered" error="The Average Depth Embededdment you entered is invalid. The Average Depth Embededdment must be &lt;= 1.59 and &gt;= 0.01" sqref="Q33" xr:uid="{42FEAAE8-FCB3-5E46-8BF1-3D963E323CEA}">
      <formula1>0.01</formula1>
      <formula2>1.59</formula2>
    </dataValidation>
    <dataValidation type="list" allowBlank="1" showInputMessage="1" showErrorMessage="1" errorTitle="Invalid value entered" error="The crossing subtype is not compatible with a crossing type of Closed Bottom Structure" sqref="M34" xr:uid="{EA34C952-9138-4A4F-8894-813D62B64A80}">
      <formula1>"Round Culvert,Oval Culvert,Concrete Box"</formula1>
    </dataValidation>
    <dataValidation type="decimal" allowBlank="1" showInputMessage="1" showErrorMessage="1" errorTitle="Invalid Diamter or Span" error="The Diameter or Span entered is invalid. Diameter or Span must be &gt; 0 and &lt; 300" sqref="N34" xr:uid="{A97CD5FB-2CA2-E84A-A906-3163B888C605}">
      <formula1>0.01</formula1>
      <formula2>300</formula2>
    </dataValidation>
    <dataValidation type="decimal" allowBlank="1" showInputMessage="1" showErrorMessage="1" errorTitle="Invalid value entered" error="The Average Depth Embededdment you entered is invalid. The Average Depth Embededdment must be &lt;= 1.49 and &gt;= 0.01" sqref="Q34" xr:uid="{F5113F08-CD3A-4548-98FC-906AA3B5B67B}">
      <formula1>0.01</formula1>
      <formula2>1.49</formula2>
    </dataValidation>
    <dataValidation type="list" allowBlank="1" showInputMessage="1" showErrorMessage="1" errorTitle="Invalid value entered" error="The crossing subtype is not compatible with a crossing type of Closed Bottom Structure" sqref="M35" xr:uid="{7D49B50A-B1CA-7B46-9569-E35C3BD1F7EC}">
      <formula1>"Round Culvert,Oval Culvert,Concrete Box"</formula1>
    </dataValidation>
    <dataValidation type="decimal" allowBlank="1" showInputMessage="1" showErrorMessage="1" errorTitle="Invalid Diamter or Span" error="The Diameter or Span entered is invalid. Diameter or Span must be &gt; 0 and &lt; 300" sqref="N35" xr:uid="{94739ACF-7CA8-9040-A845-B5D57E20AE4B}">
      <formula1>0.01</formula1>
      <formula2>300</formula2>
    </dataValidation>
    <dataValidation type="decimal" allowBlank="1" showInputMessage="1" showErrorMessage="1" errorTitle="Invalid value entered" error="The Average Depth Embededdment you entered is invalid. The Average Depth Embededdment must be &lt;= 0.59 and &gt;= 0.01" sqref="Q35" xr:uid="{CAE66B25-2544-6447-9936-DA19BFD3F261}">
      <formula1>0.01</formula1>
      <formula2>0.59</formula2>
    </dataValidation>
    <dataValidation type="list" allowBlank="1" showInputMessage="1" showErrorMessage="1" errorTitle="Invalid value entered" error="The crossing subtype is not compatible with a crossing type of Closed Bottom Structure" sqref="M36" xr:uid="{277A0386-12F4-A04D-B0E7-766C202F3458}">
      <formula1>"Round Culvert,Oval Culvert,Concrete Box"</formula1>
    </dataValidation>
    <dataValidation type="decimal" allowBlank="1" showInputMessage="1" showErrorMessage="1" errorTitle="Invalid Diamter or Span" error="The Diameter or Span entered is invalid. Diameter or Span must be &gt; 0 and &lt; 300" sqref="N36" xr:uid="{ECAAA448-853D-F642-B930-13BFCE51141E}">
      <formula1>0.01</formula1>
      <formula2>300</formula2>
    </dataValidation>
    <dataValidation type="decimal" allowBlank="1" showInputMessage="1" showErrorMessage="1" errorTitle="Invalid value entered" error="The Average Depth Embededdment you entered is invalid. The Average Depth Embededdment must be &lt;= 0.79 and &gt;= 0.01" sqref="Q36" xr:uid="{68B16B39-8D75-7945-BC62-38A209C5DD75}">
      <formula1>0.01</formula1>
      <formula2>0.79</formula2>
    </dataValidation>
    <dataValidation type="list" allowBlank="1" showInputMessage="1" showErrorMessage="1" errorTitle="Invalid value entered" error="The crossing subtype is not compatible with a crossing type of Closed Bottom Structure" sqref="M37" xr:uid="{0A088AE2-8916-3D41-8295-88AE39285C5E}">
      <formula1>"Round Culvert,Oval Culvert,Concrete Box"</formula1>
    </dataValidation>
    <dataValidation type="decimal" allowBlank="1" showInputMessage="1" showErrorMessage="1" errorTitle="Invalid Diamter or Span" error="The Diameter or Span entered is invalid. Diameter or Span must be &gt; 0 and &lt; 300" sqref="N37" xr:uid="{EABC8F75-12E2-8D47-B9AE-862AE06BD464}">
      <formula1>0.01</formula1>
      <formula2>300</formula2>
    </dataValidation>
    <dataValidation type="decimal" allowBlank="1" showInputMessage="1" showErrorMessage="1" errorTitle="Invalid value entered" error="The Average Depth Embededdment you entered is invalid. The Average Depth Embededdment must be &lt;= 0.89 and &gt;= 0.01" sqref="Q37" xr:uid="{D044F63A-E3CF-8345-A9E4-64FBE9BBDA83}">
      <formula1>0.01</formula1>
      <formula2>0.89</formula2>
    </dataValidation>
    <dataValidation type="list" allowBlank="1" showInputMessage="1" showErrorMessage="1" errorTitle="Invalid value entered" error="The crossing subtype is not compatible with a crossing type of Closed Bottom Structure" sqref="M38" xr:uid="{97DD7294-09E9-384B-9E2B-F35235173049}">
      <formula1>"Round Culvert,Oval Culvert,Concrete Box"</formula1>
    </dataValidation>
    <dataValidation type="decimal" allowBlank="1" showInputMessage="1" showErrorMessage="1" errorTitle="Invalid Diamter or Span" error="The Diameter or Span entered is invalid. Diameter or Span must be &gt; 0 and &lt; 300" sqref="N38" xr:uid="{A42435E9-3F64-2045-9F6B-F84F92353187}">
      <formula1>0.01</formula1>
      <formula2>300</formula2>
    </dataValidation>
    <dataValidation type="decimal" allowBlank="1" showInputMessage="1" showErrorMessage="1" errorTitle="Invalid value entered" error="The Average Depth Embededdment you entered is invalid. The Average Depth Embededdment must be &lt;= 0.89 and &gt;= 0.01" sqref="Q38" xr:uid="{0C491D2B-D9D7-F54A-9EF5-EF9D0FE0898F}">
      <formula1>0.01</formula1>
      <formula2>0.89</formula2>
    </dataValidation>
    <dataValidation type="list" allowBlank="1" showInputMessage="1" showErrorMessage="1" errorTitle="Invalid value entered" error="The crossing subtype is not compatible with a crossing type of Closed Bottom Structure" sqref="M39" xr:uid="{1BBFF61B-6337-EC4B-8A39-2025FCB5E0FD}">
      <formula1>"Round Culvert,Oval Culvert,Concrete Box"</formula1>
    </dataValidation>
    <dataValidation type="decimal" allowBlank="1" showInputMessage="1" showErrorMessage="1" errorTitle="Invalid Diamter or Span" error="The Diameter or Span entered is invalid. Diameter or Span must be &gt; 0 and &lt; 300" sqref="N39" xr:uid="{792A24C1-249D-0A40-B00A-8629D95824F1}">
      <formula1>0.01</formula1>
      <formula2>300</formula2>
    </dataValidation>
    <dataValidation type="decimal" allowBlank="1" showInputMessage="1" showErrorMessage="1" errorTitle="Invalid value entered" error="The Average Depth Embededdment you entered is invalid. The Average Depth Embededdment must be &lt;= 2.99 and &gt;= 0.01" sqref="Q39" xr:uid="{48041205-627E-BA47-8570-99CD78368F8C}">
      <formula1>0.01</formula1>
      <formula2>2.99</formula2>
    </dataValidation>
    <dataValidation type="list" allowBlank="1" showInputMessage="1" showErrorMessage="1" errorTitle="Invalid value entered" error="The crossing subtype is not compatible with a crossing type of Closed Bottom Structure" sqref="M40" xr:uid="{04215EFA-7B97-6A40-9181-3185B1A83ECD}">
      <formula1>"Round Culvert,Oval Culvert,Concrete Box"</formula1>
    </dataValidation>
    <dataValidation type="decimal" allowBlank="1" showInputMessage="1" showErrorMessage="1" errorTitle="Invalid Diamter or Span" error="The Diameter or Span entered is invalid. Diameter or Span must be &gt; 0 and &lt; 300" sqref="N40" xr:uid="{AD0C952A-6A45-1F44-BA7A-B28361A302D8}">
      <formula1>0.01</formula1>
      <formula2>300</formula2>
    </dataValidation>
    <dataValidation type="decimal" allowBlank="1" showInputMessage="1" showErrorMessage="1" errorTitle="Invalid value entered" error="The Average Depth Embededdment you entered is invalid. The Average Depth Embededdment must be &lt;= 1.44 and &gt;= 0.01" sqref="Q40" xr:uid="{206E7DAB-AA24-F44B-8CB1-6674A1F1916A}">
      <formula1>0.01</formula1>
      <formula2>1.44</formula2>
    </dataValidation>
    <dataValidation type="list" allowBlank="1" showInputMessage="1" showErrorMessage="1" errorTitle="Invalid value entered" error="The crossing subtype is not compatible with a crossing type of Closed Bottom Structure" sqref="M41" xr:uid="{D19EE468-0704-C34F-A494-2B86C2669AC8}">
      <formula1>"Round Culvert,Oval Culvert,Concrete Box"</formula1>
    </dataValidation>
    <dataValidation type="decimal" allowBlank="1" showInputMessage="1" showErrorMessage="1" errorTitle="Invalid Diamter or Span" error="The Diameter or Span entered is invalid. Diameter or Span must be &gt; 0 and &lt; 300" sqref="N41" xr:uid="{416C8024-AAB7-3F4F-8AB3-A2FA7CD7EC4F}">
      <formula1>0.01</formula1>
      <formula2>300</formula2>
    </dataValidation>
    <dataValidation type="decimal" allowBlank="1" showInputMessage="1" showErrorMessage="1" errorTitle="Invalid value entered" error="The Average Depth Embededdment you entered is invalid. The Average Depth Embededdment must be &lt;= 1.39 and &gt;= 0.01" sqref="Q41" xr:uid="{BBE6356B-8DF8-714C-A1B8-26CFEA8C6165}">
      <formula1>0.01</formula1>
      <formula2>1.39</formula2>
    </dataValidation>
    <dataValidation type="list" allowBlank="1" showInputMessage="1" showErrorMessage="1" errorTitle="Invalid value entered" error="The crossing subtype is not compatible with a crossing type of Closed Bottom Structure" sqref="M42" xr:uid="{60644827-1A3E-734C-9F7F-B8352A7DF8C2}">
      <formula1>"Round Culvert,Oval Culvert,Concrete Box"</formula1>
    </dataValidation>
    <dataValidation type="decimal" allowBlank="1" showInputMessage="1" showErrorMessage="1" errorTitle="Invalid Diamter or Span" error="The Diameter or Span entered is invalid. Diameter or Span must be &gt; 0 and &lt; 300" sqref="N42" xr:uid="{62B6FBFE-1B5E-C746-877D-D7C241625B04}">
      <formula1>0.01</formula1>
      <formula2>300</formula2>
    </dataValidation>
    <dataValidation type="decimal" allowBlank="1" showInputMessage="1" showErrorMessage="1" errorTitle="Invalid value entered" error="The Average Depth Embededdment you entered is invalid. The Average Depth Embededdment must be &lt;= 3.59 and &gt;= 0.01" sqref="Q42" xr:uid="{E577EDCC-7678-F14C-802C-BC9BEC68961F}">
      <formula1>0.01</formula1>
      <formula2>3.59</formula2>
    </dataValidation>
    <dataValidation type="list" allowBlank="1" showInputMessage="1" showErrorMessage="1" errorTitle="Invalid value entered" error="The crossing subtype is not compatible with a crossing type of Closed Bottom Structure" sqref="M43" xr:uid="{7842626B-9B24-3342-A9CB-5841E34C6B0E}">
      <formula1>"Round Culvert,Oval Culvert,Concrete Box"</formula1>
    </dataValidation>
    <dataValidation type="decimal" allowBlank="1" showInputMessage="1" showErrorMessage="1" errorTitle="Invalid Diamter or Span" error="The Diameter or Span entered is invalid. Diameter or Span must be &gt; 0 and &lt; 300" sqref="N43" xr:uid="{027DACAB-0EEE-1340-9F62-442067711650}">
      <formula1>0.01</formula1>
      <formula2>300</formula2>
    </dataValidation>
    <dataValidation type="decimal" allowBlank="1" showInputMessage="1" showErrorMessage="1" errorTitle="Invalid value entered" error="The Average Depth Embededdment you entered is invalid. The Average Depth Embededdment must be &lt;= 1.19 and &gt;= 0.01" sqref="Q43" xr:uid="{0B28E54B-AE5D-1642-AA90-328D52E33272}">
      <formula1>0.01</formula1>
      <formula2>1.19</formula2>
    </dataValidation>
    <dataValidation type="list" allowBlank="1" showInputMessage="1" showErrorMessage="1" errorTitle="Invalid value entered" error="The crossing subtype is not compatible with a crossing type of Closed Bottom Structure" sqref="M44" xr:uid="{0ADF7225-6600-EE46-9917-B5A37F863B4D}">
      <formula1>"Round Culvert,Oval Culvert,Concrete Box"</formula1>
    </dataValidation>
    <dataValidation type="decimal" allowBlank="1" showInputMessage="1" showErrorMessage="1" errorTitle="Invalid Diamter or Span" error="The Diameter or Span entered is invalid. Diameter or Span must be &gt; 0 and &lt; 300" sqref="N44" xr:uid="{8152F3BC-50CD-F848-96EC-DAD54778535D}">
      <formula1>0.01</formula1>
      <formula2>300</formula2>
    </dataValidation>
    <dataValidation type="decimal" allowBlank="1" showInputMessage="1" showErrorMessage="1" errorTitle="Invalid value entered" error="The Average Depth Embededdment you entered is invalid. The Average Depth Embededdment must be &lt;= 0.89 and &gt;= 0.01" sqref="Q44" xr:uid="{F0E4E03A-BF64-8041-A5EC-5D9E0D175265}">
      <formula1>0.01</formula1>
      <formula2>0.89</formula2>
    </dataValidation>
    <dataValidation type="list" allowBlank="1" showInputMessage="1" showErrorMessage="1" errorTitle="Invalid value entered" error="The crossing subtype is not compatible with a crossing type of Closed Bottom Structure" sqref="M45" xr:uid="{4A04C7DA-887C-0642-B73E-1161677EFDC8}">
      <formula1>"Round Culvert,Oval Culvert,Concrete Box"</formula1>
    </dataValidation>
    <dataValidation type="decimal" allowBlank="1" showInputMessage="1" showErrorMessage="1" errorTitle="Invalid Diamter or Span" error="The Diameter or Span entered is invalid. Diameter or Span must be &gt; 0 and &lt; 300" sqref="N45" xr:uid="{3F38D6F7-CDD3-274A-9CB5-5BFF6FF5C983}">
      <formula1>0.01</formula1>
      <formula2>300</formula2>
    </dataValidation>
    <dataValidation type="decimal" allowBlank="1" showInputMessage="1" showErrorMessage="1" errorTitle="Invalid value entered" error="The Average Depth Embededdment you entered is invalid. The Average Depth Embededdment must be &lt;= 2.59 and &gt;= 0.01" sqref="Q45" xr:uid="{AECFA1EF-843D-5C47-9A47-58F56A240278}">
      <formula1>0.01</formula1>
      <formula2>2.59</formula2>
    </dataValidation>
    <dataValidation type="list" allowBlank="1" showInputMessage="1" showErrorMessage="1" errorTitle="Invalid value entered" error="The crossing subtype is not compatible with a crossing type of Closed Bottom Structure" sqref="M46" xr:uid="{AF39FA11-D7AA-FD49-964D-7FD7584B7999}">
      <formula1>"Round Culvert,Oval Culvert,Concrete Box"</formula1>
    </dataValidation>
    <dataValidation type="decimal" allowBlank="1" showInputMessage="1" showErrorMessage="1" errorTitle="Invalid Diamter or Span" error="The Diameter or Span entered is invalid. Diameter or Span must be &gt; 0 and &lt; 300" sqref="N46" xr:uid="{3BD0F5B0-5849-5447-9CAF-B967D39F9E11}">
      <formula1>0.01</formula1>
      <formula2>300</formula2>
    </dataValidation>
    <dataValidation type="decimal" allowBlank="1" showInputMessage="1" showErrorMessage="1" errorTitle="Invalid value entered" error="The Average Depth Embededdment you entered is invalid. The Average Depth Embededdment must be &lt;= 2.99 and &gt;= 0.01" sqref="Q46" xr:uid="{11D12E58-2260-BE46-9892-788299769FF6}">
      <formula1>0.01</formula1>
      <formula2>2.99</formula2>
    </dataValidation>
    <dataValidation type="list" allowBlank="1" showInputMessage="1" showErrorMessage="1" errorTitle="Invalid value entered" error="The crossing subtype is not compatible with a crossing type of Closed Bottom Structure" sqref="M47" xr:uid="{3B32F714-4761-C14C-A730-79993508E657}">
      <formula1>"Round Culvert,Oval Culvert,Concrete Box"</formula1>
    </dataValidation>
    <dataValidation type="decimal" allowBlank="1" showInputMessage="1" showErrorMessage="1" errorTitle="Invalid Diamter or Span" error="The Diameter or Span entered is invalid. Diameter or Span must be &gt; 0 and &lt; 300" sqref="N47" xr:uid="{BE459A42-D67A-3E4B-911D-C60B71A29DDC}">
      <formula1>0.01</formula1>
      <formula2>300</formula2>
    </dataValidation>
    <dataValidation type="decimal" allowBlank="1" showInputMessage="1" showErrorMessage="1" errorTitle="Invalid value entered" error="The Average Depth Embededdment you entered is invalid. The Average Depth Embededdment must be &lt;= 1.99 and &gt;= 0.01" sqref="Q47" xr:uid="{C21264D3-CE37-3C4A-B99E-6A9CC7AA7032}">
      <formula1>0.01</formula1>
      <formula2>1.99</formula2>
    </dataValidation>
    <dataValidation type="list" allowBlank="1" showInputMessage="1" showErrorMessage="1" errorTitle="Invalid value entered" error="The crossing subtype is not compatible with a crossing type of Closed Bottom Structure" sqref="M48" xr:uid="{00C8B8FE-0DC6-D849-A0F4-D723589A49AA}">
      <formula1>"Round Culvert,Oval Culvert,Concrete Box"</formula1>
    </dataValidation>
    <dataValidation type="decimal" allowBlank="1" showInputMessage="1" showErrorMessage="1" errorTitle="Invalid Diamter or Span" error="The Diameter or Span entered is invalid. Diameter or Span must be &gt; 0 and &lt; 300" sqref="N48" xr:uid="{65EFDF03-8A2C-A149-AC51-03C4E534AC3A}">
      <formula1>0.01</formula1>
      <formula2>300</formula2>
    </dataValidation>
    <dataValidation type="decimal" allowBlank="1" showInputMessage="1" showErrorMessage="1" errorTitle="Invalid value entered" error="The Average Depth Embededdment you entered is invalid. The Average Depth Embededdment must be &lt;= 0.89 and &gt;= 0.01" sqref="Q48" xr:uid="{1AB67528-0B74-814A-BB3A-D999E748A29B}">
      <formula1>0.01</formula1>
      <formula2>0.89</formula2>
    </dataValidation>
    <dataValidation type="list" allowBlank="1" showInputMessage="1" showErrorMessage="1" errorTitle="Invalid value entered" error="The crossing subtype is not compatible with a crossing type of Closed Bottom Structure" sqref="M49" xr:uid="{69B5B28A-1411-7647-B1F4-9E3DB7890C70}">
      <formula1>"Round Culvert,Oval Culvert,Concrete Box"</formula1>
    </dataValidation>
    <dataValidation type="decimal" allowBlank="1" showInputMessage="1" showErrorMessage="1" errorTitle="Invalid Diamter or Span" error="The Diameter or Span entered is invalid. Diameter or Span must be &gt; 0 and &lt; 300" sqref="N49" xr:uid="{A0097F21-080B-A349-9850-7F8CA76F25C4}">
      <formula1>0.01</formula1>
      <formula2>300</formula2>
    </dataValidation>
    <dataValidation type="decimal" allowBlank="1" showInputMessage="1" showErrorMessage="1" errorTitle="Invalid value entered" error="The Average Depth Embededdment you entered is invalid. The Average Depth Embededdment must be &lt;= 2.49 and &gt;= 0.01" sqref="Q49" xr:uid="{434F4566-669F-AE47-AD80-E94491C41EE6}">
      <formula1>0.01</formula1>
      <formula2>2.49</formula2>
    </dataValidation>
    <dataValidation type="list" allowBlank="1" showInputMessage="1" showErrorMessage="1" errorTitle="Invalid value entered" error="The crossing subtype is not compatible with a crossing type of Closed Bottom Structure" sqref="M50" xr:uid="{F95FD171-75CD-5F4E-89B7-CF7B5BF88AFD}">
      <formula1>"Round Culvert,Oval Culvert,Concrete Box"</formula1>
    </dataValidation>
    <dataValidation type="decimal" allowBlank="1" showInputMessage="1" showErrorMessage="1" errorTitle="Invalid Diamter or Span" error="The Diameter or Span entered is invalid. Diameter or Span must be &gt; 0 and &lt; 300" sqref="N50" xr:uid="{693BE8A6-E467-5F4E-B51C-3F9EDC218E2B}">
      <formula1>0.01</formula1>
      <formula2>300</formula2>
    </dataValidation>
    <dataValidation type="decimal" allowBlank="1" showInputMessage="1" showErrorMessage="1" errorTitle="Invalid value entered" error="The Average Depth Embededdment you entered is invalid. The Average Depth Embededdment must be &lt;= 2.59 and &gt;= 0.01" sqref="Q50" xr:uid="{59A387A4-2D96-854C-AB07-9C215D5976A2}">
      <formula1>0.01</formula1>
      <formula2>2.59</formula2>
    </dataValidation>
    <dataValidation type="list" allowBlank="1" showInputMessage="1" showErrorMessage="1" errorTitle="Invalid value entered" error="The crossing subtype is not compatible with a crossing type of Closed Bottom Structure" sqref="M51" xr:uid="{9F3D90E0-903C-B64D-9093-C06969EEF025}">
      <formula1>"Round Culvert,Oval Culvert,Concrete Box"</formula1>
    </dataValidation>
    <dataValidation type="decimal" allowBlank="1" showInputMessage="1" showErrorMessage="1" errorTitle="Invalid Diamter or Span" error="The Diameter or Span entered is invalid. Diameter or Span must be &gt; 0 and &lt; 300" sqref="N51" xr:uid="{CF456328-F2DC-EE4D-AD3C-D117685EA29E}">
      <formula1>0.01</formula1>
      <formula2>300</formula2>
    </dataValidation>
    <dataValidation type="decimal" allowBlank="1" showInputMessage="1" showErrorMessage="1" errorTitle="Invalid value entered" error="The Average Depth Embededdment you entered is invalid. The Average Depth Embededdment must be &lt;= 2.29 and &gt;= 0.01" sqref="Q51" xr:uid="{3063D6F6-083B-E643-BAD9-A96498D35556}">
      <formula1>0.01</formula1>
      <formula2>2.29</formula2>
    </dataValidation>
    <dataValidation type="list" allowBlank="1" showInputMessage="1" showErrorMessage="1" errorTitle="Invalid value entered" error="The crossing subtype is not compatible with a crossing type of Closed Bottom Structure" sqref="M52" xr:uid="{3DF5E56D-5218-5647-88A9-B0D873F7EB70}">
      <formula1>"Round Culvert,Oval Culvert,Concrete Box"</formula1>
    </dataValidation>
    <dataValidation type="decimal" allowBlank="1" showInputMessage="1" showErrorMessage="1" errorTitle="Invalid Diamter or Span" error="The Diameter or Span entered is invalid. Diameter or Span must be &gt; 0 and &lt; 300" sqref="N52" xr:uid="{16514C7F-A7B5-714B-BED8-FEF7FE2CDE2A}">
      <formula1>0.01</formula1>
      <formula2>300</formula2>
    </dataValidation>
    <dataValidation type="decimal" allowBlank="1" showInputMessage="1" showErrorMessage="1" errorTitle="Invalid value entered" error="The Average Depth Embededdment you entered is invalid. The Average Depth Embededdment must be &lt;= 2.19 and &gt;= 0.01" sqref="Q52" xr:uid="{5D742A14-180D-4141-8030-7C6383D7A643}">
      <formula1>0.01</formula1>
      <formula2>2.19</formula2>
    </dataValidation>
    <dataValidation type="list" allowBlank="1" showInputMessage="1" showErrorMessage="1" errorTitle="Invalid value entered" error="The crossing subtype is not compatible with a crossing type of Closed Bottom Structure" sqref="M53" xr:uid="{6243118C-8041-D748-AA80-C326DE34B9A2}">
      <formula1>"Round Culvert,Oval Culvert,Concrete Box"</formula1>
    </dataValidation>
    <dataValidation type="decimal" allowBlank="1" showInputMessage="1" showErrorMessage="1" errorTitle="Invalid Diamter or Span" error="The Diameter or Span entered is invalid. Diameter or Span must be &gt; 0 and &lt; 300" sqref="N53" xr:uid="{878EA8F0-B787-5542-8E49-4450C59F18BF}">
      <formula1>0.01</formula1>
      <formula2>300</formula2>
    </dataValidation>
    <dataValidation type="decimal" allowBlank="1" showInputMessage="1" showErrorMessage="1" errorTitle="Invalid value entered" error="The Average Depth Embededdment you entered is invalid. The Average Depth Embededdment must be &lt;= 2.59 and &gt;= 0.01" sqref="Q53" xr:uid="{0D9C0AE2-37F1-CE49-B975-2B61F20709FE}">
      <formula1>0.01</formula1>
      <formula2>2.59</formula2>
    </dataValidation>
    <dataValidation type="list" allowBlank="1" showInputMessage="1" showErrorMessage="1" errorTitle="Invalid value entered" error="The crossing subtype is not compatible with a crossing type of Closed Bottom Structure" sqref="M54" xr:uid="{784075C3-1644-504C-96A6-D68CF2ED7C76}">
      <formula1>"Round Culvert,Oval Culvert,Concrete Box"</formula1>
    </dataValidation>
    <dataValidation type="decimal" allowBlank="1" showInputMessage="1" showErrorMessage="1" errorTitle="Invalid Diamter or Span" error="The Diameter or Span entered is invalid. Diameter or Span must be &gt; 0 and &lt; 300" sqref="N54" xr:uid="{E20AFA66-CA22-6246-B709-BE64E001CC35}">
      <formula1>0.01</formula1>
      <formula2>300</formula2>
    </dataValidation>
    <dataValidation type="decimal" allowBlank="1" showInputMessage="1" showErrorMessage="1" errorTitle="Invalid value entered" error="The Average Depth Embededdment you entered is invalid. The Average Depth Embededdment must be &lt;= 1.19 and &gt;= 0.01" sqref="Q54" xr:uid="{6065068F-69F8-F044-B4A6-1A7B5DCDF23A}">
      <formula1>0.01</formula1>
      <formula2>1.19</formula2>
    </dataValidation>
    <dataValidation type="list" allowBlank="1" showInputMessage="1" showErrorMessage="1" errorTitle="Invalid value entered" error="The crossing subtype is not compatible with a crossing type of Closed Bottom Structure" sqref="M55" xr:uid="{CF2346FE-9E75-B44B-AF99-8CE78B182148}">
      <formula1>"Round Culvert,Oval Culvert,Concrete Box"</formula1>
    </dataValidation>
    <dataValidation type="decimal" allowBlank="1" showInputMessage="1" showErrorMessage="1" errorTitle="Invalid Diamter or Span" error="The Diameter or Span entered is invalid. Diameter or Span must be &gt; 0 and &lt; 300" sqref="N55" xr:uid="{04A01FD3-C1E0-D049-A76C-BED3857FB8BE}">
      <formula1>0.01</formula1>
      <formula2>300</formula2>
    </dataValidation>
    <dataValidation type="decimal" allowBlank="1" showInputMessage="1" showErrorMessage="1" errorTitle="Invalid value entered" error="The Average Depth Embededdment you entered is invalid. The Average Depth Embededdment must be &lt;= 3.99 and &gt;= 0.01" sqref="Q55" xr:uid="{78BC92C7-CB69-F94C-95DD-FDD2D097C224}">
      <formula1>0.01</formula1>
      <formula2>3.99</formula2>
    </dataValidation>
    <dataValidation type="list" allowBlank="1" showInputMessage="1" showErrorMessage="1" errorTitle="Invalid value entered" error="The crossing subtype is not compatible with a crossing type of Closed Bottom Structure" sqref="M56" xr:uid="{A6DE0DE4-1199-0442-9586-49DAD85B93F0}">
      <formula1>"Round Culvert,Oval Culvert,Concrete Box"</formula1>
    </dataValidation>
    <dataValidation type="decimal" allowBlank="1" showInputMessage="1" showErrorMessage="1" errorTitle="Invalid Diamter or Span" error="The Diameter or Span entered is invalid. Diameter or Span must be &gt; 0 and &lt; 300" sqref="N56" xr:uid="{4EC21B51-0E9E-A048-B232-591FAE8F78FB}">
      <formula1>0.01</formula1>
      <formula2>300</formula2>
    </dataValidation>
    <dataValidation type="decimal" allowBlank="1" showInputMessage="1" showErrorMessage="1" errorTitle="Invalid value entered" error="The Average Depth Embededdment you entered is invalid. The Average Depth Embededdment must be &lt;= 3.49 and &gt;= 0.01" sqref="Q56" xr:uid="{BDC5DBED-4204-5047-A312-6CC84D29C347}">
      <formula1>0.01</formula1>
      <formula2>3.49</formula2>
    </dataValidation>
    <dataValidation type="list" allowBlank="1" showInputMessage="1" showErrorMessage="1" errorTitle="Invalid value entered" error="The crossing subtype is not compatible with a crossing type of Closed Bottom Structure" sqref="M57" xr:uid="{3510FA3A-1C7E-5445-AFBD-14A2BEFBC472}">
      <formula1>"Round Culvert,Oval Culvert,Concrete Box"</formula1>
    </dataValidation>
    <dataValidation type="decimal" allowBlank="1" showInputMessage="1" showErrorMessage="1" errorTitle="Invalid Diamter or Span" error="The Diameter or Span entered is invalid. Diameter or Span must be &gt; 0 and &lt; 300" sqref="N57" xr:uid="{12CB43C0-983E-2546-8B33-81A126FD0B99}">
      <formula1>0.01</formula1>
      <formula2>300</formula2>
    </dataValidation>
    <dataValidation type="decimal" allowBlank="1" showInputMessage="1" showErrorMessage="1" errorTitle="Invalid value entered" error="The Average Depth Embededdment you entered is invalid. The Average Depth Embededdment must be &lt;= 2.59 and &gt;= 0.01" sqref="Q57" xr:uid="{29E9301D-E03F-904D-9295-42BE9E5850EF}">
      <formula1>0.01</formula1>
      <formula2>2.59</formula2>
    </dataValidation>
    <dataValidation type="list" allowBlank="1" showInputMessage="1" showErrorMessage="1" errorTitle="Invalid value entered" error="The crossing subtype is not compatible with a crossing type of Closed Bottom Structure" sqref="M58" xr:uid="{885B7DB1-C930-E34B-900B-A718CD3EBEAE}">
      <formula1>"Round Culvert,Oval Culvert,Concrete Box"</formula1>
    </dataValidation>
    <dataValidation type="decimal" allowBlank="1" showInputMessage="1" showErrorMessage="1" errorTitle="Invalid Diamter or Span" error="The Diameter or Span entered is invalid. Diameter or Span must be &gt; 0 and &lt; 300" sqref="N58" xr:uid="{A0EE92EC-541A-314A-B40B-767A49638100}">
      <formula1>0.01</formula1>
      <formula2>300</formula2>
    </dataValidation>
    <dataValidation type="decimal" allowBlank="1" showInputMessage="1" showErrorMessage="1" errorTitle="Invalid value entered" error="The Average Depth Embededdment you entered is invalid. The Average Depth Embededdment must be &lt;= 2.49 and &gt;= 0.01" sqref="Q58" xr:uid="{112A2354-18A9-E14E-AFD6-FF12F8633BD0}">
      <formula1>0.01</formula1>
      <formula2>2.49</formula2>
    </dataValidation>
    <dataValidation type="list" allowBlank="1" showInputMessage="1" showErrorMessage="1" errorTitle="Invalid value entered" error="The crossing subtype is not compatible with a crossing type of Closed Bottom Structure" sqref="M59" xr:uid="{11A73B97-AF7E-F749-BB83-1A6DC41D8F2D}">
      <formula1>"Round Culvert,Oval Culvert,Concrete Box"</formula1>
    </dataValidation>
    <dataValidation type="decimal" allowBlank="1" showInputMessage="1" showErrorMessage="1" errorTitle="Invalid Diamter or Span" error="The Diameter or Span entered is invalid. Diameter or Span must be &gt; 0 and &lt; 300" sqref="N59" xr:uid="{B4BF3BB8-95F0-D548-842B-6DF657FF7D42}">
      <formula1>0.01</formula1>
      <formula2>300</formula2>
    </dataValidation>
    <dataValidation type="decimal" allowBlank="1" showInputMessage="1" showErrorMessage="1" errorTitle="Invalid value entered" error="The Average Depth Embededdment you entered is invalid. The Average Depth Embededdment must be &lt;= 1.19 and &gt;= 0.01" sqref="Q59" xr:uid="{02DB48CD-4373-B64B-80B9-9DDAB68D74CD}">
      <formula1>0.01</formula1>
      <formula2>1.19</formula2>
    </dataValidation>
    <dataValidation type="list" allowBlank="1" showInputMessage="1" showErrorMessage="1" errorTitle="Invalid value entered" error="The crossing subtype is not compatible with a crossing type of Closed Bottom Structure" sqref="M60" xr:uid="{6278143C-A161-2643-B974-65078D80DE01}">
      <formula1>"Round Culvert,Oval Culvert,Concrete Box"</formula1>
    </dataValidation>
    <dataValidation type="decimal" allowBlank="1" showInputMessage="1" showErrorMessage="1" errorTitle="Invalid Diamter or Span" error="The Diameter or Span entered is invalid. Diameter or Span must be &gt; 0 and &lt; 300" sqref="N60" xr:uid="{BA1C7832-89A4-BC45-86ED-8C22CCCE1C62}">
      <formula1>0.01</formula1>
      <formula2>300</formula2>
    </dataValidation>
    <dataValidation type="decimal" allowBlank="1" showInputMessage="1" showErrorMessage="1" errorTitle="Invalid value entered" error="The Average Depth Embededdment you entered is invalid. The Average Depth Embededdment must be &lt;= 1.49 and &gt;= 0.01" sqref="Q60" xr:uid="{E6AE571D-E92A-134D-B0BE-7E3B09E3AC6D}">
      <formula1>0.01</formula1>
      <formula2>1.49</formula2>
    </dataValidation>
    <dataValidation type="list" allowBlank="1" showInputMessage="1" showErrorMessage="1" errorTitle="Invalid value entered" error="The crossing subtype is not compatible with a crossing type of Closed Bottom Structure" sqref="M61" xr:uid="{7927CC46-CD04-9144-9AFB-C095D1996619}">
      <formula1>"Round Culvert,Oval Culvert,Concrete Box"</formula1>
    </dataValidation>
    <dataValidation type="decimal" allowBlank="1" showInputMessage="1" showErrorMessage="1" errorTitle="Invalid Diamter or Span" error="The Diameter or Span entered is invalid. Diameter or Span must be &gt; 0 and &lt; 300" sqref="N61" xr:uid="{C73C58DD-9D01-0B45-ADC9-324675297762}">
      <formula1>0.01</formula1>
      <formula2>300</formula2>
    </dataValidation>
    <dataValidation type="decimal" allowBlank="1" showInputMessage="1" showErrorMessage="1" errorTitle="Invalid value entered" error="The Average Depth Embededdment you entered is invalid. The Average Depth Embededdment must be &lt;= 1.39 and &gt;= 0.01" sqref="Q61" xr:uid="{DDA52246-19FC-BD4C-9463-5A6B02B33B11}">
      <formula1>0.01</formula1>
      <formula2>1.39</formula2>
    </dataValidation>
    <dataValidation type="list" allowBlank="1" showInputMessage="1" showErrorMessage="1" errorTitle="Invalid value entered" error="The crossing subtype is not compatible with a crossing type of Closed Bottom Structure" sqref="M62" xr:uid="{DDC494E8-5824-6749-B062-38EBF90A9704}">
      <formula1>"Round Culvert,Oval Culvert,Concrete Box"</formula1>
    </dataValidation>
    <dataValidation type="decimal" allowBlank="1" showInputMessage="1" showErrorMessage="1" errorTitle="Invalid Diamter or Span" error="The Diameter or Span entered is invalid. Diameter or Span must be &gt; 0 and &lt; 300" sqref="N62" xr:uid="{3905B23D-0EBA-3F4F-9F4F-6A1290545374}">
      <formula1>0.01</formula1>
      <formula2>300</formula2>
    </dataValidation>
    <dataValidation type="decimal" allowBlank="1" showInputMessage="1" showErrorMessage="1" errorTitle="Invalid value entered" error="The Average Depth Embededdment you entered is invalid. The Average Depth Embededdment must be &lt;= 1.19 and &gt;= 0.01" sqref="Q62" xr:uid="{D3EB517F-9676-F54E-9607-DEB4F167C7AD}">
      <formula1>0.01</formula1>
      <formula2>1.19</formula2>
    </dataValidation>
    <dataValidation type="list" allowBlank="1" showInputMessage="1" showErrorMessage="1" errorTitle="Invalid value entered" error="The crossing subtype is not compatible with a crossing type of Closed Bottom Structure" sqref="M63" xr:uid="{25BE070D-11EB-AB4E-BAE9-485D403C0C24}">
      <formula1>"Round Culvert,Oval Culvert,Concrete Box"</formula1>
    </dataValidation>
    <dataValidation type="decimal" allowBlank="1" showInputMessage="1" showErrorMessage="1" errorTitle="Invalid Diamter or Span" error="The Diameter or Span entered is invalid. Diameter or Span must be &gt; 0 and &lt; 300" sqref="N63" xr:uid="{BF105210-9D19-F846-8D67-592C902707AB}">
      <formula1>0.01</formula1>
      <formula2>300</formula2>
    </dataValidation>
    <dataValidation type="decimal" allowBlank="1" showInputMessage="1" showErrorMessage="1" errorTitle="Invalid value entered" error="The Average Depth Embededdment you entered is invalid. The Average Depth Embededdment must be &lt;= 3.99 and &gt;= 0.01" sqref="Q63" xr:uid="{EF848753-2E48-E042-941F-85CEFEFEE87F}">
      <formula1>0.01</formula1>
      <formula2>3.99</formula2>
    </dataValidation>
    <dataValidation type="list" allowBlank="1" showInputMessage="1" showErrorMessage="1" errorTitle="Invalid value entered" error="The crossing subtype is not compatible with a crossing type of Closed Bottom Structure" sqref="M64" xr:uid="{74DE91AC-2BEC-C644-99E5-156E3A5A3173}">
      <formula1>"Round Culvert,Oval Culvert,Concrete Box"</formula1>
    </dataValidation>
    <dataValidation type="decimal" allowBlank="1" showInputMessage="1" showErrorMessage="1" errorTitle="Invalid Diamter or Span" error="The Diameter or Span entered is invalid. Diameter or Span must be &gt; 0 and &lt; 300" sqref="N64" xr:uid="{7A364CE7-4535-8E48-811E-502258E5E9EF}">
      <formula1>0.01</formula1>
      <formula2>300</formula2>
    </dataValidation>
    <dataValidation type="decimal" allowBlank="1" showInputMessage="1" showErrorMessage="1" errorTitle="Invalid value entered" error="The Average Depth Embededdment you entered is invalid. The Average Depth Embededdment must be &lt;= 0.89 and &gt;= 0.01" sqref="Q64" xr:uid="{582A56CB-AAD0-F74D-A132-99B1231A6078}">
      <formula1>0.01</formula1>
      <formula2>0.89</formula2>
    </dataValidation>
    <dataValidation type="list" allowBlank="1" showInputMessage="1" showErrorMessage="1" errorTitle="Invalid value entered" error="The crossing subtype is not compatible with a crossing type of Closed Bottom Structure" sqref="M65" xr:uid="{682E0EEA-D377-A547-9ED5-41C71B2352A5}">
      <formula1>"Round Culvert,Oval Culvert,Concrete Box"</formula1>
    </dataValidation>
    <dataValidation type="decimal" allowBlank="1" showInputMessage="1" showErrorMessage="1" errorTitle="Invalid Diamter or Span" error="The Diameter or Span entered is invalid. Diameter or Span must be &gt; 0 and &lt; 300" sqref="N65" xr:uid="{1730EF23-80D2-1D4E-A1C8-3BCBA144C000}">
      <formula1>0.01</formula1>
      <formula2>300</formula2>
    </dataValidation>
    <dataValidation type="decimal" allowBlank="1" showInputMessage="1" showErrorMessage="1" errorTitle="Invalid value entered" error="The Average Depth Embededdment you entered is invalid. The Average Depth Embededdment must be &lt;= 1.49 and &gt;= 0.01" sqref="Q65" xr:uid="{2CFDD21E-3064-504B-AFD5-69210079432C}">
      <formula1>0.01</formula1>
      <formula2>1.49</formula2>
    </dataValidation>
    <dataValidation type="list" allowBlank="1" showInputMessage="1" showErrorMessage="1" errorTitle="Invalid value entered" error="The crossing subtype is not compatible with a crossing type of Closed Bottom Structure" sqref="M66" xr:uid="{2276AB67-BC4E-BF4F-B792-8EE3CD6EAE92}">
      <formula1>"Round Culvert,Oval Culvert,Concrete Box"</formula1>
    </dataValidation>
    <dataValidation type="decimal" allowBlank="1" showInputMessage="1" showErrorMessage="1" errorTitle="Invalid Diamter or Span" error="The Diameter or Span entered is invalid. Diameter or Span must be &gt; 0 and &lt; 300" sqref="N66" xr:uid="{80CC034C-314D-9447-AF98-D08673E9A6B1}">
      <formula1>0.01</formula1>
      <formula2>300</formula2>
    </dataValidation>
    <dataValidation type="decimal" allowBlank="1" showInputMessage="1" showErrorMessage="1" errorTitle="Invalid value entered" error="The Average Depth Embededdment you entered is invalid. The Average Depth Embededdment must be &lt;= 1.79 and &gt;= 0.01" sqref="Q66" xr:uid="{0390CD8A-257A-6940-9CE3-2831AC8D3F1A}">
      <formula1>0.01</formula1>
      <formula2>1.79</formula2>
    </dataValidation>
    <dataValidation type="list" allowBlank="1" showInputMessage="1" showErrorMessage="1" errorTitle="Invalid value entered" error="The crossing subtype is not compatible with a crossing type of Closed Bottom Structure" sqref="M67" xr:uid="{227F2FB8-5461-2D44-8107-FE1D002B18A0}">
      <formula1>"Round Culvert,Oval Culvert,Concrete Box"</formula1>
    </dataValidation>
    <dataValidation type="decimal" allowBlank="1" showInputMessage="1" showErrorMessage="1" errorTitle="Invalid Diamter or Span" error="The Diameter or Span entered is invalid. Diameter or Span must be &gt; 0 and &lt; 300" sqref="N67" xr:uid="{46614277-0CCD-A341-9F08-12B0DDA635F2}">
      <formula1>0.01</formula1>
      <formula2>300</formula2>
    </dataValidation>
    <dataValidation type="decimal" allowBlank="1" showInputMessage="1" showErrorMessage="1" errorTitle="Invalid value entered" error="The Average Depth Embededdment you entered is invalid. The Average Depth Embededdment must be &lt;= 1.49 and &gt;= 0.01" sqref="Q67" xr:uid="{550B3A55-EC67-3348-9B5B-22F40E3BC436}">
      <formula1>0.01</formula1>
      <formula2>1.49</formula2>
    </dataValidation>
    <dataValidation type="list" allowBlank="1" showInputMessage="1" showErrorMessage="1" errorTitle="Invalid value entered" error="The crossing subtype is not compatible with a crossing type of Closed Bottom Structure" sqref="M68" xr:uid="{C3F9EA66-9745-C442-8A05-7D09EFEED887}">
      <formula1>"Round Culvert,Oval Culvert,Concrete Box"</formula1>
    </dataValidation>
    <dataValidation type="decimal" allowBlank="1" showInputMessage="1" showErrorMessage="1" errorTitle="Invalid Diamter or Span" error="The Diameter or Span entered is invalid. Diameter or Span must be &gt; 0 and &lt; 300" sqref="N68" xr:uid="{1C9489D2-583F-7049-98B5-33B7B5BF7ED6}">
      <formula1>0.01</formula1>
      <formula2>300</formula2>
    </dataValidation>
    <dataValidation type="decimal" allowBlank="1" showInputMessage="1" showErrorMessage="1" errorTitle="Invalid value entered" error="The Average Depth Embededdment you entered is invalid. The Average Depth Embededdment must be &lt;= 2.39 and &gt;= 0.01" sqref="Q68" xr:uid="{9AC4635B-CEC1-6C4E-B223-33845BB73933}">
      <formula1>0.01</formula1>
      <formula2>2.39</formula2>
    </dataValidation>
    <dataValidation type="list" allowBlank="1" showInputMessage="1" showErrorMessage="1" errorTitle="Invalid value entered" error="The crossing subtype is not compatible with a crossing type of Closed Bottom Structure" sqref="M69" xr:uid="{722D36E6-3CDA-BB4C-BFDB-3BEE9E70D08B}">
      <formula1>"Round Culvert,Oval Culvert,Concrete Box"</formula1>
    </dataValidation>
    <dataValidation type="decimal" allowBlank="1" showInputMessage="1" showErrorMessage="1" errorTitle="Invalid Diamter or Span" error="The Diameter or Span entered is invalid. Diameter or Span must be &gt; 0 and &lt; 300" sqref="N69" xr:uid="{68A59211-F97D-A14C-B7BF-C37A597067F3}">
      <formula1>0.01</formula1>
      <formula2>300</formula2>
    </dataValidation>
    <dataValidation type="decimal" allowBlank="1" showInputMessage="1" showErrorMessage="1" errorTitle="Invalid value entered" error="The Average Depth Embededdment you entered is invalid. The Average Depth Embededdment must be &lt;= 2.49 and &gt;= 0.01" sqref="Q69" xr:uid="{A8313421-B705-4248-9E50-B7D4B91FE4DF}">
      <formula1>0.01</formula1>
      <formula2>2.49</formula2>
    </dataValidation>
    <dataValidation type="list" allowBlank="1" showInputMessage="1" showErrorMessage="1" errorTitle="Invalid value entered" error="The crossing subtype is not compatible with a crossing type of Closed Bottom Structure" sqref="M70" xr:uid="{BA78082B-6CD9-1848-82DD-FD6C963E4D36}">
      <formula1>"Round Culvert,Oval Culvert,Concrete Box"</formula1>
    </dataValidation>
    <dataValidation type="decimal" allowBlank="1" showInputMessage="1" showErrorMessage="1" errorTitle="Invalid Diamter or Span" error="The Diameter or Span entered is invalid. Diameter or Span must be &gt; 0 and &lt; 300" sqref="N70" xr:uid="{AA08CDF1-EDF5-8E45-A670-5829AFC76F77}">
      <formula1>0.01</formula1>
      <formula2>300</formula2>
    </dataValidation>
    <dataValidation type="decimal" allowBlank="1" showInputMessage="1" showErrorMessage="1" errorTitle="Invalid value entered" error="The Average Depth Embededdment you entered is invalid. The Average Depth Embededdment must be &lt;= 1.99 and &gt;= 0.01" sqref="Q70" xr:uid="{6D81015F-22C7-8A4A-A306-981C1195AEC5}">
      <formula1>0.01</formula1>
      <formula2>1.99</formula2>
    </dataValidation>
    <dataValidation type="list" allowBlank="1" showInputMessage="1" showErrorMessage="1" errorTitle="Invalid value entered" error="The crossing subtype is not compatible with a crossing type of Closed Bottom Structure" sqref="M71" xr:uid="{5190FC62-0258-914B-936F-5F423983727A}">
      <formula1>"Round Culvert,Oval Culvert,Concrete Box"</formula1>
    </dataValidation>
    <dataValidation type="decimal" allowBlank="1" showInputMessage="1" showErrorMessage="1" errorTitle="Invalid Diamter or Span" error="The Diameter or Span entered is invalid. Diameter or Span must be &gt; 0 and &lt; 300" sqref="N71" xr:uid="{4A356BC6-0066-1648-B5FE-A8CA1ABD8675}">
      <formula1>0.01</formula1>
      <formula2>300</formula2>
    </dataValidation>
    <dataValidation type="decimal" allowBlank="1" showInputMessage="1" showErrorMessage="1" errorTitle="Invalid value entered" error="The Average Depth Embededdment you entered is invalid. The Average Depth Embededdment must be &lt;= 2.19 and &gt;= 0.01" sqref="Q71" xr:uid="{2D6A5556-B503-BD42-BB5A-A8B3E59A0858}">
      <formula1>0.01</formula1>
      <formula2>2.19</formula2>
    </dataValidation>
    <dataValidation type="list" allowBlank="1" showInputMessage="1" showErrorMessage="1" errorTitle="Invalid value entered" error="The crossing subtype is not compatible with a crossing type of Closed Bottom Structure" sqref="M72" xr:uid="{9F0709DE-8818-A94A-B4F0-4B200FCCDC1E}">
      <formula1>"Round Culvert,Oval Culvert,Concrete Box"</formula1>
    </dataValidation>
    <dataValidation type="decimal" allowBlank="1" showInputMessage="1" showErrorMessage="1" errorTitle="Invalid Diamter or Span" error="The Diameter or Span entered is invalid. Diameter or Span must be &gt; 0 and &lt; 300" sqref="N72" xr:uid="{9052AE49-C81F-0B44-AD63-4CEE34D3494D}">
      <formula1>0.01</formula1>
      <formula2>300</formula2>
    </dataValidation>
    <dataValidation type="decimal" allowBlank="1" showInputMessage="1" showErrorMessage="1" errorTitle="Invalid value entered" error="The Average Depth Embededdment you entered is invalid. The Average Depth Embededdment must be &lt;= 1.69 and &gt;= 0.01" sqref="Q72" xr:uid="{3D00066F-F824-7442-8947-71422ABCB9B8}">
      <formula1>0.01</formula1>
      <formula2>1.69</formula2>
    </dataValidation>
    <dataValidation type="list" allowBlank="1" showInputMessage="1" showErrorMessage="1" errorTitle="Invalid value entered" error="The crossing subtype is not compatible with a crossing type of Closed Bottom Structure" sqref="M73" xr:uid="{414DD79D-F525-7846-A393-83D726E8D740}">
      <formula1>"Round Culvert,Oval Culvert,Concrete Box"</formula1>
    </dataValidation>
    <dataValidation type="decimal" allowBlank="1" showInputMessage="1" showErrorMessage="1" errorTitle="Invalid Diamter or Span" error="The Diameter or Span entered is invalid. Diameter or Span must be &gt; 0 and &lt; 300" sqref="N73" xr:uid="{0BDB8763-7972-EC44-90F3-8BF8682417F0}">
      <formula1>0.01</formula1>
      <formula2>300</formula2>
    </dataValidation>
    <dataValidation type="decimal" allowBlank="1" showInputMessage="1" showErrorMessage="1" errorTitle="Invalid value entered" error="The Average Depth Embededdment you entered is invalid. The Average Depth Embededdment must be &lt;= 2.79 and &gt;= 0.01" sqref="Q73" xr:uid="{D647B984-40C3-1244-856B-EF9818ADD383}">
      <formula1>0.01</formula1>
      <formula2>2.79</formula2>
    </dataValidation>
    <dataValidation type="list" allowBlank="1" showInputMessage="1" showErrorMessage="1" errorTitle="Invalid value entered" error="The crossing subtype is not compatible with a crossing type of Closed Bottom Structure" sqref="M74" xr:uid="{AB0B548D-1BE3-4C42-9689-36F296B749B3}">
      <formula1>"Round Culvert,Oval Culvert,Concrete Box"</formula1>
    </dataValidation>
    <dataValidation type="decimal" allowBlank="1" showInputMessage="1" showErrorMessage="1" errorTitle="Invalid Diamter or Span" error="The Diameter or Span entered is invalid. Diameter or Span must be &gt; 0 and &lt; 300" sqref="N74" xr:uid="{0A615EF8-E30C-374B-9707-59237A40B7C4}">
      <formula1>0.01</formula1>
      <formula2>300</formula2>
    </dataValidation>
    <dataValidation type="decimal" allowBlank="1" showInputMessage="1" showErrorMessage="1" errorTitle="Invalid value entered" error="The Average Depth Embededdment you entered is invalid. The Average Depth Embededdment must be &lt;= 6.49 and &gt;= 0.01" sqref="Q74" xr:uid="{B939A0BE-F53C-B647-ABA5-DFC25F953DE4}">
      <formula1>0.01</formula1>
      <formula2>6.49</formula2>
    </dataValidation>
    <dataValidation type="list" allowBlank="1" showInputMessage="1" showErrorMessage="1" errorTitle="Invalid value entered" error="The crossing subtype is not compatible with a crossing type of Closed Bottom Structure" sqref="M75" xr:uid="{795FEA70-CC63-274E-95E9-AA0B1C091A29}">
      <formula1>"Round Culvert,Oval Culvert,Concrete Box"</formula1>
    </dataValidation>
    <dataValidation type="decimal" allowBlank="1" showInputMessage="1" showErrorMessage="1" errorTitle="Invalid Diamter or Span" error="The Diameter or Span entered is invalid. Diameter or Span must be &gt; 0 and &lt; 300" sqref="N75" xr:uid="{10E38EF0-EAB6-3144-B758-054BE7E02BC0}">
      <formula1>0.01</formula1>
      <formula2>300</formula2>
    </dataValidation>
    <dataValidation type="decimal" allowBlank="1" showInputMessage="1" showErrorMessage="1" errorTitle="Invalid value entered" error="The Average Depth Embededdment you entered is invalid. The Average Depth Embededdment must be &lt;= 0.89 and &gt;= 0.01" sqref="Q75" xr:uid="{F3398DD3-E9D4-6441-A1B5-8094A532EF16}">
      <formula1>0.01</formula1>
      <formula2>0.89</formula2>
    </dataValidation>
    <dataValidation type="list" allowBlank="1" showInputMessage="1" showErrorMessage="1" errorTitle="Invalid value entered" error="The crossing subtype is not compatible with a crossing type of Closed Bottom Structure" sqref="M76" xr:uid="{90468C49-9E7B-5F46-A61E-9EF2B9375AA8}">
      <formula1>"Round Culvert,Oval Culvert,Concrete Box"</formula1>
    </dataValidation>
    <dataValidation type="decimal" allowBlank="1" showInputMessage="1" showErrorMessage="1" errorTitle="Invalid Diamter or Span" error="The Diameter or Span entered is invalid. Diameter or Span must be &gt; 0 and &lt; 300" sqref="N76" xr:uid="{44CDC701-48EC-F74A-8AF2-12665FB33FF2}">
      <formula1>0.01</formula1>
      <formula2>300</formula2>
    </dataValidation>
    <dataValidation type="decimal" allowBlank="1" showInputMessage="1" showErrorMessage="1" errorTitle="Invalid value entered" error="The Average Depth Embededdment you entered is invalid. The Average Depth Embededdment must be &lt;= 0.59 and &gt;= 0.01" sqref="Q76" xr:uid="{7BE3EB17-2107-3E4E-9A5F-BF65792106A6}">
      <formula1>0.01</formula1>
      <formula2>0.59</formula2>
    </dataValidation>
    <dataValidation type="list" allowBlank="1" showInputMessage="1" showErrorMessage="1" errorTitle="Invalid value entered" error="The crossing subtype is not compatible with a crossing type of Closed Bottom Structure" sqref="M77" xr:uid="{F084B308-1DF3-A54E-94A9-55979ADB1B7B}">
      <formula1>"Round Culvert,Oval Culvert,Concrete Box"</formula1>
    </dataValidation>
    <dataValidation type="decimal" allowBlank="1" showInputMessage="1" showErrorMessage="1" errorTitle="Invalid Diamter or Span" error="The Diameter or Span entered is invalid. Diameter or Span must be &gt; 0 and &lt; 300" sqref="N77" xr:uid="{858E7104-2D2D-9B45-ADDE-FCD2C9BCA620}">
      <formula1>0.01</formula1>
      <formula2>300</formula2>
    </dataValidation>
    <dataValidation type="decimal" allowBlank="1" showInputMessage="1" showErrorMessage="1" errorTitle="Invalid value entered" error="The Average Depth Embededdment you entered is invalid. The Average Depth Embededdment must be &lt;= 0.59 and &gt;= 0.01" sqref="Q77" xr:uid="{D64C6B23-F1C0-F448-BF0B-11512649442F}">
      <formula1>0.01</formula1>
      <formula2>0.59</formula2>
    </dataValidation>
    <dataValidation type="list" allowBlank="1" showInputMessage="1" showErrorMessage="1" errorTitle="Invalid value entered" error="The crossing subtype is not compatible with a crossing type of Closed Bottom Structure" sqref="M78" xr:uid="{92E6B6AD-704A-3C41-9C3B-EAD3A725871D}">
      <formula1>"Round Culvert,Oval Culvert,Concrete Box"</formula1>
    </dataValidation>
    <dataValidation type="decimal" allowBlank="1" showInputMessage="1" showErrorMessage="1" errorTitle="Invalid Diamter or Span" error="The Diameter or Span entered is invalid. Diameter or Span must be &gt; 0 and &lt; 300" sqref="N78" xr:uid="{521D9A04-6ACE-FA42-8CA9-07FD55A3A116}">
      <formula1>0.01</formula1>
      <formula2>300</formula2>
    </dataValidation>
    <dataValidation type="decimal" allowBlank="1" showInputMessage="1" showErrorMessage="1" errorTitle="Invalid value entered" error="The Average Depth Embededdment you entered is invalid. The Average Depth Embededdment must be &lt;= 2.49 and &gt;= 0.01" sqref="Q78" xr:uid="{833021B8-6857-FD48-9FFD-9B58D6C821E0}">
      <formula1>0.01</formula1>
      <formula2>2.49</formula2>
    </dataValidation>
    <dataValidation type="list" allowBlank="1" showInputMessage="1" showErrorMessage="1" errorTitle="Invalid value entered" error="The crossing subtype is not compatible with a crossing type of Closed Bottom Structure" sqref="M79" xr:uid="{DDEE28F6-517A-7247-94DF-780111C796A7}">
      <formula1>"Round Culvert,Oval Culvert,Concrete Box"</formula1>
    </dataValidation>
    <dataValidation type="decimal" allowBlank="1" showInputMessage="1" showErrorMessage="1" errorTitle="Invalid Diamter or Span" error="The Diameter or Span entered is invalid. Diameter or Span must be &gt; 0 and &lt; 300" sqref="N79" xr:uid="{62D2B724-D6F0-574B-876B-7DF1E1408469}">
      <formula1>0.01</formula1>
      <formula2>300</formula2>
    </dataValidation>
    <dataValidation type="decimal" allowBlank="1" showInputMessage="1" showErrorMessage="1" errorTitle="Invalid value entered" error="The Average Depth Embededdment you entered is invalid. The Average Depth Embededdment must be &lt;= 3.09 and &gt;= 0.01" sqref="Q79" xr:uid="{F93A72CB-BD12-9E45-BD1A-2EAD54DE500F}">
      <formula1>0.01</formula1>
      <formula2>3.09</formula2>
    </dataValidation>
    <dataValidation type="list" allowBlank="1" showInputMessage="1" showErrorMessage="1" errorTitle="Invalid value entered" error="The crossing subtype is not compatible with a crossing type of Closed Bottom Structure" sqref="M80" xr:uid="{C340A9E2-B387-6645-857A-F570BC568148}">
      <formula1>"Round Culvert,Oval Culvert,Concrete Box"</formula1>
    </dataValidation>
    <dataValidation type="decimal" allowBlank="1" showInputMessage="1" showErrorMessage="1" errorTitle="Invalid Diamter or Span" error="The Diameter or Span entered is invalid. Diameter or Span must be &gt; 0 and &lt; 300" sqref="N80" xr:uid="{C40884B4-A2F0-F04C-9AA0-9F3CF12B86CE}">
      <formula1>0.01</formula1>
      <formula2>300</formula2>
    </dataValidation>
    <dataValidation type="decimal" allowBlank="1" showInputMessage="1" showErrorMessage="1" errorTitle="Invalid value entered" error="The Average Depth Embededdment you entered is invalid. The Average Depth Embededdment must be &lt;= 0.59 and &gt;= 0.01" sqref="Q80" xr:uid="{56B18621-10C2-2240-B2D4-7E3B0E53413D}">
      <formula1>0.01</formula1>
      <formula2>0.59</formula2>
    </dataValidation>
    <dataValidation type="list" allowBlank="1" showInputMessage="1" showErrorMessage="1" errorTitle="Invalid value entered" error="The crossing subtype is not compatible with a crossing type of Closed Bottom Structure" sqref="M81" xr:uid="{4F580292-C2EF-224A-97C9-2A4CF5ACC0C3}">
      <formula1>"Round Culvert,Oval Culvert,Concrete Box"</formula1>
    </dataValidation>
    <dataValidation type="decimal" allowBlank="1" showInputMessage="1" showErrorMessage="1" errorTitle="Invalid Diamter or Span" error="The Diameter or Span entered is invalid. Diameter or Span must be &gt; 0 and &lt; 300" sqref="N81" xr:uid="{B13B5565-02DB-364F-8D20-E57671AF2701}">
      <formula1>0.01</formula1>
      <formula2>300</formula2>
    </dataValidation>
    <dataValidation type="decimal" allowBlank="1" showInputMessage="1" showErrorMessage="1" errorTitle="Invalid value entered" error="The Average Depth Embededdment you entered is invalid. The Average Depth Embededdment must be &lt;= 2.69 and &gt;= 0.01" sqref="Q81" xr:uid="{1093783B-7AC1-DC45-B254-4C9913E9D2D6}">
      <formula1>0.01</formula1>
      <formula2>2.69</formula2>
    </dataValidation>
    <dataValidation type="list" allowBlank="1" showInputMessage="1" showErrorMessage="1" errorTitle="Invalid value entered" error="The crossing subtype is not compatible with a crossing type of Closed Bottom Structure" sqref="M82" xr:uid="{56DAA857-A614-F14E-9371-6567CD8F7337}">
      <formula1>"Round Culvert,Oval Culvert,Concrete Box"</formula1>
    </dataValidation>
    <dataValidation type="decimal" allowBlank="1" showInputMessage="1" showErrorMessage="1" errorTitle="Invalid Diamter or Span" error="The Diameter or Span entered is invalid. Diameter or Span must be &gt; 0 and &lt; 300" sqref="N82" xr:uid="{425666E6-F038-F943-AD70-0F257CB48AAF}">
      <formula1>0.01</formula1>
      <formula2>300</formula2>
    </dataValidation>
    <dataValidation type="decimal" allowBlank="1" showInputMessage="1" showErrorMessage="1" errorTitle="Invalid value entered" error="The Average Depth Embededdment you entered is invalid. The Average Depth Embededdment must be &lt;= 1.79 and &gt;= 0.01" sqref="Q82" xr:uid="{8D8E3DBB-3872-A840-A808-169D318D2FEF}">
      <formula1>0.01</formula1>
      <formula2>1.79</formula2>
    </dataValidation>
    <dataValidation type="list" allowBlank="1" showInputMessage="1" showErrorMessage="1" errorTitle="Invalid value entered" error="The crossing subtype is not compatible with a crossing type of Closed Bottom Structure" sqref="M83" xr:uid="{23426C7F-0F8A-BB48-A318-542690A8AD2E}">
      <formula1>"Round Culvert,Oval Culvert,Concrete Box"</formula1>
    </dataValidation>
    <dataValidation type="decimal" allowBlank="1" showInputMessage="1" showErrorMessage="1" errorTitle="Invalid Diamter or Span" error="The Diameter or Span entered is invalid. Diameter or Span must be &gt; 0 and &lt; 300" sqref="N83" xr:uid="{2EFEDA4D-680E-1B4D-8EB4-3FC36D4CB9F0}">
      <formula1>0.01</formula1>
      <formula2>300</formula2>
    </dataValidation>
    <dataValidation type="decimal" allowBlank="1" showInputMessage="1" showErrorMessage="1" errorTitle="Invalid value entered" error="The Average Depth Embededdment you entered is invalid. The Average Depth Embededdment must be &lt;= 1.79 and &gt;= 0.01" sqref="Q83" xr:uid="{F57B4F6D-6326-BB4E-8F6E-65251A3AAA6D}">
      <formula1>0.01</formula1>
      <formula2>1.79</formula2>
    </dataValidation>
    <dataValidation type="list" allowBlank="1" showInputMessage="1" showErrorMessage="1" errorTitle="Invalid value entered" error="The crossing subtype is not compatible with a crossing type of Closed Bottom Structure" sqref="M84" xr:uid="{D523C41D-865B-EA46-8C31-3A82F7450BF9}">
      <formula1>"Round Culvert,Oval Culvert,Concrete Box"</formula1>
    </dataValidation>
    <dataValidation type="decimal" allowBlank="1" showInputMessage="1" showErrorMessage="1" errorTitle="Invalid Diamter or Span" error="The Diameter or Span entered is invalid. Diameter or Span must be &gt; 0 and &lt; 300" sqref="N84" xr:uid="{CEE255A8-4313-694F-A4B5-21D5FDC3ECD8}">
      <formula1>0.01</formula1>
      <formula2>300</formula2>
    </dataValidation>
    <dataValidation type="decimal" allowBlank="1" showInputMessage="1" showErrorMessage="1" errorTitle="Invalid value entered" error="The Average Depth Embededdment you entered is invalid. The Average Depth Embededdment must be &lt;= 1.99 and &gt;= 0.01" sqref="Q84" xr:uid="{CCB956B1-12DC-5B4C-9304-C6B02519E0AD}">
      <formula1>0.01</formula1>
      <formula2>1.99</formula2>
    </dataValidation>
    <dataValidation type="list" allowBlank="1" showInputMessage="1" showErrorMessage="1" errorTitle="Invalid value entered" error="The crossing subtype is not compatible with a crossing type of Closed Bottom Structure" sqref="M85" xr:uid="{F252B468-29B0-E047-AAC2-6CCFB42967CB}">
      <formula1>"Round Culvert,Oval Culvert,Concrete Box"</formula1>
    </dataValidation>
    <dataValidation type="decimal" allowBlank="1" showInputMessage="1" showErrorMessage="1" errorTitle="Invalid Diamter or Span" error="The Diameter or Span entered is invalid. Diameter or Span must be &gt; 0 and &lt; 300" sqref="N85" xr:uid="{DD2B434B-A67E-CB42-B5C1-19D8B4C53465}">
      <formula1>0.01</formula1>
      <formula2>300</formula2>
    </dataValidation>
    <dataValidation type="decimal" allowBlank="1" showInputMessage="1" showErrorMessage="1" errorTitle="Invalid value entered" error="The Average Depth Embededdment you entered is invalid. The Average Depth Embededdment must be &lt;= 0.89 and &gt;= 0.01" sqref="Q85" xr:uid="{E9350FE3-CEF9-B74F-8381-2D5B58CF733C}">
      <formula1>0.01</formula1>
      <formula2>0.89</formula2>
    </dataValidation>
    <dataValidation type="list" allowBlank="1" showInputMessage="1" showErrorMessage="1" errorTitle="Invalid value entered" error="The crossing subtype is not compatible with a crossing type of Closed Bottom Structure" sqref="M86" xr:uid="{8A787E20-9EB9-0049-B408-CA6DAA88ACC7}">
      <formula1>"Round Culvert,Oval Culvert,Concrete Box"</formula1>
    </dataValidation>
    <dataValidation type="decimal" allowBlank="1" showInputMessage="1" showErrorMessage="1" errorTitle="Invalid Diamter or Span" error="The Diameter or Span entered is invalid. Diameter or Span must be &gt; 0 and &lt; 300" sqref="N86" xr:uid="{C6A4DFDF-DAEE-CC4A-B6DA-913D3A8AC7F6}">
      <formula1>0.01</formula1>
      <formula2>300</formula2>
    </dataValidation>
    <dataValidation type="decimal" allowBlank="1" showInputMessage="1" showErrorMessage="1" errorTitle="Invalid value entered" error="The Average Depth Embededdment you entered is invalid. The Average Depth Embededdment must be &lt;= 0.89 and &gt;= 0.01" sqref="Q86" xr:uid="{7C59CAA9-5FEF-AB4D-8674-6603E918A79F}">
      <formula1>0.01</formula1>
      <formula2>0.89</formula2>
    </dataValidation>
    <dataValidation type="list" allowBlank="1" showInputMessage="1" showErrorMessage="1" errorTitle="Invalid value entered" error="The crossing subtype is not compatible with a crossing type of Closed Bottom Structure" sqref="M87" xr:uid="{021C6B11-63B3-2D4E-B331-8177C8F1D74C}">
      <formula1>"Round Culvert,Oval Culvert,Concrete Box"</formula1>
    </dataValidation>
    <dataValidation type="decimal" allowBlank="1" showInputMessage="1" showErrorMessage="1" errorTitle="Invalid Diamter or Span" error="The Diameter or Span entered is invalid. Diameter or Span must be &gt; 0 and &lt; 300" sqref="N87" xr:uid="{0775431F-5E91-5143-B51F-4A41E86AF817}">
      <formula1>0.01</formula1>
      <formula2>300</formula2>
    </dataValidation>
    <dataValidation type="decimal" allowBlank="1" showInputMessage="1" showErrorMessage="1" errorTitle="Invalid value entered" error="The Average Depth Embededdment you entered is invalid. The Average Depth Embededdment must be &lt;= 0.79 and &gt;= 0.01" sqref="Q87" xr:uid="{0FE6798E-2D3D-F142-829D-8F01068FEA79}">
      <formula1>0.01</formula1>
      <formula2>0.79</formula2>
    </dataValidation>
    <dataValidation type="list" allowBlank="1" showInputMessage="1" showErrorMessage="1" errorTitle="Invalid value entered" error="The crossing subtype is not compatible with a crossing type of Closed Bottom Structure" sqref="M88" xr:uid="{0B5EDD14-B97B-5C41-8615-28BE800392BD}">
      <formula1>"Round Culvert,Oval Culvert,Concrete Box"</formula1>
    </dataValidation>
    <dataValidation type="decimal" allowBlank="1" showInputMessage="1" showErrorMessage="1" errorTitle="Invalid Diamter or Span" error="The Diameter or Span entered is invalid. Diameter or Span must be &gt; 0 and &lt; 300" sqref="N88" xr:uid="{B3E94AA5-E256-7D43-903D-A5A723735DD6}">
      <formula1>0.01</formula1>
      <formula2>300</formula2>
    </dataValidation>
    <dataValidation type="decimal" allowBlank="1" showInputMessage="1" showErrorMessage="1" errorTitle="Invalid value entered" error="The Average Depth Embededdment you entered is invalid. The Average Depth Embededdment must be &lt;= 0.59 and &gt;= 0.01" sqref="Q88" xr:uid="{E65092AC-4AD5-4B43-8623-9FCAFD0A8913}">
      <formula1>0.01</formula1>
      <formula2>0.59</formula2>
    </dataValidation>
    <dataValidation type="list" allowBlank="1" showInputMessage="1" showErrorMessage="1" errorTitle="Invalid value entered" error="The crossing subtype is not compatible with a crossing type of Closed Bottom Structure" sqref="M89" xr:uid="{EEAAB8F0-6B89-BB4C-BC3B-2984A755FE10}">
      <formula1>"Round Culvert,Oval Culvert,Concrete Box"</formula1>
    </dataValidation>
    <dataValidation type="decimal" allowBlank="1" showInputMessage="1" showErrorMessage="1" errorTitle="Invalid Diamter or Span" error="The Diameter or Span entered is invalid. Diameter or Span must be &gt; 0 and &lt; 300" sqref="N89" xr:uid="{0A25DAAE-808B-6C4E-BC5C-8D93E546666B}">
      <formula1>0.01</formula1>
      <formula2>300</formula2>
    </dataValidation>
    <dataValidation type="decimal" allowBlank="1" showInputMessage="1" showErrorMessage="1" errorTitle="Invalid value entered" error="The Average Depth Embededdment you entered is invalid. The Average Depth Embededdment must be &lt;= 1.29 and &gt;= 0.01" sqref="Q89" xr:uid="{988B7776-62F5-C640-B1D5-22B43FBFA2D3}">
      <formula1>0.01</formula1>
      <formula2>1.29</formula2>
    </dataValidation>
    <dataValidation type="list" allowBlank="1" showInputMessage="1" showErrorMessage="1" errorTitle="Invalid value entered" error="The crossing subtype is not compatible with a crossing type of Closed Bottom Structure" sqref="M90" xr:uid="{289B111D-2EDE-F642-AC1A-D9362B2AEE00}">
      <formula1>"Round Culvert,Oval Culvert,Concrete Box"</formula1>
    </dataValidation>
    <dataValidation type="decimal" allowBlank="1" showInputMessage="1" showErrorMessage="1" errorTitle="Invalid Diamter or Span" error="The Diameter or Span entered is invalid. Diameter or Span must be &gt; 0 and &lt; 300" sqref="N90" xr:uid="{E163B116-94E0-AB4E-83C8-804D13BAA9F7}">
      <formula1>0.01</formula1>
      <formula2>300</formula2>
    </dataValidation>
    <dataValidation type="decimal" allowBlank="1" showInputMessage="1" showErrorMessage="1" errorTitle="Invalid value entered" error="The Average Depth Embededdment you entered is invalid. The Average Depth Embededdment must be &lt;= 0.59 and &gt;= 0.01" sqref="Q90" xr:uid="{C5265C2C-69FD-794F-A31F-BFB612DE32E4}">
      <formula1>0.01</formula1>
      <formula2>0.59</formula2>
    </dataValidation>
    <dataValidation type="list" allowBlank="1" showInputMessage="1" showErrorMessage="1" errorTitle="Invalid value entered" error="The crossing subtype is not compatible with a crossing type of Closed Bottom Structure" sqref="M91" xr:uid="{2B901CE6-84BA-9F4E-99DD-FD464DA32539}">
      <formula1>"Round Culvert,Oval Culvert,Concrete Box"</formula1>
    </dataValidation>
    <dataValidation type="decimal" allowBlank="1" showInputMessage="1" showErrorMessage="1" errorTitle="Invalid Diamter or Span" error="The Diameter or Span entered is invalid. Diameter or Span must be &gt; 0 and &lt; 300" sqref="N91" xr:uid="{86BD8076-D7FF-A74D-800F-05E8E12CB68A}">
      <formula1>0.01</formula1>
      <formula2>300</formula2>
    </dataValidation>
    <dataValidation type="decimal" allowBlank="1" showInputMessage="1" showErrorMessage="1" errorTitle="Invalid value entered" error="The Average Depth Embededdment you entered is invalid. The Average Depth Embededdment must be &lt;= 0.79 and &gt;= 0.01" sqref="Q91" xr:uid="{A5E23431-E57F-B048-8707-E6350E2B706A}">
      <formula1>0.01</formula1>
      <formula2>0.79</formula2>
    </dataValidation>
    <dataValidation type="list" allowBlank="1" showInputMessage="1" showErrorMessage="1" errorTitle="Invalid value entered" error="The crossing subtype is not compatible with a crossing type of Closed Bottom Structure" sqref="M92" xr:uid="{38F1868F-8A07-064E-A627-99F72967B060}">
      <formula1>"Round Culvert,Oval Culvert,Concrete Box"</formula1>
    </dataValidation>
    <dataValidation type="decimal" allowBlank="1" showInputMessage="1" showErrorMessage="1" errorTitle="Invalid Diamter or Span" error="The Diameter or Span entered is invalid. Diameter or Span must be &gt; 0 and &lt; 300" sqref="N92" xr:uid="{92AB9426-5E16-F049-BA26-8B2895367804}">
      <formula1>0.01</formula1>
      <formula2>300</formula2>
    </dataValidation>
    <dataValidation type="decimal" allowBlank="1" showInputMessage="1" showErrorMessage="1" errorTitle="Invalid value entered" error="The Average Depth Embededdment you entered is invalid. The Average Depth Embededdment must be &lt;= 0.89 and &gt;= 0.01" sqref="Q92" xr:uid="{38F298F7-4D08-7645-89CA-7C204574977F}">
      <formula1>0.01</formula1>
      <formula2>0.89</formula2>
    </dataValidation>
    <dataValidation type="list" allowBlank="1" showInputMessage="1" showErrorMessage="1" errorTitle="Invalid value entered" error="The crossing subtype is not compatible with a crossing type of Closed Bottom Structure" sqref="M93" xr:uid="{A3F18409-1A0E-D043-8D83-2427F3F01808}">
      <formula1>"Round Culvert,Oval Culvert,Concrete Box"</formula1>
    </dataValidation>
    <dataValidation type="decimal" allowBlank="1" showInputMessage="1" showErrorMessage="1" errorTitle="Invalid Diamter or Span" error="The Diameter or Span entered is invalid. Diameter or Span must be &gt; 0 and &lt; 300" sqref="N93" xr:uid="{737FB3E0-E7AE-7C48-A548-1C0749785296}">
      <formula1>0.01</formula1>
      <formula2>300</formula2>
    </dataValidation>
    <dataValidation type="decimal" allowBlank="1" showInputMessage="1" showErrorMessage="1" errorTitle="Invalid value entered" error="The Average Depth Embededdment you entered is invalid. The Average Depth Embededdment must be &lt;= 0.89 and &gt;= 0.01" sqref="Q93" xr:uid="{DC938E36-5336-3443-9CFF-E67F65581A4D}">
      <formula1>0.01</formula1>
      <formula2>0.89</formula2>
    </dataValidation>
    <dataValidation type="list" allowBlank="1" showInputMessage="1" showErrorMessage="1" errorTitle="Invalid value entered" error="The crossing subtype is not compatible with a crossing type of Closed Bottom Structure" sqref="M94" xr:uid="{12FBF95C-AD21-F847-8684-77DE356C9934}">
      <formula1>"Round Culvert,Oval Culvert,Concrete Box"</formula1>
    </dataValidation>
    <dataValidation type="decimal" allowBlank="1" showInputMessage="1" showErrorMessage="1" errorTitle="Invalid Diamter or Span" error="The Diameter or Span entered is invalid. Diameter or Span must be &gt; 0 and &lt; 300" sqref="N94" xr:uid="{828E21D3-AA80-4245-84CB-5EBC114DB911}">
      <formula1>0.01</formula1>
      <formula2>300</formula2>
    </dataValidation>
    <dataValidation type="decimal" allowBlank="1" showInputMessage="1" showErrorMessage="1" errorTitle="Invalid value entered" error="The Average Depth Embededdment you entered is invalid. The Average Depth Embededdment must be &lt;= 0.79 and &gt;= 0.01" sqref="Q94" xr:uid="{A997F29F-C07F-474A-9B8F-10B278A43856}">
      <formula1>0.01</formula1>
      <formula2>0.79</formula2>
    </dataValidation>
    <dataValidation type="list" allowBlank="1" showInputMessage="1" showErrorMessage="1" errorTitle="Invalid value entered" error="The crossing subtype is not compatible with a crossing type of Closed Bottom Structure" sqref="M95" xr:uid="{3CD92C61-198D-5E43-BAB2-6A6A34AF166E}">
      <formula1>"Round Culvert,Oval Culvert,Concrete Box"</formula1>
    </dataValidation>
    <dataValidation type="decimal" allowBlank="1" showInputMessage="1" showErrorMessage="1" errorTitle="Invalid Diamter or Span" error="The Diameter or Span entered is invalid. Diameter or Span must be &gt; 0 and &lt; 300" sqref="N95" xr:uid="{6656C115-847D-904A-96CB-7E3E9864E3B4}">
      <formula1>0.01</formula1>
      <formula2>300</formula2>
    </dataValidation>
    <dataValidation type="decimal" allowBlank="1" showInputMessage="1" showErrorMessage="1" errorTitle="Invalid value entered" error="The Average Depth Embededdment you entered is invalid. The Average Depth Embededdment must be &lt;= 1.04 and &gt;= 0.01" sqref="Q95" xr:uid="{FC003A6B-3997-7D40-BBF2-E0864CC4D097}">
      <formula1>0.01</formula1>
      <formula2>1.04</formula2>
    </dataValidation>
    <dataValidation type="list" allowBlank="1" showInputMessage="1" showErrorMessage="1" errorTitle="Invalid value entered" error="The crossing subtype is not compatible with a crossing type of Closed Bottom Structure" sqref="M96" xr:uid="{C98E1739-0C4C-A34A-9347-ACDBE3D3F4ED}">
      <formula1>"Round Culvert,Oval Culvert,Concrete Box"</formula1>
    </dataValidation>
    <dataValidation type="decimal" allowBlank="1" showInputMessage="1" showErrorMessage="1" errorTitle="Invalid Diamter or Span" error="The Diameter or Span entered is invalid. Diameter or Span must be &gt; 0 and &lt; 300" sqref="N96" xr:uid="{7494BAC7-4C9E-824D-A699-C38D739F2F30}">
      <formula1>0.01</formula1>
      <formula2>300</formula2>
    </dataValidation>
    <dataValidation type="decimal" allowBlank="1" showInputMessage="1" showErrorMessage="1" errorTitle="Invalid value entered" error="The Average Depth Embededdment you entered is invalid. The Average Depth Embededdment must be &lt;= 0.94 and &gt;= 0.01" sqref="Q96" xr:uid="{C4AEBE27-8E49-D944-A4DB-A0E78A4DE55F}">
      <formula1>0.01</formula1>
      <formula2>0.94</formula2>
    </dataValidation>
    <dataValidation type="list" allowBlank="1" showInputMessage="1" showErrorMessage="1" errorTitle="Invalid value entered" error="The crossing subtype is not compatible with a crossing type of Closed Bottom Structure" sqref="M97" xr:uid="{783F1A65-CF07-A547-8FBB-D9EB54898F78}">
      <formula1>"Round Culvert,Oval Culvert,Concrete Box"</formula1>
    </dataValidation>
    <dataValidation type="decimal" allowBlank="1" showInputMessage="1" showErrorMessage="1" errorTitle="Invalid Diamter or Span" error="The Diameter or Span entered is invalid. Diameter or Span must be &gt; 0 and &lt; 300" sqref="N97" xr:uid="{2AF5FA55-E4E7-7B4A-A0CE-BB3C5CF96027}">
      <formula1>0.01</formula1>
      <formula2>300</formula2>
    </dataValidation>
    <dataValidation type="decimal" allowBlank="1" showInputMessage="1" showErrorMessage="1" errorTitle="Invalid value entered" error="The Average Depth Embededdment you entered is invalid. The Average Depth Embededdment must be &lt;= 1.09 and &gt;= 0.01" sqref="Q97" xr:uid="{E612E5C3-8815-AD40-BA24-0154F591BEFD}">
      <formula1>0.01</formula1>
      <formula2>1.09</formula2>
    </dataValidation>
    <dataValidation type="list" allowBlank="1" showInputMessage="1" showErrorMessage="1" errorTitle="Invalid value entered" error="The crossing subtype is not compatible with a crossing type of Closed Bottom Structure" sqref="M98" xr:uid="{2B0637D5-BE36-034F-92BB-9C26A89DB7FE}">
      <formula1>"Round Culvert,Oval Culvert,Concrete Box"</formula1>
    </dataValidation>
    <dataValidation type="decimal" allowBlank="1" showInputMessage="1" showErrorMessage="1" errorTitle="Invalid Diamter or Span" error="The Diameter or Span entered is invalid. Diameter or Span must be &gt; 0 and &lt; 300" sqref="N98" xr:uid="{F5174AFB-63F4-F34A-9FDA-1E815788BEA1}">
      <formula1>0.01</formula1>
      <formula2>300</formula2>
    </dataValidation>
    <dataValidation type="decimal" allowBlank="1" showInputMessage="1" showErrorMessage="1" errorTitle="Invalid value entered" error="The Average Depth Embededdment you entered is invalid. The Average Depth Embededdment must be &lt;= 4.69 and &gt;= 0.01" sqref="Q98" xr:uid="{E88EE3AF-A597-9C42-B6BB-38A5E98FF1F8}">
      <formula1>0.01</formula1>
      <formula2>4.69</formula2>
    </dataValidation>
    <dataValidation type="list" allowBlank="1" showInputMessage="1" showErrorMessage="1" errorTitle="Invalid value entered" error="The crossing subtype is not compatible with a crossing type of Closed Bottom Structure" sqref="M99" xr:uid="{13D9B881-EABD-954E-9866-560E99D1256B}">
      <formula1>"Round Culvert,Oval Culvert,Concrete Box"</formula1>
    </dataValidation>
    <dataValidation type="decimal" allowBlank="1" showInputMessage="1" showErrorMessage="1" errorTitle="Invalid Diamter or Span" error="The Diameter or Span entered is invalid. Diameter or Span must be &gt; 0 and &lt; 300" sqref="N99" xr:uid="{C9FF2446-84E4-1A42-813A-52629EFB30B5}">
      <formula1>0.01</formula1>
      <formula2>300</formula2>
    </dataValidation>
    <dataValidation type="decimal" allowBlank="1" showInputMessage="1" showErrorMessage="1" errorTitle="Invalid value entered" error="The Average Depth Embededdment you entered is invalid. The Average Depth Embededdment must be &lt;= 1.19 and &gt;= 0.01" sqref="Q99" xr:uid="{A695B49E-CC9A-BB4C-BEC0-39881114A498}">
      <formula1>0.01</formula1>
      <formula2>1.19</formula2>
    </dataValidation>
    <dataValidation type="list" allowBlank="1" showInputMessage="1" showErrorMessage="1" errorTitle="Invalid value entered" error="The crossing subtype is not compatible with a crossing type of Closed Bottom Structure" sqref="M100" xr:uid="{D8E52915-A78E-DB44-8578-F7D7B94D89B3}">
      <formula1>"Round Culvert,Oval Culvert,Concrete Box"</formula1>
    </dataValidation>
    <dataValidation type="decimal" allowBlank="1" showInputMessage="1" showErrorMessage="1" errorTitle="Invalid Diamter or Span" error="The Diameter or Span entered is invalid. Diameter or Span must be &gt; 0 and &lt; 300" sqref="N100" xr:uid="{824D9B92-01AD-6144-A463-B94F6D683FF6}">
      <formula1>0.01</formula1>
      <formula2>300</formula2>
    </dataValidation>
    <dataValidation type="decimal" allowBlank="1" showInputMessage="1" showErrorMessage="1" errorTitle="Invalid value entered" error="The Average Depth Embededdment you entered is invalid. The Average Depth Embededdment must be &lt;= 1.19 and &gt;= 0.01" sqref="Q100" xr:uid="{49E26153-5996-C044-B85C-09EA4CF97FB0}">
      <formula1>0.01</formula1>
      <formula2>1.19</formula2>
    </dataValidation>
    <dataValidation type="list" allowBlank="1" showInputMessage="1" showErrorMessage="1" errorTitle="Invalid value entered" error="The crossing subtype is not compatible with a crossing type of Closed Bottom Structure" sqref="M101" xr:uid="{3F483CCC-8117-4748-BF3C-013FD825BF3A}">
      <formula1>"Round Culvert,Oval Culvert,Concrete Box"</formula1>
    </dataValidation>
    <dataValidation type="decimal" allowBlank="1" showInputMessage="1" showErrorMessage="1" errorTitle="Invalid Diamter or Span" error="The Diameter or Span entered is invalid. Diameter or Span must be &gt; 0 and &lt; 300" sqref="N101" xr:uid="{320A91CA-8BAF-6A41-9A29-5548CD4282A2}">
      <formula1>0.01</formula1>
      <formula2>300</formula2>
    </dataValidation>
    <dataValidation type="decimal" allowBlank="1" showInputMessage="1" showErrorMessage="1" errorTitle="Invalid value entered" error="The Average Depth Embededdment you entered is invalid. The Average Depth Embededdment must be &lt;= 1.09 and &gt;= 0.01" sqref="Q101" xr:uid="{4FF3174E-9EC3-1B42-8058-D6AEDCC7AF0A}">
      <formula1>0.01</formula1>
      <formula2>1.09</formula2>
    </dataValidation>
    <dataValidation type="list" allowBlank="1" showInputMessage="1" showErrorMessage="1" errorTitle="Invalid value entered" error="The crossing subtype is not compatible with a crossing type of Closed Bottom Structure" sqref="M102" xr:uid="{40956D48-5634-5742-8AC9-3417B115F80E}">
      <formula1>"Round Culvert,Oval Culvert,Concrete Box"</formula1>
    </dataValidation>
    <dataValidation type="decimal" allowBlank="1" showInputMessage="1" showErrorMessage="1" errorTitle="Invalid Diamter or Span" error="The Diameter or Span entered is invalid. Diameter or Span must be &gt; 0 and &lt; 300" sqref="N102" xr:uid="{F5C86600-6476-A744-B6CD-273A06FE9671}">
      <formula1>0.01</formula1>
      <formula2>300</formula2>
    </dataValidation>
    <dataValidation type="decimal" allowBlank="1" showInputMessage="1" showErrorMessage="1" errorTitle="Invalid value entered" error="The Average Depth Embededdment you entered is invalid. The Average Depth Embededdment must be &lt;= 1.19 and &gt;= 0.01" sqref="Q102" xr:uid="{3A204E77-7CDD-7747-8602-07BD9926F2CE}">
      <formula1>0.01</formula1>
      <formula2>1.19</formula2>
    </dataValidation>
    <dataValidation type="list" allowBlank="1" showInputMessage="1" showErrorMessage="1" errorTitle="Invalid value entered" error="The crossing subtype is not compatible with a crossing type of Closed Bottom Structure" sqref="M103" xr:uid="{8E018439-4AD8-3C49-841F-61C397E1E093}">
      <formula1>"Round Culvert,Oval Culvert,Concrete Box"</formula1>
    </dataValidation>
    <dataValidation type="decimal" allowBlank="1" showInputMessage="1" showErrorMessage="1" errorTitle="Invalid Diamter or Span" error="The Diameter or Span entered is invalid. Diameter or Span must be &gt; 0 and &lt; 300" sqref="N103" xr:uid="{A0A09455-BCB6-2C46-8C4A-6657551460B7}">
      <formula1>0.01</formula1>
      <formula2>300</formula2>
    </dataValidation>
    <dataValidation type="decimal" allowBlank="1" showInputMessage="1" showErrorMessage="1" errorTitle="Invalid value entered" error="The Average Depth Embededdment you entered is invalid. The Average Depth Embededdment must be &lt;= 1.19 and &gt;= 0.01" sqref="Q103" xr:uid="{448420B4-8024-1B44-9301-808C9644A283}">
      <formula1>0.01</formula1>
      <formula2>1.19</formula2>
    </dataValidation>
    <dataValidation type="list" allowBlank="1" showInputMessage="1" showErrorMessage="1" errorTitle="Invalid value entered" error="The crossing subtype is not compatible with a crossing type of Closed Bottom Structure" sqref="M104" xr:uid="{D84231D9-F7AD-1F49-9735-EC8D5E0F03C3}">
      <formula1>"Round Culvert,Oval Culvert,Concrete Box"</formula1>
    </dataValidation>
    <dataValidation type="decimal" allowBlank="1" showInputMessage="1" showErrorMessage="1" errorTitle="Invalid Diamter or Span" error="The Diameter or Span entered is invalid. Diameter or Span must be &gt; 0 and &lt; 300" sqref="N104" xr:uid="{067C3311-EFFE-CF4D-9AEF-B9ACCFC5E366}">
      <formula1>0.01</formula1>
      <formula2>300</formula2>
    </dataValidation>
    <dataValidation type="decimal" allowBlank="1" showInputMessage="1" showErrorMessage="1" errorTitle="Invalid value entered" error="The Average Depth Embededdment you entered is invalid. The Average Depth Embededdment must be &lt;= 4.99 and &gt;= 0.01" sqref="Q104" xr:uid="{D9C4282C-0FC4-5243-A3D4-AA58EFA29A7C}">
      <formula1>0.01</formula1>
      <formula2>4.99</formula2>
    </dataValidation>
    <dataValidation type="list" allowBlank="1" showInputMessage="1" showErrorMessage="1" errorTitle="Invalid value entered" error="The crossing subtype is not compatible with a crossing type of Closed Bottom Structure" sqref="M105" xr:uid="{8E7A7C93-B51E-FD4B-B0E0-3BA8C9B519C5}">
      <formula1>"Round Culvert,Oval Culvert,Concrete Box"</formula1>
    </dataValidation>
    <dataValidation type="decimal" allowBlank="1" showInputMessage="1" showErrorMessage="1" errorTitle="Invalid Diamter or Span" error="The Diameter or Span entered is invalid. Diameter or Span must be &gt; 0 and &lt; 300" sqref="N105" xr:uid="{ADEF402F-103A-0A44-AAA9-FDE7F31928BE}">
      <formula1>0.01</formula1>
      <formula2>300</formula2>
    </dataValidation>
    <dataValidation type="decimal" allowBlank="1" showInputMessage="1" showErrorMessage="1" errorTitle="Invalid value entered" error="The Average Depth Embededdment you entered is invalid. The Average Depth Embededdment must be &lt;= 1.19 and &gt;= 0.01" sqref="Q105" xr:uid="{B21FB1E4-E097-3A40-BF55-41A08F53E579}">
      <formula1>0.01</formula1>
      <formula2>1.19</formula2>
    </dataValidation>
    <dataValidation type="list" allowBlank="1" showInputMessage="1" showErrorMessage="1" errorTitle="Invalid value entered" error="The crossing subtype is not compatible with a crossing type of Closed Bottom Structure" sqref="M106" xr:uid="{8FF40822-3907-1647-9764-9D3BEFD243FB}">
      <formula1>"Round Culvert,Oval Culvert,Concrete Box"</formula1>
    </dataValidation>
    <dataValidation type="decimal" allowBlank="1" showInputMessage="1" showErrorMessage="1" errorTitle="Invalid Diamter or Span" error="The Diameter or Span entered is invalid. Diameter or Span must be &gt; 0 and &lt; 300" sqref="N106" xr:uid="{92323A92-3CD6-C34F-9947-01089C4293C7}">
      <formula1>0.01</formula1>
      <formula2>300</formula2>
    </dataValidation>
    <dataValidation type="decimal" allowBlank="1" showInputMessage="1" showErrorMessage="1" errorTitle="Invalid value entered" error="The Average Depth Embededdment you entered is invalid. The Average Depth Embededdment must be &lt;= 0.59 and &gt;= 0.01" sqref="Q106" xr:uid="{786A04D4-5737-714E-9446-5F1DD8640397}">
      <formula1>0.01</formula1>
      <formula2>0.59</formula2>
    </dataValidation>
    <dataValidation type="list" allowBlank="1" showInputMessage="1" showErrorMessage="1" errorTitle="Invalid value entered" error="The crossing subtype is not compatible with a crossing type of Closed Bottom Structure" sqref="M107" xr:uid="{A60702B1-5A1D-AF4B-BA11-D67C510BECE5}">
      <formula1>"Round Culvert,Oval Culvert,Concrete Box"</formula1>
    </dataValidation>
    <dataValidation type="decimal" allowBlank="1" showInputMessage="1" showErrorMessage="1" errorTitle="Invalid Diamter or Span" error="The Diameter or Span entered is invalid. Diameter or Span must be &gt; 0 and &lt; 300" sqref="N107" xr:uid="{28D5B718-B7B3-D14E-8D94-066144173F8F}">
      <formula1>0.01</formula1>
      <formula2>300</formula2>
    </dataValidation>
    <dataValidation type="decimal" allowBlank="1" showInputMessage="1" showErrorMessage="1" errorTitle="Invalid value entered" error="The Average Depth Embededdment you entered is invalid. The Average Depth Embededdment must be &lt;= 0.59 and &gt;= 0.01" sqref="Q107" xr:uid="{F9738984-8530-8B4A-91A2-1C9751F66D22}">
      <formula1>0.01</formula1>
      <formula2>0.59</formula2>
    </dataValidation>
    <dataValidation type="list" allowBlank="1" showInputMessage="1" showErrorMessage="1" errorTitle="Invalid value entered" error="The crossing subtype is not compatible with a crossing type of Closed Bottom Structure" sqref="M108" xr:uid="{3844D423-3283-E043-85A0-3F23C885E932}">
      <formula1>"Round Culvert,Oval Culvert,Concrete Box"</formula1>
    </dataValidation>
    <dataValidation type="decimal" allowBlank="1" showInputMessage="1" showErrorMessage="1" errorTitle="Invalid Diamter or Span" error="The Diameter or Span entered is invalid. Diameter or Span must be &gt; 0 and &lt; 300" sqref="N108" xr:uid="{FB93922C-4B87-F641-83F9-10E01B7D3018}">
      <formula1>0.01</formula1>
      <formula2>300</formula2>
    </dataValidation>
    <dataValidation type="decimal" allowBlank="1" showInputMessage="1" showErrorMessage="1" errorTitle="Invalid value entered" error="The Average Depth Embededdment you entered is invalid. The Average Depth Embededdment must be &lt;= 0.59 and &gt;= 0.01" sqref="Q108" xr:uid="{318CCAF6-2B12-BF47-9B00-E959E02FEDFB}">
      <formula1>0.01</formula1>
      <formula2>0.59</formula2>
    </dataValidation>
    <dataValidation type="list" allowBlank="1" showInputMessage="1" showErrorMessage="1" errorTitle="Invalid value entered" error="The crossing subtype is not compatible with a crossing type of Closed Bottom Structure" sqref="M109" xr:uid="{35F12AD2-E3F6-274B-ACE6-4D131A411127}">
      <formula1>"Round Culvert,Oval Culvert,Concrete Box"</formula1>
    </dataValidation>
    <dataValidation type="decimal" allowBlank="1" showInputMessage="1" showErrorMessage="1" errorTitle="Invalid Diamter or Span" error="The Diameter or Span entered is invalid. Diameter or Span must be &gt; 0 and &lt; 300" sqref="N109" xr:uid="{94B805A9-D770-4445-A713-2D92FE012276}">
      <formula1>0.01</formula1>
      <formula2>300</formula2>
    </dataValidation>
    <dataValidation type="decimal" allowBlank="1" showInputMessage="1" showErrorMessage="1" errorTitle="Invalid value entered" error="The Average Depth Embededdment you entered is invalid. The Average Depth Embededdment must be &lt;= 2.39 and &gt;= 0.01" sqref="Q109" xr:uid="{1C2DBCD9-786E-394F-B512-513607E9EEB9}">
      <formula1>0.01</formula1>
      <formula2>2.39</formula2>
    </dataValidation>
    <dataValidation type="list" allowBlank="1" showInputMessage="1" showErrorMessage="1" errorTitle="Invalid value entered" error="The crossing subtype is not compatible with a crossing type of Closed Bottom Structure" sqref="M110" xr:uid="{8A94A79D-24CE-E841-BBFB-70193B07C3AE}">
      <formula1>"Round Culvert,Oval Culvert,Concrete Box"</formula1>
    </dataValidation>
    <dataValidation type="decimal" allowBlank="1" showInputMessage="1" showErrorMessage="1" errorTitle="Invalid Diamter or Span" error="The Diameter or Span entered is invalid. Diameter or Span must be &gt; 0 and &lt; 300" sqref="N110" xr:uid="{5E0B2827-4A0A-334D-BDBA-C5B8F2BC2FB9}">
      <formula1>0.01</formula1>
      <formula2>300</formula2>
    </dataValidation>
    <dataValidation type="decimal" allowBlank="1" showInputMessage="1" showErrorMessage="1" errorTitle="Invalid value entered" error="The Average Depth Embededdment you entered is invalid. The Average Depth Embededdment must be &lt;= 2.39 and &gt;= 0.01" sqref="Q110" xr:uid="{8770B06B-051F-F949-9FFC-86AEFA548C71}">
      <formula1>0.01</formula1>
      <formula2>2.39</formula2>
    </dataValidation>
    <dataValidation type="list" allowBlank="1" showInputMessage="1" showErrorMessage="1" errorTitle="Invalid value entered" error="The crossing subtype is not compatible with a crossing type of Closed Bottom Structure" sqref="M111" xr:uid="{B0A994DD-E468-FB49-8245-214372B4AB9B}">
      <formula1>"Round Culvert,Oval Culvert,Concrete Box"</formula1>
    </dataValidation>
    <dataValidation type="decimal" allowBlank="1" showInputMessage="1" showErrorMessage="1" errorTitle="Invalid Diamter or Span" error="The Diameter or Span entered is invalid. Diameter or Span must be &gt; 0 and &lt; 300" sqref="N111" xr:uid="{B09FD2BC-2056-8744-9C2E-AA9FB1FE205F}">
      <formula1>0.01</formula1>
      <formula2>300</formula2>
    </dataValidation>
    <dataValidation type="decimal" allowBlank="1" showInputMessage="1" showErrorMessage="1" errorTitle="Invalid value entered" error="The Average Depth Embededdment you entered is invalid. The Average Depth Embededdment must be &lt;= 1.29 and &gt;= 0.01" sqref="Q111" xr:uid="{C4C132C7-EA05-BC4C-9941-15B9DF698509}">
      <formula1>0.01</formula1>
      <formula2>1.29</formula2>
    </dataValidation>
    <dataValidation type="list" allowBlank="1" showInputMessage="1" showErrorMessage="1" errorTitle="Invalid value entered" error="The crossing subtype is not compatible with a crossing type of Closed Bottom Structure" sqref="M112" xr:uid="{E62F7EB6-7195-EA4B-BE8C-67CB3ABFDF4E}">
      <formula1>"Round Culvert,Oval Culvert,Concrete Box"</formula1>
    </dataValidation>
    <dataValidation type="decimal" allowBlank="1" showInputMessage="1" showErrorMessage="1" errorTitle="Invalid Diamter or Span" error="The Diameter or Span entered is invalid. Diameter or Span must be &gt; 0 and &lt; 300" sqref="N112" xr:uid="{39C9DE97-D811-C147-BDFF-B3F801950EDB}">
      <formula1>0.01</formula1>
      <formula2>300</formula2>
    </dataValidation>
    <dataValidation type="decimal" allowBlank="1" showInputMessage="1" showErrorMessage="1" errorTitle="Invalid value entered" error="The Average Depth Embededdment you entered is invalid. The Average Depth Embededdment must be &lt;= 4.99 and &gt;= 0.01" sqref="Q112" xr:uid="{C4441E68-3F7F-614F-BCC8-E024603B3921}">
      <formula1>0.01</formula1>
      <formula2>4.99</formula2>
    </dataValidation>
    <dataValidation type="list" allowBlank="1" showInputMessage="1" showErrorMessage="1" errorTitle="Invalid value entered" error="The crossing subtype is not compatible with a crossing type of Closed Bottom Structure" sqref="M113" xr:uid="{70A509EF-3209-C741-9FBD-06DE36B9681E}">
      <formula1>"Round Culvert,Oval Culvert,Concrete Box"</formula1>
    </dataValidation>
    <dataValidation type="decimal" allowBlank="1" showInputMessage="1" showErrorMessage="1" errorTitle="Invalid Diamter or Span" error="The Diameter or Span entered is invalid. Diameter or Span must be &gt; 0 and &lt; 300" sqref="N113" xr:uid="{A5D3ABA7-2133-9347-A17E-975AD99E7361}">
      <formula1>0.01</formula1>
      <formula2>300</formula2>
    </dataValidation>
    <dataValidation type="decimal" allowBlank="1" showInputMessage="1" showErrorMessage="1" errorTitle="Invalid value entered" error="The Average Depth Embededdment you entered is invalid. The Average Depth Embededdment must be &lt;= 4.09 and &gt;= 0.01" sqref="Q113" xr:uid="{84EDBBDA-DCFF-834D-AB4D-C103AF387F9A}">
      <formula1>0.01</formula1>
      <formula2>4.09</formula2>
    </dataValidation>
    <dataValidation type="list" allowBlank="1" showInputMessage="1" showErrorMessage="1" errorTitle="Invalid value entered" error="The crossing subtype is not compatible with a crossing type of Closed Bottom Structure" sqref="M114" xr:uid="{23574F91-30C8-CB4E-8529-0AF82669BC42}">
      <formula1>"Round Culvert,Oval Culvert,Concrete Box"</formula1>
    </dataValidation>
    <dataValidation type="decimal" allowBlank="1" showInputMessage="1" showErrorMessage="1" errorTitle="Invalid Diamter or Span" error="The Diameter or Span entered is invalid. Diameter or Span must be &gt; 0 and &lt; 300" sqref="N114" xr:uid="{97BDBE4A-381E-9B46-AF6A-A474EDDD801D}">
      <formula1>0.01</formula1>
      <formula2>300</formula2>
    </dataValidation>
    <dataValidation type="decimal" allowBlank="1" showInputMessage="1" showErrorMessage="1" errorTitle="Invalid value entered" error="The Average Depth Embededdment you entered is invalid. The Average Depth Embededdment must be &lt;= 2.69 and &gt;= 0.01" sqref="Q114" xr:uid="{7D53D081-098D-BF41-98E5-636EAC66362B}">
      <formula1>0.01</formula1>
      <formula2>2.69</formula2>
    </dataValidation>
    <dataValidation type="list" allowBlank="1" showInputMessage="1" showErrorMessage="1" errorTitle="Invalid value entered" error="The crossing subtype is not compatible with a crossing type of Closed Bottom Structure" sqref="M115" xr:uid="{DE9084A9-21F4-9D40-9FF1-F3D2E7E0EB78}">
      <formula1>"Round Culvert,Oval Culvert,Concrete Box"</formula1>
    </dataValidation>
    <dataValidation type="decimal" allowBlank="1" showInputMessage="1" showErrorMessage="1" errorTitle="Invalid Diamter or Span" error="The Diameter or Span entered is invalid. Diameter or Span must be &gt; 0 and &lt; 300" sqref="N115" xr:uid="{5038B392-8E43-7A4B-8B8F-BD12C6EE982B}">
      <formula1>0.01</formula1>
      <formula2>300</formula2>
    </dataValidation>
    <dataValidation type="decimal" allowBlank="1" showInputMessage="1" showErrorMessage="1" errorTitle="Invalid value entered" error="The Average Depth Embededdment you entered is invalid. The Average Depth Embededdment must be &lt;= 4.49 and &gt;= 0.01" sqref="Q115" xr:uid="{2052C19E-73FB-EB41-95FF-8E03756EFB6E}">
      <formula1>0.01</formula1>
      <formula2>4.49</formula2>
    </dataValidation>
    <dataValidation type="list" allowBlank="1" showInputMessage="1" showErrorMessage="1" errorTitle="Invalid value entered" error="The crossing subtype is not compatible with a crossing type of Closed Bottom Structure" sqref="M116" xr:uid="{1B385DB5-6262-954C-B7D5-D7885174D826}">
      <formula1>"Round Culvert,Oval Culvert,Concrete Box"</formula1>
    </dataValidation>
    <dataValidation type="decimal" allowBlank="1" showInputMessage="1" showErrorMessage="1" errorTitle="Invalid Diamter or Span" error="The Diameter or Span entered is invalid. Diameter or Span must be &gt; 0 and &lt; 300" sqref="N116" xr:uid="{FAF78E31-146C-C543-84A9-7BD942EC432E}">
      <formula1>0.01</formula1>
      <formula2>300</formula2>
    </dataValidation>
    <dataValidation type="decimal" allowBlank="1" showInputMessage="1" showErrorMessage="1" errorTitle="Invalid value entered" error="The Average Depth Embededdment you entered is invalid. The Average Depth Embededdment must be &lt;= 1.49 and &gt;= 0.01" sqref="Q116" xr:uid="{FAB71063-DB86-134B-898E-6E28D0132ABB}">
      <formula1>0.01</formula1>
      <formula2>1.49</formula2>
    </dataValidation>
    <dataValidation type="list" allowBlank="1" showInputMessage="1" showErrorMessage="1" errorTitle="Invalid value entered" error="The crossing subtype is not compatible with a crossing type of Closed Bottom Structure" sqref="M117" xr:uid="{633B3570-CCE3-834C-84FA-2BB371AE3151}">
      <formula1>"Round Culvert,Oval Culvert,Concrete Box"</formula1>
    </dataValidation>
    <dataValidation type="decimal" allowBlank="1" showInputMessage="1" showErrorMessage="1" errorTitle="Invalid Diamter or Span" error="The Diameter or Span entered is invalid. Diameter or Span must be &gt; 0 and &lt; 300" sqref="N117" xr:uid="{3B77BDB6-5F39-1449-B93E-7D9111536EDE}">
      <formula1>0.01</formula1>
      <formula2>300</formula2>
    </dataValidation>
    <dataValidation type="decimal" allowBlank="1" showInputMessage="1" showErrorMessage="1" errorTitle="Invalid value entered" error="The Average Depth Embededdment you entered is invalid. The Average Depth Embededdment must be &lt;= 0.89 and &gt;= 0.01" sqref="Q117" xr:uid="{78B3FE20-E3A4-8049-ACE1-6D91C109CA1E}">
      <formula1>0.01</formula1>
      <formula2>0.89</formula2>
    </dataValidation>
    <dataValidation type="list" allowBlank="1" showInputMessage="1" showErrorMessage="1" errorTitle="Invalid value entered" error="The crossing subtype is not compatible with a crossing type of Closed Bottom Structure" sqref="M118" xr:uid="{9B559017-F0E0-B248-ACB3-66FC6BE2172F}">
      <formula1>"Round Culvert,Oval Culvert,Concrete Box"</formula1>
    </dataValidation>
    <dataValidation type="decimal" allowBlank="1" showInputMessage="1" showErrorMessage="1" errorTitle="Invalid Diamter or Span" error="The Diameter or Span entered is invalid. Diameter or Span must be &gt; 0 and &lt; 300" sqref="N118" xr:uid="{39288F86-886D-254E-B6BF-DF918EF1E081}">
      <formula1>0.01</formula1>
      <formula2>300</formula2>
    </dataValidation>
    <dataValidation type="decimal" allowBlank="1" showInputMessage="1" showErrorMessage="1" errorTitle="Invalid value entered" error="The Average Depth Embededdment you entered is invalid. The Average Depth Embededdment must be &lt;= 2.79 and &gt;= 0.01" sqref="Q118" xr:uid="{D3F32F3F-789F-314C-989F-D9F949269EDA}">
      <formula1>0.01</formula1>
      <formula2>2.79</formula2>
    </dataValidation>
    <dataValidation type="list" allowBlank="1" showInputMessage="1" showErrorMessage="1" errorTitle="Invalid value entered" error="The crossing subtype is not compatible with a crossing type of Closed Bottom Structure" sqref="M119" xr:uid="{046CA0C0-DBA6-7148-B44F-D670DC087A02}">
      <formula1>"Round Culvert,Oval Culvert,Concrete Box"</formula1>
    </dataValidation>
    <dataValidation type="decimal" allowBlank="1" showInputMessage="1" showErrorMessage="1" errorTitle="Invalid Diamter or Span" error="The Diameter or Span entered is invalid. Diameter or Span must be &gt; 0 and &lt; 300" sqref="N119" xr:uid="{223E50FF-C3A6-D74D-AE1D-5CBBC9A7A769}">
      <formula1>0.01</formula1>
      <formula2>300</formula2>
    </dataValidation>
    <dataValidation type="decimal" allowBlank="1" showInputMessage="1" showErrorMessage="1" errorTitle="Invalid value entered" error="The Average Depth Embededdment you entered is invalid. The Average Depth Embededdment must be &lt;= 1.69 and &gt;= 0.01" sqref="Q119" xr:uid="{73ED20A6-3C5C-6142-BA15-1E882953569C}">
      <formula1>0.01</formula1>
      <formula2>1.69</formula2>
    </dataValidation>
    <dataValidation type="list" allowBlank="1" showInputMessage="1" showErrorMessage="1" errorTitle="Invalid value entered" error="The crossing subtype is not compatible with a crossing type of Closed Bottom Structure" sqref="M120" xr:uid="{D921CB13-9B25-4E4D-BD71-5533D45003AE}">
      <formula1>"Round Culvert,Oval Culvert,Concrete Box"</formula1>
    </dataValidation>
    <dataValidation type="decimal" allowBlank="1" showInputMessage="1" showErrorMessage="1" errorTitle="Invalid Diamter or Span" error="The Diameter or Span entered is invalid. Diameter or Span must be &gt; 0 and &lt; 300" sqref="N120" xr:uid="{0B2A4413-D123-3040-BF25-045C5839CCD8}">
      <formula1>0.01</formula1>
      <formula2>300</formula2>
    </dataValidation>
    <dataValidation type="decimal" allowBlank="1" showInputMessage="1" showErrorMessage="1" errorTitle="Invalid value entered" error="The Average Depth Embededdment you entered is invalid. The Average Depth Embededdment must be &lt;= 1.49 and &gt;= 0.01" sqref="Q120" xr:uid="{C07C16CF-78A9-7C4C-9B1D-BA83DD6EE5D1}">
      <formula1>0.01</formula1>
      <formula2>1.49</formula2>
    </dataValidation>
    <dataValidation type="list" allowBlank="1" showInputMessage="1" showErrorMessage="1" errorTitle="Invalid value entered" error="The crossing subtype is not compatible with a crossing type of Closed Bottom Structure" sqref="M121" xr:uid="{AB358382-DF10-164B-9085-AE083D9C735F}">
      <formula1>"Round Culvert,Oval Culvert,Concrete Box"</formula1>
    </dataValidation>
    <dataValidation type="decimal" allowBlank="1" showInputMessage="1" showErrorMessage="1" errorTitle="Invalid Diamter or Span" error="The Diameter or Span entered is invalid. Diameter or Span must be &gt; 0 and &lt; 300" sqref="N121" xr:uid="{039BD29C-3F4C-704F-B5A5-72930E1D0EB0}">
      <formula1>0.01</formula1>
      <formula2>300</formula2>
    </dataValidation>
    <dataValidation type="decimal" allowBlank="1" showInputMessage="1" showErrorMessage="1" errorTitle="Invalid value entered" error="The Average Depth Embededdment you entered is invalid. The Average Depth Embededdment must be &lt;= 0.59 and &gt;= 0.01" sqref="Q121" xr:uid="{6D2B37EF-BCDA-DC42-9C4B-D482D737D240}">
      <formula1>0.01</formula1>
      <formula2>0.59</formula2>
    </dataValidation>
    <dataValidation type="list" allowBlank="1" showInputMessage="1" showErrorMessage="1" errorTitle="Invalid value entered" error="The crossing subtype is not compatible with a crossing type of Closed Bottom Structure" sqref="M122" xr:uid="{4AF585F3-2814-B340-8316-1152C4278FB2}">
      <formula1>"Round Culvert,Oval Culvert,Concrete Box"</formula1>
    </dataValidation>
    <dataValidation type="decimal" allowBlank="1" showInputMessage="1" showErrorMessage="1" errorTitle="Invalid Diamter or Span" error="The Diameter or Span entered is invalid. Diameter or Span must be &gt; 0 and &lt; 300" sqref="N122" xr:uid="{126DE030-2D19-6545-B579-09F333E22EA7}">
      <formula1>0.01</formula1>
      <formula2>300</formula2>
    </dataValidation>
    <dataValidation type="decimal" allowBlank="1" showInputMessage="1" showErrorMessage="1" errorTitle="Invalid value entered" error="The Average Depth Embededdment you entered is invalid. The Average Depth Embededdment must be &lt;= 1.04 and &gt;= 0.01" sqref="Q122" xr:uid="{B81B2A38-8400-F841-9425-0AE50DC5CA6C}">
      <formula1>0.01</formula1>
      <formula2>1.04</formula2>
    </dataValidation>
    <dataValidation type="list" allowBlank="1" showInputMessage="1" showErrorMessage="1" errorTitle="Invalid value entered" error="The crossing subtype is not compatible with a crossing type of Closed Bottom Structure" sqref="M123" xr:uid="{5AC70D0B-4F32-4347-A065-3F1AE7D692B9}">
      <formula1>"Round Culvert,Oval Culvert,Concrete Box"</formula1>
    </dataValidation>
    <dataValidation type="decimal" allowBlank="1" showInputMessage="1" showErrorMessage="1" errorTitle="Invalid Diamter or Span" error="The Diameter or Span entered is invalid. Diameter or Span must be &gt; 0 and &lt; 300" sqref="N123" xr:uid="{F80D6169-B943-8B4C-8957-B141908D9B44}">
      <formula1>0.01</formula1>
      <formula2>300</formula2>
    </dataValidation>
    <dataValidation type="decimal" allowBlank="1" showInputMessage="1" showErrorMessage="1" errorTitle="Invalid value entered" error="The Average Depth Embededdment you entered is invalid. The Average Depth Embededdment must be &lt;= 1.69 and &gt;= 0.01" sqref="Q123" xr:uid="{F7B74B29-BE7C-A948-BCC3-B4264270327E}">
      <formula1>0.01</formula1>
      <formula2>1.69</formula2>
    </dataValidation>
    <dataValidation type="list" allowBlank="1" showInputMessage="1" showErrorMessage="1" errorTitle="Invalid value entered" error="The crossing subtype is not compatible with a crossing type of Closed Bottom Structure" sqref="M124" xr:uid="{F3C467D6-B218-1B41-8DFC-D0FF45971A00}">
      <formula1>"Round Culvert,Oval Culvert,Concrete Box"</formula1>
    </dataValidation>
    <dataValidation type="decimal" allowBlank="1" showInputMessage="1" showErrorMessage="1" errorTitle="Invalid Diamter or Span" error="The Diameter or Span entered is invalid. Diameter or Span must be &gt; 0 and &lt; 300" sqref="N124" xr:uid="{69AF9ECA-A876-1043-8DCA-8D657EE3D1C9}">
      <formula1>0.01</formula1>
      <formula2>300</formula2>
    </dataValidation>
    <dataValidation type="decimal" allowBlank="1" showInputMessage="1" showErrorMessage="1" errorTitle="Invalid value entered" error="The Average Depth Embededdment you entered is invalid. The Average Depth Embededdment must be &lt;= 2.49 and &gt;= 0.01" sqref="Q124" xr:uid="{6AAD71A6-17F7-C045-8174-10B892FF26F0}">
      <formula1>0.01</formula1>
      <formula2>2.49</formula2>
    </dataValidation>
    <dataValidation type="list" allowBlank="1" showInputMessage="1" showErrorMessage="1" errorTitle="Invalid value entered" error="The crossing subtype is not compatible with a crossing type of Closed Bottom Structure" sqref="M125" xr:uid="{6F04A11A-A0BE-024B-A16D-AF8F8352F2E0}">
      <formula1>"Round Culvert,Oval Culvert,Concrete Box"</formula1>
    </dataValidation>
    <dataValidation type="decimal" allowBlank="1" showInputMessage="1" showErrorMessage="1" errorTitle="Invalid Diamter or Span" error="The Diameter or Span entered is invalid. Diameter or Span must be &gt; 0 and &lt; 300" sqref="N125" xr:uid="{DB12D17E-B0E2-4C41-9169-16F3E81B0348}">
      <formula1>0.01</formula1>
      <formula2>300</formula2>
    </dataValidation>
    <dataValidation type="decimal" allowBlank="1" showInputMessage="1" showErrorMessage="1" errorTitle="Invalid value entered" error="The Average Depth Embededdment you entered is invalid. The Average Depth Embededdment must be &lt;= 1.39 and &gt;= 0.01" sqref="Q125" xr:uid="{E25F0E67-D1E8-FC45-B550-FA48DAFC0E88}">
      <formula1>0.01</formula1>
      <formula2>1.39</formula2>
    </dataValidation>
    <dataValidation type="list" allowBlank="1" showInputMessage="1" showErrorMessage="1" errorTitle="Invalid value entered" error="The crossing subtype is not compatible with a crossing type of Closed Bottom Structure" sqref="M126" xr:uid="{B0B7E914-A2BC-444F-8DE7-5EEE9B666B82}">
      <formula1>"Round Culvert,Oval Culvert,Concrete Box"</formula1>
    </dataValidation>
    <dataValidation type="decimal" allowBlank="1" showInputMessage="1" showErrorMessage="1" errorTitle="Invalid Diamter or Span" error="The Diameter or Span entered is invalid. Diameter or Span must be &gt; 0 and &lt; 300" sqref="N126" xr:uid="{90E2693F-4008-D34A-8D71-6D0A8452F4E5}">
      <formula1>0.01</formula1>
      <formula2>300</formula2>
    </dataValidation>
    <dataValidation type="decimal" allowBlank="1" showInputMessage="1" showErrorMessage="1" errorTitle="Invalid value entered" error="The Average Depth Embededdment you entered is invalid. The Average Depth Embededdment must be &lt;= 2.59 and &gt;= 0.01" sqref="Q126" xr:uid="{1732072C-D39E-2449-9CE7-B02A8E0A984E}">
      <formula1>0.01</formula1>
      <formula2>2.59</formula2>
    </dataValidation>
    <dataValidation type="list" allowBlank="1" showInputMessage="1" showErrorMessage="1" errorTitle="Invalid value entered" error="The crossing subtype is not compatible with a crossing type of Closed Bottom Structure" sqref="M127" xr:uid="{0BCF5BAC-F8D4-8844-9F6D-3F487592ED9A}">
      <formula1>"Round Culvert,Oval Culvert,Concrete Box"</formula1>
    </dataValidation>
    <dataValidation type="decimal" allowBlank="1" showInputMessage="1" showErrorMessage="1" errorTitle="Invalid Diamter or Span" error="The Diameter or Span entered is invalid. Diameter or Span must be &gt; 0 and &lt; 300" sqref="N127" xr:uid="{2FD95D90-C5D1-D54E-BBBF-1983506201F7}">
      <formula1>0.01</formula1>
      <formula2>300</formula2>
    </dataValidation>
    <dataValidation type="decimal" allowBlank="1" showInputMessage="1" showErrorMessage="1" errorTitle="Invalid value entered" error="The Average Depth Embededdment you entered is invalid. The Average Depth Embededdment must be &lt;= 1.09 and &gt;= 0.01" sqref="Q127" xr:uid="{07C2B097-27AA-F745-8A2A-FB9C5C3D1224}">
      <formula1>0.01</formula1>
      <formula2>1.09</formula2>
    </dataValidation>
    <dataValidation type="list" allowBlank="1" showInputMessage="1" showErrorMessage="1" errorTitle="Invalid value entered" error="The crossing subtype is not compatible with a crossing type of Closed Bottom Structure" sqref="M128" xr:uid="{9F445886-8CFF-E24F-B986-AE3512704057}">
      <formula1>"Round Culvert,Oval Culvert,Concrete Box"</formula1>
    </dataValidation>
    <dataValidation type="decimal" allowBlank="1" showInputMessage="1" showErrorMessage="1" errorTitle="Invalid Diamter or Span" error="The Diameter or Span entered is invalid. Diameter or Span must be &gt; 0 and &lt; 300" sqref="N128" xr:uid="{B14ECD7A-073B-9145-BA41-5C087B19985E}">
      <formula1>0.01</formula1>
      <formula2>300</formula2>
    </dataValidation>
    <dataValidation type="decimal" allowBlank="1" showInputMessage="1" showErrorMessage="1" errorTitle="Invalid value entered" error="The Average Depth Embededdment you entered is invalid. The Average Depth Embededdment must be &lt;= 3.64 and &gt;= 0.01" sqref="Q128" xr:uid="{FBC3E9BD-9891-1E4C-990C-6F1CD808BEF0}">
      <formula1>0.01</formula1>
      <formula2>3.64</formula2>
    </dataValidation>
    <dataValidation type="list" allowBlank="1" showInputMessage="1" showErrorMessage="1" errorTitle="Invalid value entered" error="The crossing subtype is not compatible with a crossing type of Closed Bottom Structure" sqref="M129" xr:uid="{9400F1C2-C131-6C4C-84A9-2E338BE772ED}">
      <formula1>"Round Culvert,Oval Culvert,Concrete Box"</formula1>
    </dataValidation>
    <dataValidation type="decimal" allowBlank="1" showInputMessage="1" showErrorMessage="1" errorTitle="Invalid Diamter or Span" error="The Diameter or Span entered is invalid. Diameter or Span must be &gt; 0 and &lt; 300" sqref="N129" xr:uid="{A158503F-CF68-8846-A231-D8F265697595}">
      <formula1>0.01</formula1>
      <formula2>300</formula2>
    </dataValidation>
    <dataValidation type="decimal" allowBlank="1" showInputMessage="1" showErrorMessage="1" errorTitle="Invalid value entered" error="The Average Depth Embededdment you entered is invalid. The Average Depth Embededdment must be &lt;= 2.24 and &gt;= 0.01" sqref="Q129" xr:uid="{BDE5D6C0-CD20-D249-818B-85121D60C3D1}">
      <formula1>0.01</formula1>
      <formula2>2.24</formula2>
    </dataValidation>
    <dataValidation type="list" allowBlank="1" showInputMessage="1" showErrorMessage="1" errorTitle="Invalid value entered" error="The crossing subtype is not compatible with a crossing type of Closed Bottom Structure" sqref="M130" xr:uid="{3635D0AF-5AF5-CC43-8762-67C8C747EB9E}">
      <formula1>"Round Culvert,Oval Culvert,Concrete Box"</formula1>
    </dataValidation>
    <dataValidation type="decimal" allowBlank="1" showInputMessage="1" showErrorMessage="1" errorTitle="Invalid Diamter or Span" error="The Diameter or Span entered is invalid. Diameter or Span must be &gt; 0 and &lt; 300" sqref="N130" xr:uid="{A473BF55-B016-0A43-84BC-4989A655D02D}">
      <formula1>0.01</formula1>
      <formula2>300</formula2>
    </dataValidation>
    <dataValidation type="decimal" allowBlank="1" showInputMessage="1" showErrorMessage="1" errorTitle="Invalid value entered" error="The Average Depth Embededdment you entered is invalid. The Average Depth Embededdment must be &lt;= 1.69 and &gt;= 0.01" sqref="Q130" xr:uid="{4BCB0A31-1B9F-974B-BA25-28CD1C055592}">
      <formula1>0.01</formula1>
      <formula2>1.69</formula2>
    </dataValidation>
    <dataValidation type="list" allowBlank="1" showInputMessage="1" showErrorMessage="1" errorTitle="Invalid value entered" error="The crossing subtype is not compatible with a crossing type of Closed Bottom Structure" sqref="M131" xr:uid="{590190D6-43D0-0645-90DB-3429D2F7ABC2}">
      <formula1>"Round Culvert,Oval Culvert,Concrete Box"</formula1>
    </dataValidation>
    <dataValidation type="decimal" allowBlank="1" showInputMessage="1" showErrorMessage="1" errorTitle="Invalid Diamter or Span" error="The Diameter or Span entered is invalid. Diameter or Span must be &gt; 0 and &lt; 300" sqref="N131" xr:uid="{20533EAA-9F5E-D847-9944-C7DFE0D872FF}">
      <formula1>0.01</formula1>
      <formula2>300</formula2>
    </dataValidation>
    <dataValidation type="decimal" allowBlank="1" showInputMessage="1" showErrorMessage="1" errorTitle="Invalid value entered" error="The Average Depth Embededdment you entered is invalid. The Average Depth Embededdment must be &lt;= 3.59 and &gt;= 0.01" sqref="Q131" xr:uid="{7EFC8F2E-1A17-D843-974B-E58E4941B600}">
      <formula1>0.01</formula1>
      <formula2>3.59</formula2>
    </dataValidation>
    <dataValidation type="list" allowBlank="1" showInputMessage="1" showErrorMessage="1" errorTitle="Invalid value entered" error="The crossing subtype is not compatible with a crossing type of Closed Bottom Structure" sqref="M132" xr:uid="{2C78E8A7-2A49-F64E-AEAA-2C9033EADE9C}">
      <formula1>"Round Culvert,Oval Culvert,Concrete Box"</formula1>
    </dataValidation>
    <dataValidation type="decimal" allowBlank="1" showInputMessage="1" showErrorMessage="1" errorTitle="Invalid Diamter or Span" error="The Diameter or Span entered is invalid. Diameter or Span must be &gt; 0 and &lt; 300" sqref="N132" xr:uid="{215E58F5-CBB7-6C43-870C-637E74056D0B}">
      <formula1>0.01</formula1>
      <formula2>300</formula2>
    </dataValidation>
    <dataValidation type="decimal" allowBlank="1" showInputMessage="1" showErrorMessage="1" errorTitle="Invalid value entered" error="The Average Depth Embededdment you entered is invalid. The Average Depth Embededdment must be &lt;= 11.99 and &gt;= 0.01" sqref="Q132" xr:uid="{8F6A0788-998E-D84A-A004-D5DC9DE37EF7}">
      <formula1>0.01</formula1>
      <formula2>11.99</formula2>
    </dataValidation>
    <dataValidation type="list" allowBlank="1" showInputMessage="1" showErrorMessage="1" errorTitle="Invalid value entered" error="The crossing subtype is not compatible with a crossing type of Closed Bottom Structure" sqref="M133" xr:uid="{D54151B1-9454-0C49-9CEF-661520DF6376}">
      <formula1>"Round Culvert,Oval Culvert,Concrete Box"</formula1>
    </dataValidation>
    <dataValidation type="decimal" allowBlank="1" showInputMessage="1" showErrorMessage="1" errorTitle="Invalid Diamter or Span" error="The Diameter or Span entered is invalid. Diameter or Span must be &gt; 0 and &lt; 300" sqref="N133" xr:uid="{6E35F0FE-54D7-0E4C-A5FA-76AE505C5529}">
      <formula1>0.01</formula1>
      <formula2>300</formula2>
    </dataValidation>
    <dataValidation type="decimal" allowBlank="1" showInputMessage="1" showErrorMessage="1" errorTitle="Invalid value entered" error="The Average Depth Embededdment you entered is invalid. The Average Depth Embededdment must be &lt;= 1.49 and &gt;= 0.01" sqref="Q133" xr:uid="{DA929448-1D4F-414F-8402-09A8E421020E}">
      <formula1>0.01</formula1>
      <formula2>1.49</formula2>
    </dataValidation>
    <dataValidation type="list" allowBlank="1" showInputMessage="1" showErrorMessage="1" errorTitle="Invalid value entered" error="The crossing subtype is not compatible with a crossing type of Closed Bottom Structure" sqref="M134" xr:uid="{759169C0-7745-7A45-9728-8609DAC9E994}">
      <formula1>"Round Culvert,Oval Culvert,Concrete Box"</formula1>
    </dataValidation>
    <dataValidation type="decimal" allowBlank="1" showInputMessage="1" showErrorMessage="1" errorTitle="Invalid Diamter or Span" error="The Diameter or Span entered is invalid. Diameter or Span must be &gt; 0 and &lt; 300" sqref="N134" xr:uid="{6A6BB162-59E2-CF49-B07D-15BE15CECA32}">
      <formula1>0.01</formula1>
      <formula2>300</formula2>
    </dataValidation>
    <dataValidation type="decimal" allowBlank="1" showInputMessage="1" showErrorMessage="1" errorTitle="Invalid value entered" error="The Average Depth Embededdment you entered is invalid. The Average Depth Embededdment must be &lt;= 4.49 and &gt;= 0.01" sqref="Q134" xr:uid="{138BFEBC-B861-B543-B480-B117F09C56F8}">
      <formula1>0.01</formula1>
      <formula2>4.49</formula2>
    </dataValidation>
    <dataValidation type="list" allowBlank="1" showInputMessage="1" showErrorMessage="1" errorTitle="Invalid value entered" error="The crossing subtype is not compatible with a crossing type of Closed Bottom Structure" sqref="M135" xr:uid="{F45F8769-6C1A-984D-861B-9E22C27D5CE1}">
      <formula1>"Round Culvert,Oval Culvert,Concrete Box"</formula1>
    </dataValidation>
    <dataValidation type="decimal" allowBlank="1" showInputMessage="1" showErrorMessage="1" errorTitle="Invalid Diamter or Span" error="The Diameter or Span entered is invalid. Diameter or Span must be &gt; 0 and &lt; 300" sqref="N135" xr:uid="{84484150-6AE6-D548-91CB-987E78E341A8}">
      <formula1>0.01</formula1>
      <formula2>300</formula2>
    </dataValidation>
    <dataValidation type="decimal" allowBlank="1" showInputMessage="1" showErrorMessage="1" errorTitle="Invalid value entered" error="The Average Depth Embededdment you entered is invalid. The Average Depth Embededdment must be &lt;= 2.19 and &gt;= 0.01" sqref="Q135" xr:uid="{97D100B8-6B5F-5F47-9BE4-7DBB70B715E6}">
      <formula1>0.01</formula1>
      <formula2>2.19</formula2>
    </dataValidation>
    <dataValidation type="list" allowBlank="1" showInputMessage="1" showErrorMessage="1" errorTitle="Invalid value entered" error="The crossing subtype is not compatible with a crossing type of Closed Bottom Structure" sqref="M136" xr:uid="{B9C92645-FE86-3346-9858-619799217B8B}">
      <formula1>"Round Culvert,Oval Culvert,Concrete Box"</formula1>
    </dataValidation>
    <dataValidation type="decimal" allowBlank="1" showInputMessage="1" showErrorMessage="1" errorTitle="Invalid Diamter or Span" error="The Diameter or Span entered is invalid. Diameter or Span must be &gt; 0 and &lt; 300" sqref="N136" xr:uid="{6C083115-2ECF-0C47-ABED-C369A4475985}">
      <formula1>0.01</formula1>
      <formula2>300</formula2>
    </dataValidation>
    <dataValidation type="decimal" allowBlank="1" showInputMessage="1" showErrorMessage="1" errorTitle="Invalid value entered" error="The Average Depth Embededdment you entered is invalid. The Average Depth Embededdment must be &lt;= 2.19 and &gt;= 0.01" sqref="Q136" xr:uid="{D67E8903-B581-3E48-84A9-0C7409B0E8E3}">
      <formula1>0.01</formula1>
      <formula2>2.19</formula2>
    </dataValidation>
    <dataValidation type="list" allowBlank="1" showInputMessage="1" showErrorMessage="1" errorTitle="Invalid value entered" error="The crossing subtype is not compatible with a crossing type of Closed Bottom Structure" sqref="M137" xr:uid="{3D48D837-51EE-C548-A9A6-4F6AFD1DED98}">
      <formula1>"Round Culvert,Oval Culvert,Concrete Box"</formula1>
    </dataValidation>
    <dataValidation type="decimal" allowBlank="1" showInputMessage="1" showErrorMessage="1" errorTitle="Invalid Diamter or Span" error="The Diameter or Span entered is invalid. Diameter or Span must be &gt; 0 and &lt; 300" sqref="N137" xr:uid="{57B99077-3EA4-2745-A647-47EAFBA4C474}">
      <formula1>0.01</formula1>
      <formula2>300</formula2>
    </dataValidation>
    <dataValidation type="decimal" allowBlank="1" showInputMessage="1" showErrorMessage="1" errorTitle="Invalid value entered" error="The Average Depth Embededdment you entered is invalid. The Average Depth Embededdment must be &lt;= 3.09 and &gt;= 0.01" sqref="Q137" xr:uid="{90CDA4D7-8A8D-D843-BE6B-12C0CA3E3740}">
      <formula1>0.01</formula1>
      <formula2>3.09</formula2>
    </dataValidation>
    <dataValidation type="list" allowBlank="1" showInputMessage="1" showErrorMessage="1" errorTitle="Invalid value entered" error="The crossing subtype is not compatible with a crossing type of Closed Bottom Structure" sqref="M138" xr:uid="{D7D41D28-82C6-6D46-A2CE-DA0368FD49BA}">
      <formula1>"Round Culvert,Oval Culvert,Concrete Box"</formula1>
    </dataValidation>
    <dataValidation type="decimal" allowBlank="1" showInputMessage="1" showErrorMessage="1" errorTitle="Invalid Diamter or Span" error="The Diameter or Span entered is invalid. Diameter or Span must be &gt; 0 and &lt; 300" sqref="N138" xr:uid="{1C9E50AF-391E-B74F-A682-5EBCFE4EF35E}">
      <formula1>0.01</formula1>
      <formula2>300</formula2>
    </dataValidation>
    <dataValidation type="decimal" allowBlank="1" showInputMessage="1" showErrorMessage="1" errorTitle="Invalid value entered" error="The Average Depth Embededdment you entered is invalid. The Average Depth Embededdment must be &lt;= 2.49 and &gt;= 0.01" sqref="Q138" xr:uid="{9271B9D4-5076-2B47-9926-7630A7D793E9}">
      <formula1>0.01</formula1>
      <formula2>2.49</formula2>
    </dataValidation>
    <dataValidation type="list" allowBlank="1" showInputMessage="1" showErrorMessage="1" errorTitle="Invalid value entered" error="The crossing subtype is not compatible with a crossing type of Closed Bottom Structure" sqref="M139" xr:uid="{AEC58279-E266-994B-AA21-DF7031AF5A03}">
      <formula1>"Round Culvert,Oval Culvert,Concrete Box"</formula1>
    </dataValidation>
    <dataValidation type="decimal" allowBlank="1" showInputMessage="1" showErrorMessage="1" errorTitle="Invalid Diamter or Span" error="The Diameter or Span entered is invalid. Diameter or Span must be &gt; 0 and &lt; 300" sqref="N139" xr:uid="{BA28CB76-31BC-6D45-B3E0-B571F58C7CF6}">
      <formula1>0.01</formula1>
      <formula2>300</formula2>
    </dataValidation>
    <dataValidation type="decimal" allowBlank="1" showInputMessage="1" showErrorMessage="1" errorTitle="Invalid value entered" error="The Average Depth Embededdment you entered is invalid. The Average Depth Embededdment must be &lt;= 1.29 and &gt;= 0.01" sqref="Q139" xr:uid="{756FAF7B-F1FB-8C4A-9356-C7EE1A66434F}">
      <formula1>0.01</formula1>
      <formula2>1.29</formula2>
    </dataValidation>
    <dataValidation type="list" allowBlank="1" showInputMessage="1" showErrorMessage="1" errorTitle="Invalid value entered" error="The crossing subtype is not compatible with a crossing type of Closed Bottom Structure" sqref="M140" xr:uid="{82636D19-ACC7-3A45-BD95-9C3B088DC4D4}">
      <formula1>"Round Culvert,Oval Culvert,Concrete Box"</formula1>
    </dataValidation>
    <dataValidation type="decimal" allowBlank="1" showInputMessage="1" showErrorMessage="1" errorTitle="Invalid Diamter or Span" error="The Diameter or Span entered is invalid. Diameter or Span must be &gt; 0 and &lt; 300" sqref="N140" xr:uid="{3DAEBDDF-2DD3-814D-BF94-F560F7584B9F}">
      <formula1>0.01</formula1>
      <formula2>300</formula2>
    </dataValidation>
    <dataValidation type="decimal" allowBlank="1" showInputMessage="1" showErrorMessage="1" errorTitle="Invalid value entered" error="The Average Depth Embededdment you entered is invalid. The Average Depth Embededdment must be &lt;= 2.34 and &gt;= 0.01" sqref="Q140" xr:uid="{7647144A-18CD-094B-AB20-AC47F16B00D0}">
      <formula1>0.01</formula1>
      <formula2>2.34</formula2>
    </dataValidation>
    <dataValidation type="list" allowBlank="1" showInputMessage="1" showErrorMessage="1" errorTitle="Invalid value entered" error="The crossing subtype is not compatible with a crossing type of Closed Bottom Structure" sqref="M141" xr:uid="{CB398DE6-2E69-554B-B21C-F37F5833C058}">
      <formula1>"Round Culvert,Oval Culvert,Concrete Box"</formula1>
    </dataValidation>
    <dataValidation type="decimal" allowBlank="1" showInputMessage="1" showErrorMessage="1" errorTitle="Invalid Diamter or Span" error="The Diameter or Span entered is invalid. Diameter or Span must be &gt; 0 and &lt; 300" sqref="N141" xr:uid="{238AF59C-9D29-BA4F-8C70-9FC980C1049F}">
      <formula1>0.01</formula1>
      <formula2>300</formula2>
    </dataValidation>
    <dataValidation type="decimal" allowBlank="1" showInputMessage="1" showErrorMessage="1" errorTitle="Invalid value entered" error="The Average Depth Embededdment you entered is invalid. The Average Depth Embededdment must be &lt;= 0.79 and &gt;= 0.01" sqref="Q141" xr:uid="{D48A415A-8F3C-1246-B95A-7208589D68F9}">
      <formula1>0.01</formula1>
      <formula2>0.79</formula2>
    </dataValidation>
    <dataValidation type="list" allowBlank="1" showInputMessage="1" showErrorMessage="1" errorTitle="Invalid value entered" error="The crossing subtype is not compatible with a crossing type of Closed Bottom Structure" sqref="M142" xr:uid="{0B0AEC53-2F1C-3044-A233-71D263E4B5A7}">
      <formula1>"Round Culvert,Oval Culvert,Concrete Box"</formula1>
    </dataValidation>
    <dataValidation type="decimal" allowBlank="1" showInputMessage="1" showErrorMessage="1" errorTitle="Invalid Diamter or Span" error="The Diameter or Span entered is invalid. Diameter or Span must be &gt; 0 and &lt; 300" sqref="N142" xr:uid="{9E18B692-3179-134A-8A27-34E98EAAB6DF}">
      <formula1>0.01</formula1>
      <formula2>300</formula2>
    </dataValidation>
    <dataValidation type="decimal" allowBlank="1" showInputMessage="1" showErrorMessage="1" errorTitle="Invalid value entered" error="The Average Depth Embededdment you entered is invalid. The Average Depth Embededdment must be &lt;= 0.89 and &gt;= 0.01" sqref="Q142" xr:uid="{775EA805-3F27-A045-9504-7A432D32E89D}">
      <formula1>0.01</formula1>
      <formula2>0.89</formula2>
    </dataValidation>
    <dataValidation type="list" allowBlank="1" showInputMessage="1" showErrorMessage="1" errorTitle="Invalid value entered" error="The crossing subtype is not compatible with a crossing type of Closed Bottom Structure" sqref="M143" xr:uid="{F2D2E73E-646D-DE47-A656-37103835CDDE}">
      <formula1>"Round Culvert,Oval Culvert,Concrete Box"</formula1>
    </dataValidation>
    <dataValidation type="decimal" allowBlank="1" showInputMessage="1" showErrorMessage="1" errorTitle="Invalid Diamter or Span" error="The Diameter or Span entered is invalid. Diameter or Span must be &gt; 0 and &lt; 300" sqref="N143" xr:uid="{ED9D89A9-9B2F-184D-8EC0-5F99B2AC8116}">
      <formula1>0.01</formula1>
      <formula2>300</formula2>
    </dataValidation>
    <dataValidation type="decimal" allowBlank="1" showInputMessage="1" showErrorMessage="1" errorTitle="Invalid value entered" error="The Average Depth Embededdment you entered is invalid. The Average Depth Embededdment must be &lt;= 2.19 and &gt;= 0.01" sqref="Q143" xr:uid="{8A2CB505-8D6B-3E43-9B7A-28F27DA6119F}">
      <formula1>0.01</formula1>
      <formula2>2.19</formula2>
    </dataValidation>
    <dataValidation type="list" allowBlank="1" showInputMessage="1" showErrorMessage="1" errorTitle="Invalid value entered" error="The crossing subtype is not compatible with a crossing type of Closed Bottom Structure" sqref="M144" xr:uid="{8BFF9ABB-9D47-4843-802E-7E2820A60D42}">
      <formula1>"Round Culvert,Oval Culvert,Concrete Box"</formula1>
    </dataValidation>
    <dataValidation type="decimal" allowBlank="1" showInputMessage="1" showErrorMessage="1" errorTitle="Invalid Diamter or Span" error="The Diameter or Span entered is invalid. Diameter or Span must be &gt; 0 and &lt; 300" sqref="N144" xr:uid="{B9B81BDC-B20A-DA47-8CF4-CF0A1ADFEF79}">
      <formula1>0.01</formula1>
      <formula2>300</formula2>
    </dataValidation>
    <dataValidation type="decimal" allowBlank="1" showInputMessage="1" showErrorMessage="1" errorTitle="Invalid value entered" error="The Average Depth Embededdment you entered is invalid. The Average Depth Embededdment must be &lt;= 2.09 and &gt;= 0.01" sqref="Q144" xr:uid="{BD730F0A-298B-CF40-A8CC-8EF08D936CAF}">
      <formula1>0.01</formula1>
      <formula2>2.09</formula2>
    </dataValidation>
    <dataValidation type="list" allowBlank="1" showInputMessage="1" showErrorMessage="1" errorTitle="Invalid value entered" error="The crossing subtype is not compatible with a crossing type of Closed Bottom Structure" sqref="M145" xr:uid="{04B33C02-ABD0-A649-8547-126A63CD5CBA}">
      <formula1>"Round Culvert,Oval Culvert,Concrete Box"</formula1>
    </dataValidation>
    <dataValidation type="decimal" allowBlank="1" showInputMessage="1" showErrorMessage="1" errorTitle="Invalid Diamter or Span" error="The Diameter or Span entered is invalid. Diameter or Span must be &gt; 0 and &lt; 300" sqref="N145" xr:uid="{F7BE5906-6964-C449-AADA-C50ABA93CCF5}">
      <formula1>0.01</formula1>
      <formula2>300</formula2>
    </dataValidation>
    <dataValidation type="decimal" allowBlank="1" showInputMessage="1" showErrorMessage="1" errorTitle="Invalid value entered" error="The Average Depth Embededdment you entered is invalid. The Average Depth Embededdment must be &lt;= 0.79 and &gt;= 0.01" sqref="Q145" xr:uid="{3DE7921C-4903-D64B-B745-2821A2C23927}">
      <formula1>0.01</formula1>
      <formula2>0.79</formula2>
    </dataValidation>
    <dataValidation type="list" allowBlank="1" showInputMessage="1" showErrorMessage="1" errorTitle="Invalid value entered" error="The crossing subtype is not compatible with a crossing type of Closed Bottom Structure" sqref="M146" xr:uid="{B69A4781-B459-C74E-8F80-C792F0D31320}">
      <formula1>"Round Culvert,Oval Culvert,Concrete Box"</formula1>
    </dataValidation>
    <dataValidation type="decimal" allowBlank="1" showInputMessage="1" showErrorMessage="1" errorTitle="Invalid Diamter or Span" error="The Diameter or Span entered is invalid. Diameter or Span must be &gt; 0 and &lt; 300" sqref="N146" xr:uid="{E3958A4F-E534-2F4A-8288-9D1FE3B5F3DD}">
      <formula1>0.01</formula1>
      <formula2>300</formula2>
    </dataValidation>
    <dataValidation type="decimal" allowBlank="1" showInputMessage="1" showErrorMessage="1" errorTitle="Invalid value entered" error="The Average Depth Embededdment you entered is invalid. The Average Depth Embededdment must be &lt;= 1.69 and &gt;= 0.01" sqref="Q146" xr:uid="{9CA29DF8-D23B-8248-9693-BF9EF303D22C}">
      <formula1>0.01</formula1>
      <formula2>1.69</formula2>
    </dataValidation>
    <dataValidation type="list" allowBlank="1" showInputMessage="1" showErrorMessage="1" errorTitle="Invalid value entered" error="The crossing subtype is not compatible with a crossing type of Closed Bottom Structure" sqref="M147" xr:uid="{5025166E-721E-4442-B8D6-4B41DD6F461F}">
      <formula1>"Round Culvert,Oval Culvert,Concrete Box"</formula1>
    </dataValidation>
    <dataValidation type="decimal" allowBlank="1" showInputMessage="1" showErrorMessage="1" errorTitle="Invalid Diamter or Span" error="The Diameter or Span entered is invalid. Diameter or Span must be &gt; 0 and &lt; 300" sqref="N147" xr:uid="{7A1FD65B-165F-D54C-BC83-AFB40DDC7E1F}">
      <formula1>0.01</formula1>
      <formula2>300</formula2>
    </dataValidation>
    <dataValidation type="decimal" allowBlank="1" showInputMessage="1" showErrorMessage="1" errorTitle="Invalid value entered" error="The Average Depth Embededdment you entered is invalid. The Average Depth Embededdment must be &lt;= 3.99 and &gt;= 0.01" sqref="Q147" xr:uid="{4B80035E-9B6E-A240-82F0-C3C374B3CFF2}">
      <formula1>0.01</formula1>
      <formula2>3.99</formula2>
    </dataValidation>
    <dataValidation type="list" allowBlank="1" showInputMessage="1" showErrorMessage="1" errorTitle="Invalid value entered" error="The crossing subtype is not compatible with a crossing type of Closed Bottom Structure" sqref="M148" xr:uid="{8DC08293-D3AA-3746-BE22-C81E7C900A28}">
      <formula1>"Round Culvert,Oval Culvert,Concrete Box"</formula1>
    </dataValidation>
    <dataValidation type="decimal" allowBlank="1" showInputMessage="1" showErrorMessage="1" errorTitle="Invalid Diamter or Span" error="The Diameter or Span entered is invalid. Diameter or Span must be &gt; 0 and &lt; 300" sqref="N148" xr:uid="{3C2270D1-F0E0-E84B-AF15-37F08B369C59}">
      <formula1>0.01</formula1>
      <formula2>300</formula2>
    </dataValidation>
    <dataValidation type="decimal" allowBlank="1" showInputMessage="1" showErrorMessage="1" errorTitle="Invalid value entered" error="The Average Depth Embededdment you entered is invalid. The Average Depth Embededdment must be &lt;= 0.89 and &gt;= 0.01" sqref="Q148" xr:uid="{BFE8513A-E885-354F-A86B-54B037BBCF12}">
      <formula1>0.01</formula1>
      <formula2>0.89</formula2>
    </dataValidation>
    <dataValidation type="list" allowBlank="1" showInputMessage="1" showErrorMessage="1" errorTitle="Invalid value entered" error="The crossing subtype is not compatible with a crossing type of Closed Bottom Structure" sqref="M149" xr:uid="{91F304CC-7036-C645-8D2A-DCDF892EC5B9}">
      <formula1>"Round Culvert,Oval Culvert,Concrete Box"</formula1>
    </dataValidation>
    <dataValidation type="decimal" allowBlank="1" showInputMessage="1" showErrorMessage="1" errorTitle="Invalid Diamter or Span" error="The Diameter or Span entered is invalid. Diameter or Span must be &gt; 0 and &lt; 300" sqref="N149" xr:uid="{18CCF206-200D-3B44-9B99-328FF455F477}">
      <formula1>0.01</formula1>
      <formula2>300</formula2>
    </dataValidation>
    <dataValidation type="decimal" allowBlank="1" showInputMessage="1" showErrorMessage="1" errorTitle="Invalid value entered" error="The Average Depth Embededdment you entered is invalid. The Average Depth Embededdment must be &lt;= 1.39 and &gt;= 0.01" sqref="Q149" xr:uid="{24A0587C-93E4-334C-A987-B864E0F5196D}">
      <formula1>0.01</formula1>
      <formula2>1.39</formula2>
    </dataValidation>
    <dataValidation type="list" allowBlank="1" showInputMessage="1" showErrorMessage="1" errorTitle="Invalid value entered" error="The crossing subtype is not compatible with a crossing type of Closed Bottom Structure" sqref="M150" xr:uid="{2C42FBEC-D0B2-AC49-AB04-9582E1145EB6}">
      <formula1>"Round Culvert,Oval Culvert,Concrete Box"</formula1>
    </dataValidation>
    <dataValidation type="decimal" allowBlank="1" showInputMessage="1" showErrorMessage="1" errorTitle="Invalid Diamter or Span" error="The Diameter or Span entered is invalid. Diameter or Span must be &gt; 0 and &lt; 300" sqref="N150" xr:uid="{F4EDCCB3-30FA-5348-9AD0-AE5755F89E0C}">
      <formula1>0.01</formula1>
      <formula2>300</formula2>
    </dataValidation>
    <dataValidation type="decimal" allowBlank="1" showInputMessage="1" showErrorMessage="1" errorTitle="Invalid value entered" error="The Average Depth Embededdment you entered is invalid. The Average Depth Embededdment must be &lt;= 1.99 and &gt;= 0.01" sqref="Q150" xr:uid="{5CB91AA3-FC18-A347-89D0-A5313BC1F5DF}">
      <formula1>0.01</formula1>
      <formula2>1.99</formula2>
    </dataValidation>
    <dataValidation type="list" allowBlank="1" showInputMessage="1" showErrorMessage="1" errorTitle="Invalid value entered" error="The crossing subtype is not compatible with a crossing type of Closed Bottom Structure" sqref="M151" xr:uid="{A07B918C-32B5-6348-A396-AE046D8F00F7}">
      <formula1>"Round Culvert,Oval Culvert,Concrete Box"</formula1>
    </dataValidation>
    <dataValidation type="decimal" allowBlank="1" showInputMessage="1" showErrorMessage="1" errorTitle="Invalid Diamter or Span" error="The Diameter or Span entered is invalid. Diameter or Span must be &gt; 0 and &lt; 300" sqref="N151" xr:uid="{BB742192-2061-3D41-BB35-57C0760A3883}">
      <formula1>0.01</formula1>
      <formula2>300</formula2>
    </dataValidation>
    <dataValidation type="decimal" allowBlank="1" showInputMessage="1" showErrorMessage="1" errorTitle="Invalid value entered" error="The Average Depth Embededdment you entered is invalid. The Average Depth Embededdment must be &lt;= 3.29 and &gt;= 0.01" sqref="Q151" xr:uid="{607391D5-68FA-9649-A649-E372B7A46CDB}">
      <formula1>0.01</formula1>
      <formula2>3.29</formula2>
    </dataValidation>
    <dataValidation type="list" allowBlank="1" showInputMessage="1" showErrorMessage="1" errorTitle="Invalid value entered" error="The crossing subtype is not compatible with a crossing type of Closed Bottom Structure" sqref="M152" xr:uid="{BB07B3A9-6B03-A040-A85E-A0C85BF03FB7}">
      <formula1>"Round Culvert,Oval Culvert,Concrete Box"</formula1>
    </dataValidation>
    <dataValidation type="decimal" allowBlank="1" showInputMessage="1" showErrorMessage="1" errorTitle="Invalid Diamter or Span" error="The Diameter or Span entered is invalid. Diameter or Span must be &gt; 0 and &lt; 300" sqref="N152" xr:uid="{673EE1B0-2A17-0148-9466-98EC8B0C6D55}">
      <formula1>0.01</formula1>
      <formula2>300</formula2>
    </dataValidation>
    <dataValidation type="decimal" allowBlank="1" showInputMessage="1" showErrorMessage="1" errorTitle="Invalid value entered" error="The Average Depth Embededdment you entered is invalid. The Average Depth Embededdment must be &lt;= 0.79 and &gt;= 0.01" sqref="Q152" xr:uid="{34CF7BDE-9810-4D40-BC13-B2652508F0D5}">
      <formula1>0.01</formula1>
      <formula2>0.79</formula2>
    </dataValidation>
    <dataValidation type="list" allowBlank="1" showInputMessage="1" showErrorMessage="1" errorTitle="Invalid value entered" error="The crossing subtype is not compatible with a crossing type of Closed Bottom Structure" sqref="M153" xr:uid="{EE9934A3-FC08-7F4D-BF9B-B38B1B029002}">
      <formula1>"Round Culvert,Oval Culvert,Concrete Box"</formula1>
    </dataValidation>
    <dataValidation type="decimal" allowBlank="1" showInputMessage="1" showErrorMessage="1" errorTitle="Invalid Diamter or Span" error="The Diameter or Span entered is invalid. Diameter or Span must be &gt; 0 and &lt; 300" sqref="N153" xr:uid="{1AC0B5E6-F3D2-F344-9A42-C5474678CD61}">
      <formula1>0.01</formula1>
      <formula2>300</formula2>
    </dataValidation>
    <dataValidation type="decimal" allowBlank="1" showInputMessage="1" showErrorMessage="1" errorTitle="Invalid value entered" error="The Average Depth Embededdment you entered is invalid. The Average Depth Embededdment must be &lt;= 1.99 and &gt;= 0.01" sqref="Q153" xr:uid="{0FEB530B-7FA1-0C42-9019-A46CED9FA8F7}">
      <formula1>0.01</formula1>
      <formula2>1.99</formula2>
    </dataValidation>
    <dataValidation type="list" allowBlank="1" showInputMessage="1" showErrorMessage="1" errorTitle="Invalid value entered" error="The crossing subtype is not compatible with a crossing type of Closed Bottom Structure" sqref="M154" xr:uid="{E2D9B263-5BF8-8641-A787-97161BEE85BF}">
      <formula1>"Round Culvert,Oval Culvert,Concrete Box"</formula1>
    </dataValidation>
    <dataValidation type="decimal" allowBlank="1" showInputMessage="1" showErrorMessage="1" errorTitle="Invalid Diamter or Span" error="The Diameter or Span entered is invalid. Diameter or Span must be &gt; 0 and &lt; 300" sqref="N154" xr:uid="{370FB86A-5843-434C-BC0E-4126A1D63930}">
      <formula1>0.01</formula1>
      <formula2>300</formula2>
    </dataValidation>
    <dataValidation type="decimal" allowBlank="1" showInputMessage="1" showErrorMessage="1" errorTitle="Invalid value entered" error="The Average Depth Embededdment you entered is invalid. The Average Depth Embededdment must be &lt;= 0.69 and &gt;= 0.01" sqref="Q154" xr:uid="{46512FB6-759E-6C46-81E7-3D2E905B7D59}">
      <formula1>0.01</formula1>
      <formula2>0.69</formula2>
    </dataValidation>
    <dataValidation type="list" allowBlank="1" showInputMessage="1" showErrorMessage="1" errorTitle="Invalid value entered" error="The crossing subtype is not compatible with a crossing type of Closed Bottom Structure" sqref="M155" xr:uid="{B22B3F28-C2B2-4142-8E20-867D5D59D9E1}">
      <formula1>"Round Culvert,Oval Culvert,Concrete Box"</formula1>
    </dataValidation>
    <dataValidation type="decimal" allowBlank="1" showInputMessage="1" showErrorMessage="1" errorTitle="Invalid Diamter or Span" error="The Diameter or Span entered is invalid. Diameter or Span must be &gt; 0 and &lt; 300" sqref="N155" xr:uid="{7D0D6D05-BC36-DA44-8EE2-223968487703}">
      <formula1>0.01</formula1>
      <formula2>300</formula2>
    </dataValidation>
    <dataValidation type="decimal" allowBlank="1" showInputMessage="1" showErrorMessage="1" errorTitle="Invalid value entered" error="The Average Depth Embededdment you entered is invalid. The Average Depth Embededdment must be &lt;= 0.89 and &gt;= 0.01" sqref="Q155" xr:uid="{A25319FF-E63F-A945-81A7-55402DFD98AA}">
      <formula1>0.01</formula1>
      <formula2>0.89</formula2>
    </dataValidation>
    <dataValidation type="list" allowBlank="1" showInputMessage="1" showErrorMessage="1" errorTitle="Invalid value entered" error="The crossing subtype is not compatible with a crossing type of Closed Bottom Structure" sqref="M156" xr:uid="{0C4D0E8F-F3DD-4E42-AAC6-E48D2766CC0F}">
      <formula1>"Round Culvert,Oval Culvert,Concrete Box"</formula1>
    </dataValidation>
    <dataValidation type="decimal" allowBlank="1" showInputMessage="1" showErrorMessage="1" errorTitle="Invalid Diamter or Span" error="The Diameter or Span entered is invalid. Diameter or Span must be &gt; 0 and &lt; 300" sqref="N156" xr:uid="{0E979F80-93D2-B84A-B98B-C3E1ABA2540D}">
      <formula1>0.01</formula1>
      <formula2>300</formula2>
    </dataValidation>
    <dataValidation type="decimal" allowBlank="1" showInputMessage="1" showErrorMessage="1" errorTitle="Invalid value entered" error="The Average Depth Embededdment you entered is invalid. The Average Depth Embededdment must be &lt;= 1.19 and &gt;= 0.01" sqref="Q156" xr:uid="{7468F1BA-A0AB-3649-A3C7-68F063C31605}">
      <formula1>0.01</formula1>
      <formula2>1.19</formula2>
    </dataValidation>
    <dataValidation type="list" allowBlank="1" showInputMessage="1" showErrorMessage="1" errorTitle="Invalid value entered" error="The crossing subtype is not compatible with a crossing type of Closed Bottom Structure" sqref="M157" xr:uid="{1FB0C49D-B235-D04C-B192-02818C002FF0}">
      <formula1>"Round Culvert,Oval Culvert,Concrete Box"</formula1>
    </dataValidation>
    <dataValidation type="decimal" allowBlank="1" showInputMessage="1" showErrorMessage="1" errorTitle="Invalid Diamter or Span" error="The Diameter or Span entered is invalid. Diameter or Span must be &gt; 0 and &lt; 300" sqref="N157" xr:uid="{E9419A71-029A-F54A-B06C-4BFCDBFA9BBF}">
      <formula1>0.01</formula1>
      <formula2>300</formula2>
    </dataValidation>
    <dataValidation type="decimal" allowBlank="1" showInputMessage="1" showErrorMessage="1" errorTitle="Invalid value entered" error="The Average Depth Embededdment you entered is invalid. The Average Depth Embededdment must be &lt;= 1.04 and &gt;= 0.01" sqref="Q157" xr:uid="{2FE39E0F-5E41-E24F-9F02-A1A8B6A2829E}">
      <formula1>0.01</formula1>
      <formula2>1.04</formula2>
    </dataValidation>
    <dataValidation type="list" allowBlank="1" showInputMessage="1" showErrorMessage="1" errorTitle="Invalid value entered" error="The crossing subtype is not compatible with a crossing type of Closed Bottom Structure" sqref="M158" xr:uid="{F1CC8412-FFF8-9C4F-9791-73D07B7DD38F}">
      <formula1>"Round Culvert,Oval Culvert,Concrete Box"</formula1>
    </dataValidation>
    <dataValidation type="decimal" allowBlank="1" showInputMessage="1" showErrorMessage="1" errorTitle="Invalid Diamter or Span" error="The Diameter or Span entered is invalid. Diameter or Span must be &gt; 0 and &lt; 300" sqref="N158" xr:uid="{12E04574-8014-9A48-A898-CDBAF8A9108D}">
      <formula1>0.01</formula1>
      <formula2>300</formula2>
    </dataValidation>
    <dataValidation type="decimal" allowBlank="1" showInputMessage="1" showErrorMessage="1" errorTitle="Invalid value entered" error="The Average Depth Embededdment you entered is invalid. The Average Depth Embededdment must be &lt;= 0.89 and &gt;= 0.01" sqref="Q158" xr:uid="{00FD870E-9187-EB40-AE1F-D0E308606F1D}">
      <formula1>0.01</formula1>
      <formula2>0.89</formula2>
    </dataValidation>
    <dataValidation type="list" allowBlank="1" showInputMessage="1" showErrorMessage="1" errorTitle="Invalid value entered" error="The crossing subtype is not compatible with a crossing type of Closed Bottom Structure" sqref="M159" xr:uid="{7EDBFF8E-DC9E-9147-84E0-247CCBAC7A87}">
      <formula1>"Round Culvert,Oval Culvert,Concrete Box"</formula1>
    </dataValidation>
    <dataValidation type="decimal" allowBlank="1" showInputMessage="1" showErrorMessage="1" errorTitle="Invalid Diamter or Span" error="The Diameter or Span entered is invalid. Diameter or Span must be &gt; 0 and &lt; 300" sqref="N159" xr:uid="{7E2BE760-0C2D-E741-936F-2CA5C7CF3E2C}">
      <formula1>0.01</formula1>
      <formula2>300</formula2>
    </dataValidation>
    <dataValidation type="decimal" allowBlank="1" showInputMessage="1" showErrorMessage="1" errorTitle="Invalid value entered" error="The Average Depth Embededdment you entered is invalid. The Average Depth Embededdment must be &lt;= 4.49 and &gt;= 0.01" sqref="Q159" xr:uid="{B39116B7-B55E-8347-99DA-F5ADDEA15576}">
      <formula1>0.01</formula1>
      <formula2>4.49</formula2>
    </dataValidation>
    <dataValidation type="list" allowBlank="1" showInputMessage="1" showErrorMessage="1" errorTitle="Invalid value entered" error="The crossing subtype is not compatible with a crossing type of Closed Bottom Structure" sqref="M160" xr:uid="{04DB79E2-6926-2040-8C57-D0F345F0EE4D}">
      <formula1>"Round Culvert,Oval Culvert,Concrete Box"</formula1>
    </dataValidation>
    <dataValidation type="decimal" allowBlank="1" showInputMessage="1" showErrorMessage="1" errorTitle="Invalid Diamter or Span" error="The Diameter or Span entered is invalid. Diameter or Span must be &gt; 0 and &lt; 300" sqref="N160" xr:uid="{795C21DF-7D8D-9B42-957E-057C90337307}">
      <formula1>0.01</formula1>
      <formula2>300</formula2>
    </dataValidation>
    <dataValidation type="decimal" allowBlank="1" showInputMessage="1" showErrorMessage="1" errorTitle="Invalid value entered" error="The Average Depth Embededdment you entered is invalid. The Average Depth Embededdment must be &lt;= 2.69 and &gt;= 0.01" sqref="Q160" xr:uid="{3D1A6081-ADC9-2147-BB06-2DB4A3F0C558}">
      <formula1>0.01</formula1>
      <formula2>2.69</formula2>
    </dataValidation>
    <dataValidation type="list" allowBlank="1" showInputMessage="1" showErrorMessage="1" errorTitle="Invalid value entered" error="The crossing subtype is not compatible with a crossing type of Closed Bottom Structure" sqref="M161" xr:uid="{08062B2D-65FD-3543-B735-FF7046B1E625}">
      <formula1>"Round Culvert,Oval Culvert,Concrete Box"</formula1>
    </dataValidation>
    <dataValidation type="decimal" allowBlank="1" showInputMessage="1" showErrorMessage="1" errorTitle="Invalid Diamter or Span" error="The Diameter or Span entered is invalid. Diameter or Span must be &gt; 0 and &lt; 300" sqref="N161" xr:uid="{766CD226-C9C1-BA4A-A190-5A2101A59257}">
      <formula1>0.01</formula1>
      <formula2>300</formula2>
    </dataValidation>
    <dataValidation type="decimal" allowBlank="1" showInputMessage="1" showErrorMessage="1" errorTitle="Invalid value entered" error="The Average Depth Embededdment you entered is invalid. The Average Depth Embededdment must be &lt;= 0.99 and &gt;= 0.01" sqref="Q161" xr:uid="{607665D6-9689-3B47-B3F8-60979AA769C3}">
      <formula1>0.01</formula1>
      <formula2>0.99</formula2>
    </dataValidation>
    <dataValidation type="list" allowBlank="1" showInputMessage="1" showErrorMessage="1" errorTitle="Invalid value entered" error="The crossing subtype is not compatible with a crossing type of Closed Bottom Structure" sqref="M162" xr:uid="{F025A911-7DD8-9343-B562-5C4E3B3E5764}">
      <formula1>"Round Culvert,Oval Culvert,Concrete Box"</formula1>
    </dataValidation>
    <dataValidation type="decimal" allowBlank="1" showInputMessage="1" showErrorMessage="1" errorTitle="Invalid Diamter or Span" error="The Diameter or Span entered is invalid. Diameter or Span must be &gt; 0 and &lt; 300" sqref="N162" xr:uid="{573B83C5-329A-A24B-B1D4-924A2AD8A518}">
      <formula1>0.01</formula1>
      <formula2>300</formula2>
    </dataValidation>
    <dataValidation type="decimal" allowBlank="1" showInputMessage="1" showErrorMessage="1" errorTitle="Invalid value entered" error="The Average Depth Embededdment you entered is invalid. The Average Depth Embededdment must be &lt;= 3.79 and &gt;= 0.01" sqref="Q162" xr:uid="{A67C1923-7CAD-0C43-B5F3-5E5B81707A52}">
      <formula1>0.01</formula1>
      <formula2>3.79</formula2>
    </dataValidation>
    <dataValidation type="list" allowBlank="1" showInputMessage="1" showErrorMessage="1" errorTitle="Invalid value entered" error="The crossing subtype is not compatible with a crossing type of Closed Bottom Structure" sqref="M163" xr:uid="{82918890-FFCF-1B45-AE5F-08A981A925EF}">
      <formula1>"Round Culvert,Oval Culvert,Concrete Box"</formula1>
    </dataValidation>
    <dataValidation type="decimal" allowBlank="1" showInputMessage="1" showErrorMessage="1" errorTitle="Invalid Diamter or Span" error="The Diameter or Span entered is invalid. Diameter or Span must be &gt; 0 and &lt; 300" sqref="N163" xr:uid="{55014266-CDBB-7445-8EE0-AD4D238DE89B}">
      <formula1>0.01</formula1>
      <formula2>300</formula2>
    </dataValidation>
    <dataValidation type="decimal" allowBlank="1" showInputMessage="1" showErrorMessage="1" errorTitle="Invalid value entered" error="The Average Depth Embededdment you entered is invalid. The Average Depth Embededdment must be &lt;= 4.79 and &gt;= 0.01" sqref="Q163" xr:uid="{8B3A19DB-55B6-4642-8B24-6A390E4E1FB4}">
      <formula1>0.01</formula1>
      <formula2>4.79</formula2>
    </dataValidation>
    <dataValidation type="list" allowBlank="1" showInputMessage="1" showErrorMessage="1" errorTitle="Invalid value entered" error="The crossing subtype is not compatible with a crossing type of Closed Bottom Structure" sqref="M164" xr:uid="{8435C94F-0E74-F54E-B1C4-3782979B54D0}">
      <formula1>"Round Culvert,Oval Culvert,Concrete Box"</formula1>
    </dataValidation>
    <dataValidation type="decimal" allowBlank="1" showInputMessage="1" showErrorMessage="1" errorTitle="Invalid Diamter or Span" error="The Diameter or Span entered is invalid. Diameter or Span must be &gt; 0 and &lt; 300" sqref="N164" xr:uid="{FD488348-91F7-2C49-9534-A6EB1ACA85D4}">
      <formula1>0.01</formula1>
      <formula2>300</formula2>
    </dataValidation>
    <dataValidation type="decimal" allowBlank="1" showInputMessage="1" showErrorMessage="1" errorTitle="Invalid value entered" error="The Average Depth Embededdment you entered is invalid. The Average Depth Embededdment must be &lt;= 1.99 and &gt;= 0.01" sqref="Q164" xr:uid="{303C2F3F-C929-EE40-92E3-15AD0B476F3F}">
      <formula1>0.01</formula1>
      <formula2>1.99</formula2>
    </dataValidation>
    <dataValidation type="list" allowBlank="1" showInputMessage="1" showErrorMessage="1" errorTitle="Invalid value entered" error="The crossing subtype is not compatible with a crossing type of Closed Bottom Structure" sqref="M165" xr:uid="{59458BE9-9513-EB46-AF12-B256EA39A78F}">
      <formula1>"Round Culvert,Oval Culvert,Concrete Box"</formula1>
    </dataValidation>
    <dataValidation type="decimal" allowBlank="1" showInputMessage="1" showErrorMessage="1" errorTitle="Invalid Diamter or Span" error="The Diameter or Span entered is invalid. Diameter or Span must be &gt; 0 and &lt; 300" sqref="N165" xr:uid="{36F1FBCE-79FD-0B42-9F7A-EC8D9C6899C8}">
      <formula1>0.01</formula1>
      <formula2>300</formula2>
    </dataValidation>
    <dataValidation type="decimal" allowBlank="1" showInputMessage="1" showErrorMessage="1" errorTitle="Invalid value entered" error="The Average Depth Embededdment you entered is invalid. The Average Depth Embededdment must be &lt;= 2.99 and &gt;= 0.01" sqref="Q165" xr:uid="{672C6599-A757-5441-9290-8C4E9534567C}">
      <formula1>0.01</formula1>
      <formula2>2.99</formula2>
    </dataValidation>
    <dataValidation type="list" allowBlank="1" showInputMessage="1" showErrorMessage="1" errorTitle="Invalid value entered" error="The crossing subtype is not compatible with a crossing type of Closed Bottom Structure" sqref="M166" xr:uid="{08BA44D7-B947-D04B-930D-24A5BB83520D}">
      <formula1>"Round Culvert,Oval Culvert,Concrete Box"</formula1>
    </dataValidation>
    <dataValidation type="decimal" allowBlank="1" showInputMessage="1" showErrorMessage="1" errorTitle="Invalid Diamter or Span" error="The Diameter or Span entered is invalid. Diameter or Span must be &gt; 0 and &lt; 300" sqref="N166" xr:uid="{1224076B-4362-DD46-A82A-A0BB269CE9EE}">
      <formula1>0.01</formula1>
      <formula2>300</formula2>
    </dataValidation>
    <dataValidation type="decimal" allowBlank="1" showInputMessage="1" showErrorMessage="1" errorTitle="Invalid value entered" error="The Average Depth Embededdment you entered is invalid. The Average Depth Embededdment must be &lt;= 0.74 and &gt;= 0.01" sqref="Q166" xr:uid="{CFB04384-95CF-224D-8F52-9F86EA0903F6}">
      <formula1>0.01</formula1>
      <formula2>0.74</formula2>
    </dataValidation>
    <dataValidation type="list" allowBlank="1" showInputMessage="1" showErrorMessage="1" errorTitle="Invalid value entered" error="The crossing subtype is not compatible with a crossing type of Closed Bottom Structure" sqref="M167" xr:uid="{942D08B7-AD32-4043-A877-2DFDB2CDA11F}">
      <formula1>"Round Culvert,Oval Culvert,Concrete Box"</formula1>
    </dataValidation>
    <dataValidation type="decimal" allowBlank="1" showInputMessage="1" showErrorMessage="1" errorTitle="Invalid Diamter or Span" error="The Diameter or Span entered is invalid. Diameter or Span must be &gt; 0 and &lt; 300" sqref="N167" xr:uid="{5BC1875B-7AB2-D14E-B862-1D2FD953C94F}">
      <formula1>0.01</formula1>
      <formula2>300</formula2>
    </dataValidation>
    <dataValidation type="decimal" allowBlank="1" showInputMessage="1" showErrorMessage="1" errorTitle="Invalid value entered" error="The Average Depth Embededdment you entered is invalid. The Average Depth Embededdment must be &lt;= 3.69 and &gt;= 0.01" sqref="Q167" xr:uid="{91ABFEF7-688E-4A4B-9687-9F8475410656}">
      <formula1>0.01</formula1>
      <formula2>3.69</formula2>
    </dataValidation>
    <dataValidation type="list" allowBlank="1" showInputMessage="1" showErrorMessage="1" errorTitle="Invalid value entered" error="The crossing subtype is not compatible with a crossing type of Closed Bottom Structure" sqref="M168" xr:uid="{1DA15022-F0A1-A84F-860A-26F8742A85E1}">
      <formula1>"Round Culvert,Oval Culvert,Concrete Box"</formula1>
    </dataValidation>
    <dataValidation type="decimal" allowBlank="1" showInputMessage="1" showErrorMessage="1" errorTitle="Invalid Diamter or Span" error="The Diameter or Span entered is invalid. Diameter or Span must be &gt; 0 and &lt; 300" sqref="N168" xr:uid="{0EB59230-0B9F-CD4A-A21E-20AFDE9132BE}">
      <formula1>0.01</formula1>
      <formula2>300</formula2>
    </dataValidation>
    <dataValidation type="decimal" allowBlank="1" showInputMessage="1" showErrorMessage="1" errorTitle="Invalid value entered" error="The Average Depth Embededdment you entered is invalid. The Average Depth Embededdment must be &lt;= 2.49 and &gt;= 0.01" sqref="Q168" xr:uid="{CC91FBE6-206A-9A4C-A632-50FFD3C0BDB7}">
      <formula1>0.01</formula1>
      <formula2>2.49</formula2>
    </dataValidation>
    <dataValidation type="list" allowBlank="1" showInputMessage="1" showErrorMessage="1" errorTitle="Invalid value entered" error="The crossing subtype is not compatible with a crossing type of Closed Bottom Structure" sqref="M169" xr:uid="{6A21FF1A-FA72-0740-BAE8-057A3597997B}">
      <formula1>"Round Culvert,Oval Culvert,Concrete Box"</formula1>
    </dataValidation>
    <dataValidation type="decimal" allowBlank="1" showInputMessage="1" showErrorMessage="1" errorTitle="Invalid Diamter or Span" error="The Diameter or Span entered is invalid. Diameter or Span must be &gt; 0 and &lt; 300" sqref="N169" xr:uid="{229DB5A9-15D5-9242-BD89-71B7EB9A39F8}">
      <formula1>0.01</formula1>
      <formula2>300</formula2>
    </dataValidation>
    <dataValidation type="decimal" allowBlank="1" showInputMessage="1" showErrorMessage="1" errorTitle="Invalid value entered" error="The Average Depth Embededdment you entered is invalid. The Average Depth Embededdment must be &lt;= 2.49 and &gt;= 0.01" sqref="Q169" xr:uid="{10B494BF-D46B-6E46-9D1D-9905640C588F}">
      <formula1>0.01</formula1>
      <formula2>2.49</formula2>
    </dataValidation>
    <dataValidation type="list" allowBlank="1" showInputMessage="1" showErrorMessage="1" errorTitle="Invalid value entered" error="The crossing subtype is not compatible with a crossing type of Closed Bottom Structure" sqref="M170" xr:uid="{20EF99D6-7BF5-2C41-83FC-855823D6C67E}">
      <formula1>"Round Culvert,Oval Culvert,Concrete Box"</formula1>
    </dataValidation>
    <dataValidation type="decimal" allowBlank="1" showInputMessage="1" showErrorMessage="1" errorTitle="Invalid Diamter or Span" error="The Diameter or Span entered is invalid. Diameter or Span must be &gt; 0 and &lt; 300" sqref="N170" xr:uid="{989B7060-FDD1-4347-A337-C6DAABF82459}">
      <formula1>0.01</formula1>
      <formula2>300</formula2>
    </dataValidation>
    <dataValidation type="decimal" allowBlank="1" showInputMessage="1" showErrorMessage="1" errorTitle="Invalid value entered" error="The Average Depth Embededdment you entered is invalid. The Average Depth Embededdment must be &lt;= 1.79 and &gt;= 0.01" sqref="Q170" xr:uid="{F2926049-9281-D44D-89E5-6886941D6134}">
      <formula1>0.01</formula1>
      <formula2>1.79</formula2>
    </dataValidation>
    <dataValidation type="list" allowBlank="1" showInputMessage="1" showErrorMessage="1" errorTitle="Invalid value entered" error="The crossing subtype is not compatible with a crossing type of Closed Bottom Structure" sqref="M171" xr:uid="{CE650BB2-2562-0A4F-BFC8-77D027F83419}">
      <formula1>"Round Culvert,Oval Culvert,Concrete Box"</formula1>
    </dataValidation>
    <dataValidation type="decimal" allowBlank="1" showInputMessage="1" showErrorMessage="1" errorTitle="Invalid Diamter or Span" error="The Diameter or Span entered is invalid. Diameter or Span must be &gt; 0 and &lt; 300" sqref="N171" xr:uid="{418131D7-CF3A-7C40-A421-F9AE5BA9287F}">
      <formula1>0.01</formula1>
      <formula2>300</formula2>
    </dataValidation>
    <dataValidation type="decimal" allowBlank="1" showInputMessage="1" showErrorMessage="1" errorTitle="Invalid value entered" error="The Average Depth Embededdment you entered is invalid. The Average Depth Embededdment must be &lt;= 1.19 and &gt;= 0.01" sqref="Q171" xr:uid="{F00D47AE-0B0D-5443-A4E1-C3AF31673B7F}">
      <formula1>0.01</formula1>
      <formula2>1.19</formula2>
    </dataValidation>
    <dataValidation type="list" allowBlank="1" showInputMessage="1" showErrorMessage="1" errorTitle="Invalid value entered" error="The crossing subtype is not compatible with a crossing type of Closed Bottom Structure" sqref="M172" xr:uid="{9A1A701E-5672-2E4A-BD8D-E1EBC3F08A14}">
      <formula1>"Round Culvert,Oval Culvert,Concrete Box"</formula1>
    </dataValidation>
    <dataValidation type="decimal" allowBlank="1" showInputMessage="1" showErrorMessage="1" errorTitle="Invalid Diamter or Span" error="The Diameter or Span entered is invalid. Diameter or Span must be &gt; 0 and &lt; 300" sqref="N172" xr:uid="{3894205A-D324-6347-8A5B-32F05C15976F}">
      <formula1>0.01</formula1>
      <formula2>300</formula2>
    </dataValidation>
    <dataValidation type="decimal" allowBlank="1" showInputMessage="1" showErrorMessage="1" errorTitle="Invalid value entered" error="The Average Depth Embededdment you entered is invalid. The Average Depth Embededdment must be &lt;= 4.39 and &gt;= 0.01" sqref="Q172" xr:uid="{0F1CDA10-9151-0C4E-BB00-783DB7320216}">
      <formula1>0.01</formula1>
      <formula2>4.39</formula2>
    </dataValidation>
    <dataValidation type="list" allowBlank="1" showInputMessage="1" showErrorMessage="1" errorTitle="Invalid value entered" error="The crossing subtype is not compatible with a crossing type of Open Bottom Structure" sqref="M173" xr:uid="{7126B25A-C54B-DA46-B204-F6375D291A0C}">
      <formula1>"Bridge, Pipe Arch, Wood Box Culvert"</formula1>
    </dataValidation>
    <dataValidation type="decimal" allowBlank="1" showInputMessage="1" showErrorMessage="1" errorTitle="Invalid Diamter or Span" error="The Diameter or Span entered is invalid. Diameter or Span must be &gt; 0 and &lt; 100" sqref="N173" xr:uid="{A5614306-E5F1-3746-A536-897104610088}">
      <formula1>0.01</formula1>
      <formula2>100</formula2>
    </dataValidation>
    <dataValidation type="decimal" allowBlank="1" showInputMessage="1" showErrorMessage="1" errorTitle="Invalid value entered" error="The Average Depth Embededdment you entered is invalid. The Average Depth Embededdment must be &lt;= 3.99 and &gt;= 0.01" sqref="Q173" xr:uid="{4BF27AED-2A3A-4249-969B-010A7201779D}">
      <formula1>0.01</formula1>
      <formula2>3.99</formula2>
    </dataValidation>
    <dataValidation type="list" allowBlank="1" showInputMessage="1" showErrorMessage="1" errorTitle="Invalid value entered" error="The crossing subtype is not compatible with a crossing type of Open Bottom Structure" sqref="M174" xr:uid="{396D2625-ADE9-EA47-BF56-0D0F5DDE5AFF}">
      <formula1>"Bridge, Pipe Arch, Wood Box Culvert"</formula1>
    </dataValidation>
    <dataValidation type="decimal" allowBlank="1" showInputMessage="1" showErrorMessage="1" errorTitle="Invalid Diamter or Span" error="The Diameter or Span entered is invalid. Diameter or Span must be &gt; 0 and &lt; 100" sqref="N174" xr:uid="{07B81DBD-6EDD-1B43-AD02-9EC339954D9C}">
      <formula1>0.01</formula1>
      <formula2>100</formula2>
    </dataValidation>
    <dataValidation type="decimal" allowBlank="1" showInputMessage="1" showErrorMessage="1" errorTitle="Invalid value entered" error="The Average Depth Embededdment you entered is invalid. The Average Depth Embededdment must be &lt;= 2.64 and &gt;= 0.01" sqref="Q174" xr:uid="{DE807696-3837-EC40-9480-734217784E83}">
      <formula1>0.01</formula1>
      <formula2>2.64</formula2>
    </dataValidation>
    <dataValidation type="list" allowBlank="1" showInputMessage="1" showErrorMessage="1" errorTitle="Invalid value entered" error="The crossing subtype is not compatible with a crossing type of Open Bottom Structure" sqref="M175" xr:uid="{801A6D40-371C-1D4C-A27F-6164B498716D}">
      <formula1>"Bridge, Pipe Arch, Wood Box Culvert"</formula1>
    </dataValidation>
    <dataValidation type="decimal" allowBlank="1" showInputMessage="1" showErrorMessage="1" errorTitle="Invalid Diamter or Span" error="The Diameter or Span entered is invalid. Diameter or Span must be &gt; 0 and &lt; 100" sqref="N175" xr:uid="{960E8E85-2969-9C48-AA42-3EC76E367CD1}">
      <formula1>0.01</formula1>
      <formula2>100</formula2>
    </dataValidation>
    <dataValidation type="decimal" allowBlank="1" showInputMessage="1" showErrorMessage="1" errorTitle="Invalid value entered" error="The Average Depth Embededdment you entered is invalid. The Average Depth Embededdment must be &lt;= 12.99 and &gt;= 0.01" sqref="Q175" xr:uid="{976DCD45-DCD8-2B46-B38A-E97076BA25A3}">
      <formula1>0.01</formula1>
      <formula2>12.99</formula2>
    </dataValidation>
    <dataValidation type="list" allowBlank="1" showInputMessage="1" showErrorMessage="1" errorTitle="Invalid value entered" error="The crossing subtype is not compatible with a crossing type of Open Bottom Structure" sqref="M176" xr:uid="{2288C0B6-2D2B-8447-B376-FB1400C3CCB2}">
      <formula1>"Bridge, Pipe Arch, Wood Box Culvert"</formula1>
    </dataValidation>
    <dataValidation type="decimal" allowBlank="1" showInputMessage="1" showErrorMessage="1" errorTitle="Invalid Diamter or Span" error="The Diameter or Span entered is invalid. Diameter or Span must be &gt; 0 and &lt; 100" sqref="N176" xr:uid="{8EB6DE20-1AA1-0A43-B32A-16F622CF3F4F}">
      <formula1>0.01</formula1>
      <formula2>100</formula2>
    </dataValidation>
    <dataValidation type="decimal" allowBlank="1" showInputMessage="1" showErrorMessage="1" errorTitle="Invalid value entered" error="The Average Depth Embededdment you entered is invalid. The Average Depth Embededdment must be &lt;= 19.99 and &gt;= 0.01" sqref="Q176" xr:uid="{5BE31DB0-E878-3D46-A6E8-3D02F8C61446}">
      <formula1>0.01</formula1>
      <formula2>19.99</formula2>
    </dataValidation>
    <dataValidation type="list" allowBlank="1" showInputMessage="1" showErrorMessage="1" errorTitle="Invalid value entered" error="The crossing subtype is not compatible with a crossing type of Open Bottom Structure" sqref="M177" xr:uid="{AD63789B-2B32-034B-85BA-892F8D930DFB}">
      <formula1>"Bridge, Pipe Arch, Wood Box Culvert"</formula1>
    </dataValidation>
    <dataValidation type="decimal" allowBlank="1" showInputMessage="1" showErrorMessage="1" errorTitle="Invalid Diamter or Span" error="The Diameter or Span entered is invalid. Diameter or Span must be &gt; 0 and &lt; 100" sqref="N177" xr:uid="{3B7EF8A0-7DD0-4943-92A5-9320C44761F3}">
      <formula1>0.01</formula1>
      <formula2>100</formula2>
    </dataValidation>
    <dataValidation type="decimal" allowBlank="1" showInputMessage="1" showErrorMessage="1" errorTitle="Invalid value entered" error="The Average Depth Embededdment you entered is invalid. The Average Depth Embededdment must be &lt;= 12.99 and &gt;= 0.01" sqref="Q177" xr:uid="{1424830D-F1F7-8044-82F9-ACD18AB8A332}">
      <formula1>0.01</formula1>
      <formula2>12.99</formula2>
    </dataValidation>
    <dataValidation type="list" allowBlank="1" showInputMessage="1" showErrorMessage="1" errorTitle="Invalid value entered" error="The crossing subtype is not compatible with a crossing type of Open Bottom Structure" sqref="M178" xr:uid="{5D058599-9928-894C-893D-689D4DC32463}">
      <formula1>"Bridge, Pipe Arch, Wood Box Culvert"</formula1>
    </dataValidation>
    <dataValidation type="decimal" allowBlank="1" showInputMessage="1" showErrorMessage="1" errorTitle="Invalid Diamter or Span" error="The Diameter or Span entered is invalid. Diameter or Span must be &gt; 0 and &lt; 100" sqref="N178" xr:uid="{C52879CB-BE13-BA47-B0F2-5B7B36766C4C}">
      <formula1>0.01</formula1>
      <formula2>100</formula2>
    </dataValidation>
    <dataValidation type="decimal" allowBlank="1" showInputMessage="1" showErrorMessage="1" errorTitle="Invalid value entered" error="The Average Depth Embededdment you entered is invalid. The Average Depth Embededdment must be &lt;= 11.99 and &gt;= 0.01" sqref="Q178" xr:uid="{8C1509C2-3D6B-DD49-ADB5-07A66E627811}">
      <formula1>0.01</formula1>
      <formula2>11.99</formula2>
    </dataValidation>
    <dataValidation type="list" allowBlank="1" showInputMessage="1" showErrorMessage="1" errorTitle="Invalid value entered" error="The crossing subtype is not compatible with a crossing type of Other" sqref="M179" xr:uid="{ABC2049A-63A0-1B4B-B779-DDF0F1716664}">
      <formula1>"Ford"</formula1>
    </dataValidation>
    <dataValidation type="list" allowBlank="1" showInputMessage="1" showErrorMessage="1" errorTitle="Invalid value entered" error="The crossing subtype is not compatible with a crossing type of Other" sqref="M180" xr:uid="{20A0454A-97FE-454A-9EC0-5FA9BA4355EC}">
      <formula1>"Ford"</formula1>
    </dataValidation>
    <dataValidation type="list" allowBlank="1" showInputMessage="1" showErrorMessage="1" errorTitle="Invalid value entered" error="The crossing subtype is not compatible with a crossing type of Other" sqref="M181" xr:uid="{509DA02F-198A-6743-B0FD-78270A5556FA}">
      <formula1>"Ford"</formula1>
    </dataValidation>
    <dataValidation type="list" allowBlank="1" showInputMessage="1" showErrorMessage="1" errorTitle="Invalid value entered" error="The crossing subtype is not compatible with a crossing type of Other" sqref="M182" xr:uid="{C051BC5B-17A2-6D46-B4D9-110E01F5F41E}">
      <formula1>"Ford"</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88900</xdr:colOff>
                    <xdr:row>1</xdr:row>
                    <xdr:rowOff>0</xdr:rowOff>
                  </from>
                  <to>
                    <xdr:col>1</xdr:col>
                    <xdr:colOff>965200</xdr:colOff>
                    <xdr:row>1</xdr:row>
                    <xdr:rowOff>393700</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393700</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1003300</xdr:colOff>
                    <xdr:row>0</xdr:row>
                    <xdr:rowOff>177800</xdr:rowOff>
                  </from>
                  <to>
                    <xdr:col>2</xdr:col>
                    <xdr:colOff>711200</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baseColWidth="10" defaultColWidth="8.83203125" defaultRowHeight="15"/>
  <cols>
    <col min="1" max="1" width="29.5" style="16" customWidth="1"/>
    <col min="2" max="2" width="5.83203125" style="16" customWidth="1"/>
    <col min="3" max="3" width="69.6640625" style="17" customWidth="1"/>
    <col min="5" max="5" width="15" customWidth="1"/>
  </cols>
  <sheetData>
    <row r="1" spans="1:3" s="6" customFormat="1" ht="20">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Lucy Schick</cp:lastModifiedBy>
  <cp:lastPrinted>2011-03-18T16:44:45Z</cp:lastPrinted>
  <dcterms:created xsi:type="dcterms:W3CDTF">2011-03-01T02:31:49Z</dcterms:created>
  <dcterms:modified xsi:type="dcterms:W3CDTF">2024-09-16T18:54:06Z</dcterms:modified>
</cp:coreProperties>
</file>