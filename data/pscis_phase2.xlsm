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03285067-58B6-9D4D-9662-3B133241F936}" xr6:coauthVersionLast="47" xr6:coauthVersionMax="47" xr10:uidLastSave="{00000000-0000-0000-0000-000000000000}"/>
  <bookViews>
    <workbookView xWindow="37040" yWindow="11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L15" i="2" s="1"/>
  <c r="AM15" i="2" s="1"/>
  <c r="AI15" i="2"/>
  <c r="AJ15" i="2"/>
  <c r="AF16" i="2"/>
  <c r="AK16" i="2"/>
  <c r="AG16" i="2"/>
  <c r="AH16" i="2"/>
  <c r="AL16" i="2" s="1"/>
  <c r="AM16" i="2" s="1"/>
  <c r="AI16" i="2"/>
  <c r="AJ16" i="2"/>
  <c r="AF17" i="2"/>
  <c r="AK17" i="2" s="1"/>
  <c r="AG17" i="2"/>
  <c r="AH17" i="2"/>
  <c r="AI17" i="2"/>
  <c r="AJ17" i="2"/>
  <c r="AF18" i="2"/>
  <c r="AK18" i="2" s="1"/>
  <c r="AG18" i="2"/>
  <c r="AH18" i="2"/>
  <c r="AL18" i="2" s="1"/>
  <c r="AM18" i="2" s="1"/>
  <c r="AI18" i="2"/>
  <c r="AJ18" i="2"/>
  <c r="AF19" i="2"/>
  <c r="AK19" i="2" s="1"/>
  <c r="AG19" i="2"/>
  <c r="AH19" i="2"/>
  <c r="AI19" i="2"/>
  <c r="AJ19" i="2"/>
  <c r="AF20" i="2"/>
  <c r="AK20" i="2" s="1"/>
  <c r="AG20" i="2"/>
  <c r="AH20" i="2"/>
  <c r="AL20" i="2" s="1"/>
  <c r="AM20" i="2" s="1"/>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21"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s="1"/>
  <c r="AL19" i="2"/>
  <c r="AM19" i="2"/>
  <c r="AL14" i="2"/>
  <c r="AM14" i="2" s="1"/>
  <c r="AL13" i="2"/>
  <c r="AM13" i="2" s="1"/>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8" i="2"/>
  <c r="AM8" i="2" s="1"/>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<sst xmlns="http://schemas.openxmlformats.org/spreadsheetml/2006/main" count="359" uniqueCount="161">
  <si>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</si>
  <si>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</si>
  <si>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</si>
  <si>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</si>
  <si>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</si>
  <si>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</si>
  <si>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</si>
  <si>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</si>
  <si>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</si>
  <si>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</si>
  <si>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</si>
  <si>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</si>
  <si>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</si>
  <si>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</si>
  <si>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</si>
  <si>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</si>
  <si>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</si>
  <si>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</si>
  <si>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</si>
  <si>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</si>
  <si>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</si>
  <si>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</si>
  <si>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</si>
  <si>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</si>
  <si>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</si>
  <si>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</si>
  <si>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</si>
  <si>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</si>
  <si>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</si>
  <si>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</si>
  <si>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</si>
  <si>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</si>
  <si>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</si>
  <si>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</si>
  <si>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</si>
  <si>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</si>
  <si>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</si>
  <si>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</si>
  <si>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</si>
  <si>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</si>
  <si>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</si>
  <si>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</si>
  <si>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</si>
  <si>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</si>
  <si>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</si>
  <si>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</si>
  <si>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</si>
  <si>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</si>
  <si>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</si>
  <si>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</si>
  <si>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</si>
  <si>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</si>
  <si>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</si>
  <si>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</si>
  <si>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</si>
  <si>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</si>
  <si>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</si>
  <si>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</si>
  <si>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</si>
  <si>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</si>
  <si>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</si>
  <si>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</si>
  <si>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</si>
  <si>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</si>
  <si>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</si>
  <si>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</si>
  <si>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</si>
  <si>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</si>
  <si>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</si>
  <si>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</si>
  <si>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</si>
  <si>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</si>
  <si>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</si>
  <si>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</si>
  <si>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</si>
  <si>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</si>
  <si>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</si>
  <si>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</si>
  <si>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</si>
  <si>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</si>
  <si>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</si>
  <si>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</si>
  <si>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</si>
  <si>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</si>
  <si>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</si>
  <si>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</si>
  <si>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</si>
  <si>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</si>
  <si>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</si>
  <si>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</si>
  <si>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</si>
  <si>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</si>
  <si>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</si>
  <si>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</si>
  <si>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</si>
  <si>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</si>
  <si>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</si>
  <si>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</si>
  <si>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</si>
  <si>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</si>
  <si>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</si>
  <si>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</si>
  <si>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</si>
  <si>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</si>
  <si>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</si>
  <si>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</si>
  <si>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</si>
  <si>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</si>
  <si>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</si>
  <si>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</si>
  <si>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</si>
  <si>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</si>
  <si>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</si>
  <si>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</si>
  <si>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</si>
  <si>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</si>
  <si>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</si>
  <si>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</si>
  <si>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</si>
  <si>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</si>
  <si>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</si>
  <si>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</si>
  <si>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</si>
  <si>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</si>
  <si>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</si>
  <si>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</si>
  <si>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</si>
  <si>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</si>
  <si>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</si>
  <si>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</si>
  <si>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</si>
  <si>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</si>
  <si>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</si>
  <si>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</si>
  <si>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</si>
  <si>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</si>
  <si>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</si>
  <si>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</si>
  <si>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</si>
  <si>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</si>
  <si>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</si>
  <si>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</si>
  <si>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</si>
  <si>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</si>
  <si>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was very undersized for the stream, as evidenced by the large outlet drop. The stream had a good amount of flow for the time of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 was completed upstream and downstream. MoTi chris_culvert_id: 1794199</t>
  </si>
  <si>
    <t>The culvert is undersized for current flow volumes, as indicated by a very large 1.15m outlet drop. Habitat confirmation was completed upstream, downstream, and below Gala Bay Road. MoTi chris_culvert_id: 1794196</t>
  </si>
  <si>
    <t>At the time of assessment, the stream was dry at the crossing; however, it contained medium-value habitat. Upstream of the culvert, the stream was primarily dry for the first 300m, then intermittent pools began to appear, associated with beaver activity. Approximately 450‚Äì500m upstream, the stream became nearly fully watered, with pools up to 40cm deep. Downstream of the crossing was dominated by beaver-impounded wetland areas, which were storing large quantities of water, likely sustaining year-round stream flow at the downstream crossing on Dog Creek Road. Further downstream, approximately 300m upstream of the crossing on Dog Creek Road, the stream transitioned to a channelized system with some pockets of gravel suitable for rearing rainbow trout and potentially Chinook. However, heavy cattle impacts were observed at both this crossing and the downstream crossing on Dog Creek Road.</t>
  </si>
  <si>
    <t>Two pipes, each 2.8m in diameter, were present. The pipe on the north side was not flowing. The gradient directly downstream of the culvert was 3‚Äì4%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</si>
  <si>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</si>
  <si>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1‚Äì3m wide, but most of the area consisted of 15‚Äì17m of wetted forest with some flow. Culvert slope was estimated due to the submerged inlet. Habitat confirmations were conducted upstream and downstream.</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</si>
  <si>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</si>
  <si>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The culvert had a deep outlet pool and a very large outlet drop. The stream contained functional large woody debris creating complex cover and pools.No photos are available because the surveyors phone fell into the stream.  MoTi chris_hwy_structure_road_id: 3751</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</si>
  <si>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habitat confirmation. MoTi chris_hwy_structure_road_id: 29925</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</si>
  <si>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0.3‚Äì0.5m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A salmon point was noted near the pipeline location in FISS. Numerous small steps, ranging from 30‚Äì60cm, were present due to the steep, boulder-dominated nature of the stream. Electrofishing would be beneficial for further assessment. The site was a highway crossing, making replacement difficult. A small ford was located approximately 5m downstream of the culvert outlet. MoTi chris_culvert_id: 1467202</t>
  </si>
  <si>
    <t>The local name of the stream is Burnt Cabin Creek. It had a large outlet drop and a heavily eroded outlet pool, indicating the culvert was undersized. The stream provided complex habitat for fish with abundant cover. The low-traffic dirt road had minimal road fill, making construction relatively straightforward.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</si>
  <si>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</si>
  <si>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MoTi chris_culvert_id: 1806163</t>
  </si>
  <si>
    <t>Large multi-plate oval culvert with a substantial 50m-wide outlet pool. The stream had high flow at the time of assessment.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MoTi chris_hwy_structure_road_id: 3750</t>
  </si>
  <si>
    <t>The culvert had a moderate outlet drop with some erosion around the pipe at the outlet. The pipe was in good condition. The stream provided excellent habitat, with several pools and abundant undercut banks. Fish were observed during the assessment (~40‚Äì90mm in length).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MoTi chris_culvert_id: 1794340</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</si>
  <si>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MoTi chris_culvert_id: 1790947</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</si>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</sst>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D1" zoomScale="85" zoomScaleNormal="85" workbookViewId="0">
      <pane ySplit="4" topLeftCell="A5" activePane="bottomLeft" state="frozen"/>
      <selection pane="bottomLeft" activeCell="AN20" sqref="AN2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45569</v>
      </c>
      <c r="B5" s="58">
        <v>199172</v>
      </c>
      <c r="D5" s="10" t="s">
        <v>100</v>
      </c>
      <c r="E5" s="11">
        <v>10</v>
      </c>
      <c r="F5" s="39">
        <v>388269</v>
      </c>
      <c r="G5" s="39">
        <v>5996948</v>
      </c>
      <c r="H5" s="11" t="s">
        <v>101</v>
      </c>
      <c r="I5" s="11" t="s">
        <v>102</v>
      </c>
      <c r="J5" s="33"/>
      <c r="K5" s="11" t="s">
        <v>103</v>
      </c>
      <c r="L5" s="10" t="s">
        <v>104</v>
      </c>
      <c r="M5" s="10" t="s">
        <v>105</v>
      </c>
      <c r="N5" s="85">
        <v>1.1000000000000001</v>
      </c>
      <c r="O5" s="85">
        <v>25</v>
      </c>
      <c r="P5" s="86" t="s">
        <v>106</v>
      </c>
      <c r="Q5" s="87"/>
      <c r="R5" s="86" t="s">
        <v>106</v>
      </c>
      <c r="S5" s="86" t="s">
        <v>106</v>
      </c>
      <c r="T5" s="87"/>
      <c r="U5" s="86">
        <v>4</v>
      </c>
      <c r="V5" s="86">
        <v>1.35</v>
      </c>
      <c r="W5" s="86">
        <v>0.28000000000000003</v>
      </c>
      <c r="X5" s="86" t="s">
        <v>106</v>
      </c>
      <c r="Y5" s="86">
        <v>5</v>
      </c>
      <c r="Z5" s="86">
        <v>2</v>
      </c>
      <c r="AA5" s="86">
        <v>0</v>
      </c>
      <c r="AB5" s="10" t="s">
        <v>106</v>
      </c>
      <c r="AC5" s="10" t="s">
        <v>106</v>
      </c>
      <c r="AD5" s="86" t="s">
        <v>107</v>
      </c>
      <c r="AE5" s="86" t="s">
        <v>108</v>
      </c>
      <c r="AF5" s="20">
        <f>IF(ISBLANK(Z5), 0, IF(ISBLANK(N5) &lt; 0, 0,Z5 / N5))</f>
        <v>1.8181818181818181</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6" t="s">
        <v>160</v>
      </c>
      <c r="AO5" s="86">
        <v>18</v>
      </c>
      <c r="AP5" s="78" t="s">
        <v>144</v>
      </c>
    </row>
    <row r="6" spans="1:42" ht="16">
      <c r="A6" s="59">
        <v>45568</v>
      </c>
      <c r="B6" s="58">
        <v>7622</v>
      </c>
      <c r="D6" s="10" t="s">
        <v>109</v>
      </c>
      <c r="E6" s="11">
        <v>10</v>
      </c>
      <c r="F6" s="39">
        <v>388735</v>
      </c>
      <c r="G6" s="39">
        <v>5997152</v>
      </c>
      <c r="H6" s="10" t="s">
        <v>110</v>
      </c>
      <c r="I6" s="11" t="s">
        <v>102</v>
      </c>
      <c r="J6" s="33"/>
      <c r="K6" s="10" t="s">
        <v>111</v>
      </c>
      <c r="L6" s="10" t="s">
        <v>104</v>
      </c>
      <c r="M6" s="10" t="s">
        <v>105</v>
      </c>
      <c r="N6" s="85">
        <v>1.1499999999999999</v>
      </c>
      <c r="O6" s="85">
        <v>30</v>
      </c>
      <c r="P6" s="86" t="s">
        <v>106</v>
      </c>
      <c r="Q6" s="87"/>
      <c r="R6" s="86" t="s">
        <v>106</v>
      </c>
      <c r="S6" s="86" t="s">
        <v>106</v>
      </c>
      <c r="T6" s="87"/>
      <c r="U6" s="86">
        <v>2.2000000000000002</v>
      </c>
      <c r="V6" s="86">
        <v>1.1499999999999999</v>
      </c>
      <c r="W6" s="86">
        <v>0.43</v>
      </c>
      <c r="X6" s="86" t="s">
        <v>106</v>
      </c>
      <c r="Y6" s="86">
        <v>5</v>
      </c>
      <c r="Z6" s="86">
        <v>2</v>
      </c>
      <c r="AA6" s="86">
        <v>5</v>
      </c>
      <c r="AB6" s="10" t="s">
        <v>106</v>
      </c>
      <c r="AC6" s="10" t="s">
        <v>106</v>
      </c>
      <c r="AD6" s="86" t="s">
        <v>107</v>
      </c>
      <c r="AE6" s="86" t="s">
        <v>108</v>
      </c>
      <c r="AF6" s="20">
        <f t="shared" ref="AF6:AF11" si="0">IF(ISBLANK(Z6), 0, IF(ISBLANK(N6) &lt; 0, 0,Z6 / N6))</f>
        <v>1.7391304347826089</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6" t="s">
        <v>160</v>
      </c>
      <c r="AO6" s="86">
        <v>15</v>
      </c>
      <c r="AP6" s="78" t="s">
        <v>145</v>
      </c>
    </row>
    <row r="7" spans="1:42" ht="16">
      <c r="A7" s="59">
        <v>45550</v>
      </c>
      <c r="B7" s="58">
        <v>199174</v>
      </c>
      <c r="D7" s="10" t="s">
        <v>112</v>
      </c>
      <c r="E7" s="11">
        <v>10</v>
      </c>
      <c r="F7" s="39">
        <v>397160</v>
      </c>
      <c r="G7" s="39">
        <v>5996574</v>
      </c>
      <c r="H7" s="10" t="s">
        <v>113</v>
      </c>
      <c r="I7" s="11" t="s">
        <v>114</v>
      </c>
      <c r="J7" s="33">
        <v>1.1000000000000001</v>
      </c>
      <c r="K7" s="10" t="s">
        <v>115</v>
      </c>
      <c r="L7" s="10" t="s">
        <v>104</v>
      </c>
      <c r="M7" s="10" t="s">
        <v>105</v>
      </c>
      <c r="N7" s="88">
        <v>1.5</v>
      </c>
      <c r="O7" s="88">
        <v>15</v>
      </c>
      <c r="P7" s="86" t="s">
        <v>106</v>
      </c>
      <c r="Q7" s="87"/>
      <c r="R7" s="86" t="s">
        <v>106</v>
      </c>
      <c r="S7" s="86" t="s">
        <v>106</v>
      </c>
      <c r="T7" s="87"/>
      <c r="U7" s="86">
        <v>0.4</v>
      </c>
      <c r="V7" s="86">
        <v>0</v>
      </c>
      <c r="W7" s="86">
        <v>0</v>
      </c>
      <c r="X7" s="86" t="s">
        <v>106</v>
      </c>
      <c r="Y7" s="86">
        <v>1</v>
      </c>
      <c r="Z7" s="86">
        <v>2.5</v>
      </c>
      <c r="AA7" s="86">
        <v>1.2</v>
      </c>
      <c r="AB7" s="10" t="s">
        <v>106</v>
      </c>
      <c r="AC7" s="10" t="s">
        <v>106</v>
      </c>
      <c r="AD7" s="86" t="s">
        <v>107</v>
      </c>
      <c r="AE7" s="86"/>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86" t="s">
        <v>160</v>
      </c>
      <c r="AO7" s="86">
        <v>15</v>
      </c>
      <c r="AP7" s="10" t="s">
        <v>146</v>
      </c>
    </row>
    <row r="8" spans="1:42" ht="16">
      <c r="A8" s="59">
        <v>45570</v>
      </c>
      <c r="B8" s="82">
        <v>199232</v>
      </c>
      <c r="D8" s="10" t="s">
        <v>112</v>
      </c>
      <c r="E8" s="11">
        <v>10</v>
      </c>
      <c r="F8" s="39">
        <v>502374</v>
      </c>
      <c r="G8" s="39">
        <v>5962501</v>
      </c>
      <c r="H8" s="10" t="s">
        <v>116</v>
      </c>
      <c r="I8" s="11" t="s">
        <v>117</v>
      </c>
      <c r="J8" s="79"/>
      <c r="K8" s="81" t="s">
        <v>118</v>
      </c>
      <c r="L8" s="10" t="s">
        <v>104</v>
      </c>
      <c r="M8" s="10" t="s">
        <v>119</v>
      </c>
      <c r="N8" s="88">
        <v>5.6</v>
      </c>
      <c r="O8" s="88">
        <v>25</v>
      </c>
      <c r="P8" s="86" t="s">
        <v>106</v>
      </c>
      <c r="Q8" s="87"/>
      <c r="R8" s="86" t="s">
        <v>106</v>
      </c>
      <c r="S8" s="86" t="s">
        <v>106</v>
      </c>
      <c r="T8" s="87"/>
      <c r="U8" s="86">
        <v>1.5</v>
      </c>
      <c r="V8" s="86">
        <v>1.05</v>
      </c>
      <c r="W8" s="86">
        <v>0.35</v>
      </c>
      <c r="X8" s="86" t="s">
        <v>106</v>
      </c>
      <c r="Y8" s="86">
        <v>2</v>
      </c>
      <c r="Z8" s="86">
        <v>9.6</v>
      </c>
      <c r="AA8" s="86">
        <v>0.5</v>
      </c>
      <c r="AB8" s="10" t="s">
        <v>106</v>
      </c>
      <c r="AC8" s="10" t="s">
        <v>106</v>
      </c>
      <c r="AD8" s="86" t="s">
        <v>107</v>
      </c>
      <c r="AE8" s="86"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86" t="s">
        <v>160</v>
      </c>
      <c r="AO8" s="86">
        <v>15</v>
      </c>
      <c r="AP8" s="10" t="s">
        <v>147</v>
      </c>
    </row>
    <row r="9" spans="1:42" ht="16">
      <c r="A9" s="59">
        <v>45572</v>
      </c>
      <c r="B9" s="58">
        <v>199260</v>
      </c>
      <c r="D9" s="10" t="s">
        <v>112</v>
      </c>
      <c r="E9" s="11">
        <v>10</v>
      </c>
      <c r="F9" s="39">
        <v>587916</v>
      </c>
      <c r="G9" s="39">
        <v>5972449</v>
      </c>
      <c r="H9" s="78" t="s">
        <v>120</v>
      </c>
      <c r="I9" s="11" t="s">
        <v>117</v>
      </c>
      <c r="J9" s="33"/>
      <c r="K9" s="81" t="s">
        <v>97</v>
      </c>
      <c r="L9" s="10" t="s">
        <v>104</v>
      </c>
      <c r="M9" s="10" t="s">
        <v>105</v>
      </c>
      <c r="N9" s="88">
        <v>1.2</v>
      </c>
      <c r="O9" s="88">
        <v>50</v>
      </c>
      <c r="P9" s="86" t="s">
        <v>106</v>
      </c>
      <c r="Q9" s="87"/>
      <c r="R9" s="86" t="s">
        <v>106</v>
      </c>
      <c r="S9" s="86" t="s">
        <v>106</v>
      </c>
      <c r="T9" s="87"/>
      <c r="U9" s="86">
        <v>9</v>
      </c>
      <c r="V9" s="86">
        <v>1.4</v>
      </c>
      <c r="W9" s="86">
        <v>0.9</v>
      </c>
      <c r="X9" s="86" t="s">
        <v>121</v>
      </c>
      <c r="Y9" s="86">
        <v>6</v>
      </c>
      <c r="Z9" s="86">
        <v>7</v>
      </c>
      <c r="AA9" s="86">
        <v>5</v>
      </c>
      <c r="AB9" s="10" t="s">
        <v>106</v>
      </c>
      <c r="AC9" s="10" t="s">
        <v>106</v>
      </c>
      <c r="AD9" s="86" t="s">
        <v>107</v>
      </c>
      <c r="AE9" s="86"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86" t="s">
        <v>160</v>
      </c>
      <c r="AO9" s="86">
        <v>33</v>
      </c>
      <c r="AP9" s="10" t="s">
        <v>148</v>
      </c>
    </row>
    <row r="10" spans="1:42" ht="16">
      <c r="A10" s="59">
        <v>45572</v>
      </c>
      <c r="B10" s="58">
        <v>199255</v>
      </c>
      <c r="D10" s="10" t="s">
        <v>112</v>
      </c>
      <c r="E10" s="11">
        <v>10</v>
      </c>
      <c r="F10" s="39">
        <v>578664</v>
      </c>
      <c r="G10" s="39">
        <v>5972996</v>
      </c>
      <c r="H10" s="78" t="s">
        <v>123</v>
      </c>
      <c r="I10" s="11" t="s">
        <v>124</v>
      </c>
      <c r="J10" s="33">
        <v>32</v>
      </c>
      <c r="K10" s="10" t="s">
        <v>115</v>
      </c>
      <c r="L10" s="10" t="s">
        <v>104</v>
      </c>
      <c r="M10" s="10" t="s">
        <v>105</v>
      </c>
      <c r="N10" s="88">
        <v>1.1000000000000001</v>
      </c>
      <c r="O10" s="88">
        <v>13</v>
      </c>
      <c r="P10" s="86" t="s">
        <v>106</v>
      </c>
      <c r="Q10" s="89"/>
      <c r="R10" s="86" t="s">
        <v>106</v>
      </c>
      <c r="S10" s="86" t="s">
        <v>106</v>
      </c>
      <c r="T10" s="89"/>
      <c r="U10" s="88">
        <v>1.5</v>
      </c>
      <c r="V10" s="86">
        <v>0</v>
      </c>
      <c r="W10" s="88">
        <v>0.25</v>
      </c>
      <c r="X10" s="86" t="s">
        <v>106</v>
      </c>
      <c r="Y10" s="88">
        <v>1.5</v>
      </c>
      <c r="Z10" s="88">
        <v>10.5</v>
      </c>
      <c r="AA10" s="86">
        <v>0.5</v>
      </c>
      <c r="AB10" s="10" t="s">
        <v>121</v>
      </c>
      <c r="AC10" s="10" t="s">
        <v>106</v>
      </c>
      <c r="AD10" s="86" t="s">
        <v>107</v>
      </c>
      <c r="AE10" s="86"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86" t="s">
        <v>160</v>
      </c>
      <c r="AO10" s="88">
        <v>15</v>
      </c>
      <c r="AP10" s="10" t="s">
        <v>149</v>
      </c>
    </row>
    <row r="11" spans="1:42" ht="16">
      <c r="A11" s="59">
        <v>45573</v>
      </c>
      <c r="B11" s="58">
        <v>199267</v>
      </c>
      <c r="C11" s="78"/>
      <c r="D11" s="10" t="s">
        <v>112</v>
      </c>
      <c r="E11" s="10">
        <v>10</v>
      </c>
      <c r="F11" s="80">
        <v>606378</v>
      </c>
      <c r="G11" s="80">
        <v>5965782</v>
      </c>
      <c r="H11" s="78" t="s">
        <v>125</v>
      </c>
      <c r="I11" s="11" t="s">
        <v>126</v>
      </c>
      <c r="J11" s="33"/>
      <c r="K11" s="10" t="s">
        <v>127</v>
      </c>
      <c r="L11" s="10" t="s">
        <v>104</v>
      </c>
      <c r="M11" s="10" t="s">
        <v>105</v>
      </c>
      <c r="N11" s="88">
        <v>2.2999999999999998</v>
      </c>
      <c r="O11" s="88">
        <v>56</v>
      </c>
      <c r="P11" s="86" t="s">
        <v>106</v>
      </c>
      <c r="Q11" s="89"/>
      <c r="R11" s="86" t="s">
        <v>106</v>
      </c>
      <c r="S11" s="86" t="s">
        <v>106</v>
      </c>
      <c r="T11" s="89"/>
      <c r="U11" s="88">
        <v>1</v>
      </c>
      <c r="V11" s="86">
        <v>0.65</v>
      </c>
      <c r="W11" s="88">
        <v>1.25</v>
      </c>
      <c r="X11" s="86" t="s">
        <v>106</v>
      </c>
      <c r="Y11" s="88">
        <v>2.5</v>
      </c>
      <c r="Z11" s="88">
        <v>10.6</v>
      </c>
      <c r="AA11" s="86">
        <v>0.6</v>
      </c>
      <c r="AB11" s="10" t="s">
        <v>121</v>
      </c>
      <c r="AC11" s="10" t="s">
        <v>106</v>
      </c>
      <c r="AD11" s="86" t="s">
        <v>107</v>
      </c>
      <c r="AE11" s="86"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86" t="s">
        <v>160</v>
      </c>
      <c r="AO11" s="86">
        <v>15</v>
      </c>
      <c r="AP11" s="10" t="s">
        <v>150</v>
      </c>
    </row>
    <row r="12" spans="1:42" ht="16">
      <c r="A12" s="59">
        <v>45573</v>
      </c>
      <c r="B12" s="58">
        <v>199237</v>
      </c>
      <c r="D12" s="10" t="s">
        <v>112</v>
      </c>
      <c r="E12" s="11">
        <v>10</v>
      </c>
      <c r="F12" s="39">
        <v>650786</v>
      </c>
      <c r="G12" s="39">
        <v>5934862</v>
      </c>
      <c r="H12" s="11" t="s">
        <v>128</v>
      </c>
      <c r="I12" s="11" t="s">
        <v>126</v>
      </c>
      <c r="J12" s="33"/>
      <c r="K12" s="11" t="s">
        <v>127</v>
      </c>
      <c r="L12" s="10" t="s">
        <v>104</v>
      </c>
      <c r="M12" s="10" t="s">
        <v>105</v>
      </c>
      <c r="N12" s="88">
        <v>2.5</v>
      </c>
      <c r="O12" s="88">
        <v>45</v>
      </c>
      <c r="P12" s="86" t="s">
        <v>106</v>
      </c>
      <c r="Q12" s="87"/>
      <c r="R12" s="86" t="s">
        <v>106</v>
      </c>
      <c r="S12" s="86" t="s">
        <v>106</v>
      </c>
      <c r="T12" s="89"/>
      <c r="U12" s="88"/>
      <c r="V12" s="86">
        <v>0.65</v>
      </c>
      <c r="W12" s="88">
        <v>1.9</v>
      </c>
      <c r="X12" s="86" t="s">
        <v>106</v>
      </c>
      <c r="Y12" s="88">
        <v>2</v>
      </c>
      <c r="Z12" s="88">
        <v>14</v>
      </c>
      <c r="AA12" s="86">
        <v>0.6</v>
      </c>
      <c r="AB12" s="10" t="s">
        <v>106</v>
      </c>
      <c r="AC12" s="10" t="s">
        <v>106</v>
      </c>
      <c r="AD12" s="86" t="s">
        <v>107</v>
      </c>
      <c r="AE12" s="86"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86" t="s">
        <v>160</v>
      </c>
      <c r="AO12" s="88">
        <v>19</v>
      </c>
      <c r="AP12" s="10" t="s">
        <v>151</v>
      </c>
    </row>
    <row r="13" spans="1:42" ht="16">
      <c r="A13" s="59">
        <v>45574</v>
      </c>
      <c r="B13" s="58">
        <v>199282</v>
      </c>
      <c r="D13" s="10" t="s">
        <v>112</v>
      </c>
      <c r="E13" s="11">
        <v>11</v>
      </c>
      <c r="F13" s="39">
        <v>305946</v>
      </c>
      <c r="G13" s="39">
        <v>5896010</v>
      </c>
      <c r="H13" s="11" t="s">
        <v>129</v>
      </c>
      <c r="I13" s="11" t="s">
        <v>130</v>
      </c>
      <c r="K13" s="11" t="s">
        <v>97</v>
      </c>
      <c r="L13" s="10" t="s">
        <v>104</v>
      </c>
      <c r="M13" s="10" t="s">
        <v>105</v>
      </c>
      <c r="N13" s="88">
        <v>4</v>
      </c>
      <c r="O13" s="88">
        <v>52</v>
      </c>
      <c r="P13" s="86" t="s">
        <v>106</v>
      </c>
      <c r="Q13" s="87"/>
      <c r="R13" s="86" t="s">
        <v>106</v>
      </c>
      <c r="S13" s="86" t="s">
        <v>106</v>
      </c>
      <c r="T13" s="87"/>
      <c r="U13" s="88">
        <v>2</v>
      </c>
      <c r="V13" s="86">
        <v>0.8</v>
      </c>
      <c r="W13" s="88">
        <v>0.5</v>
      </c>
      <c r="X13" s="86" t="s">
        <v>106</v>
      </c>
      <c r="Y13" s="88">
        <v>2</v>
      </c>
      <c r="Z13" s="88">
        <v>16</v>
      </c>
      <c r="AA13" s="86">
        <v>3</v>
      </c>
      <c r="AB13" s="10" t="s">
        <v>106</v>
      </c>
      <c r="AC13" s="10" t="s">
        <v>121</v>
      </c>
      <c r="AD13" s="86" t="s">
        <v>107</v>
      </c>
      <c r="AE13" s="86"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86" t="s">
        <v>160</v>
      </c>
      <c r="AO13" s="88">
        <v>21</v>
      </c>
      <c r="AP13" s="10" t="s">
        <v>152</v>
      </c>
    </row>
    <row r="14" spans="1:42" ht="16">
      <c r="A14" s="59">
        <v>45574</v>
      </c>
      <c r="B14" s="58">
        <v>199278</v>
      </c>
      <c r="D14" s="10" t="s">
        <v>112</v>
      </c>
      <c r="E14" s="11">
        <v>11</v>
      </c>
      <c r="F14" s="39">
        <v>344031</v>
      </c>
      <c r="G14" s="39">
        <v>5862744</v>
      </c>
      <c r="H14" s="11" t="s">
        <v>131</v>
      </c>
      <c r="I14" s="11" t="s">
        <v>132</v>
      </c>
      <c r="K14" s="11" t="s">
        <v>97</v>
      </c>
      <c r="L14" s="10" t="s">
        <v>104</v>
      </c>
      <c r="M14" s="10" t="s">
        <v>105</v>
      </c>
      <c r="N14" s="88">
        <v>1.4</v>
      </c>
      <c r="O14" s="88">
        <v>22</v>
      </c>
      <c r="P14" s="86" t="s">
        <v>106</v>
      </c>
      <c r="Q14" s="87"/>
      <c r="R14" s="86" t="s">
        <v>106</v>
      </c>
      <c r="S14" s="86" t="s">
        <v>106</v>
      </c>
      <c r="T14" s="87"/>
      <c r="U14" s="88">
        <v>0.7</v>
      </c>
      <c r="V14" s="86">
        <v>0.4</v>
      </c>
      <c r="W14" s="88">
        <v>1</v>
      </c>
      <c r="X14" s="86" t="s">
        <v>106</v>
      </c>
      <c r="Y14" s="88">
        <v>2</v>
      </c>
      <c r="Z14" s="88">
        <v>7</v>
      </c>
      <c r="AA14" s="86">
        <v>2.5</v>
      </c>
      <c r="AB14" s="10" t="s">
        <v>106</v>
      </c>
      <c r="AC14" s="10" t="s">
        <v>106</v>
      </c>
      <c r="AD14" s="86" t="s">
        <v>107</v>
      </c>
      <c r="AE14" s="86"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86" t="s">
        <v>160</v>
      </c>
      <c r="AO14" s="88">
        <v>15</v>
      </c>
      <c r="AP14" s="10" t="s">
        <v>153</v>
      </c>
    </row>
    <row r="15" spans="1:42" ht="16">
      <c r="A15" s="59">
        <v>45568</v>
      </c>
      <c r="B15" s="58">
        <v>199171</v>
      </c>
      <c r="D15" s="10" t="s">
        <v>133</v>
      </c>
      <c r="E15" s="11">
        <v>10</v>
      </c>
      <c r="F15" s="39">
        <v>388944</v>
      </c>
      <c r="G15" s="39">
        <v>5997001</v>
      </c>
      <c r="H15" s="11" t="s">
        <v>134</v>
      </c>
      <c r="I15" s="11" t="s">
        <v>135</v>
      </c>
      <c r="K15" s="11" t="s">
        <v>97</v>
      </c>
      <c r="L15" s="10" t="s">
        <v>104</v>
      </c>
      <c r="M15" s="10" t="s">
        <v>105</v>
      </c>
      <c r="N15" s="88">
        <v>1.05</v>
      </c>
      <c r="O15" s="88">
        <v>11.5</v>
      </c>
      <c r="P15" s="86" t="s">
        <v>106</v>
      </c>
      <c r="Q15" s="87"/>
      <c r="R15" s="86" t="s">
        <v>106</v>
      </c>
      <c r="S15" s="86" t="s">
        <v>106</v>
      </c>
      <c r="T15" s="89"/>
      <c r="U15" s="88">
        <v>0.5</v>
      </c>
      <c r="V15" s="86">
        <v>0.9</v>
      </c>
      <c r="W15" s="88">
        <v>0.35</v>
      </c>
      <c r="X15" s="86" t="s">
        <v>106</v>
      </c>
      <c r="Y15" s="88">
        <v>7</v>
      </c>
      <c r="Z15" s="88">
        <v>3.1</v>
      </c>
      <c r="AA15" s="86">
        <v>3</v>
      </c>
      <c r="AB15" s="10" t="s">
        <v>106</v>
      </c>
      <c r="AC15" s="10" t="s">
        <v>106</v>
      </c>
      <c r="AD15" s="86" t="s">
        <v>107</v>
      </c>
      <c r="AE15" s="86" t="s">
        <v>108</v>
      </c>
      <c r="AF15" s="20">
        <f t="shared" si="8"/>
        <v>2.9523809523809526</v>
      </c>
      <c r="AG15" s="13">
        <f t="shared" si="1"/>
        <v>0</v>
      </c>
      <c r="AH15" s="7">
        <f t="shared" si="2"/>
        <v>10</v>
      </c>
      <c r="AI15" s="7">
        <f t="shared" si="3"/>
        <v>10</v>
      </c>
      <c r="AJ15" s="7">
        <f t="shared" si="4"/>
        <v>10</v>
      </c>
      <c r="AK15" s="7">
        <f t="shared" si="5"/>
        <v>6</v>
      </c>
      <c r="AL15" s="12">
        <f t="shared" si="9"/>
        <v>36</v>
      </c>
      <c r="AM15" s="14" t="str">
        <f t="shared" si="7"/>
        <v>Barrier</v>
      </c>
      <c r="AN15" s="86" t="s">
        <v>160</v>
      </c>
      <c r="AO15" s="88">
        <v>15</v>
      </c>
      <c r="AP15" s="10" t="s">
        <v>154</v>
      </c>
    </row>
    <row r="16" spans="1:42" ht="16">
      <c r="A16" s="59">
        <v>45569</v>
      </c>
      <c r="B16" s="58">
        <v>199204</v>
      </c>
      <c r="D16" s="10" t="s">
        <v>133</v>
      </c>
      <c r="E16" s="11">
        <v>10</v>
      </c>
      <c r="F16" s="39">
        <v>403906</v>
      </c>
      <c r="G16" s="39">
        <v>5998777</v>
      </c>
      <c r="H16" s="11" t="s">
        <v>136</v>
      </c>
      <c r="I16" s="11" t="s">
        <v>137</v>
      </c>
      <c r="K16" s="11" t="s">
        <v>97</v>
      </c>
      <c r="L16" s="10" t="s">
        <v>104</v>
      </c>
      <c r="M16" s="10" t="s">
        <v>105</v>
      </c>
      <c r="N16" s="88">
        <v>3.2</v>
      </c>
      <c r="O16" s="88">
        <v>11.5</v>
      </c>
      <c r="P16" s="86" t="s">
        <v>106</v>
      </c>
      <c r="Q16" s="87"/>
      <c r="R16" s="86" t="s">
        <v>106</v>
      </c>
      <c r="S16" s="86" t="s">
        <v>106</v>
      </c>
      <c r="T16" s="89"/>
      <c r="U16" s="88">
        <v>0.5</v>
      </c>
      <c r="V16" s="86">
        <v>0.5</v>
      </c>
      <c r="W16" s="88">
        <v>1.4</v>
      </c>
      <c r="X16" s="86" t="s">
        <v>106</v>
      </c>
      <c r="Y16" s="88">
        <v>2</v>
      </c>
      <c r="Z16" s="88">
        <v>5.5</v>
      </c>
      <c r="AA16" s="86">
        <v>0.5</v>
      </c>
      <c r="AB16" s="10" t="s">
        <v>121</v>
      </c>
      <c r="AC16" s="10" t="s">
        <v>121</v>
      </c>
      <c r="AD16" s="86" t="s">
        <v>107</v>
      </c>
      <c r="AE16" s="86"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86" t="s">
        <v>160</v>
      </c>
      <c r="AO16" s="88">
        <v>15</v>
      </c>
      <c r="AP16" s="10" t="s">
        <v>155</v>
      </c>
    </row>
    <row r="17" spans="1:42" ht="16">
      <c r="A17" s="59">
        <v>45569</v>
      </c>
      <c r="B17" s="58">
        <v>199190</v>
      </c>
      <c r="D17" s="10" t="s">
        <v>133</v>
      </c>
      <c r="E17" s="11">
        <v>10</v>
      </c>
      <c r="F17" s="39">
        <v>425557</v>
      </c>
      <c r="G17" s="39">
        <v>5996165</v>
      </c>
      <c r="H17" s="11" t="s">
        <v>138</v>
      </c>
      <c r="I17" s="11" t="s">
        <v>139</v>
      </c>
      <c r="K17" s="11" t="s">
        <v>97</v>
      </c>
      <c r="L17" s="10" t="s">
        <v>104</v>
      </c>
      <c r="M17" s="10" t="s">
        <v>105</v>
      </c>
      <c r="N17" s="88">
        <v>1.85</v>
      </c>
      <c r="O17" s="88">
        <v>28</v>
      </c>
      <c r="P17" s="86" t="s">
        <v>106</v>
      </c>
      <c r="Q17" s="89"/>
      <c r="R17" s="86" t="s">
        <v>106</v>
      </c>
      <c r="S17" s="86" t="s">
        <v>106</v>
      </c>
      <c r="T17" s="87"/>
      <c r="U17" s="88">
        <v>3</v>
      </c>
      <c r="V17" s="86">
        <v>1</v>
      </c>
      <c r="W17" s="88">
        <v>0.2</v>
      </c>
      <c r="X17" s="86" t="s">
        <v>106</v>
      </c>
      <c r="Y17" s="88">
        <v>3</v>
      </c>
      <c r="Z17" s="88">
        <v>5.22</v>
      </c>
      <c r="AA17" s="86">
        <v>1.25</v>
      </c>
      <c r="AB17" s="10" t="s">
        <v>106</v>
      </c>
      <c r="AC17" s="10" t="s">
        <v>106</v>
      </c>
      <c r="AD17" s="86" t="s">
        <v>107</v>
      </c>
      <c r="AE17" s="86"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86" t="s">
        <v>160</v>
      </c>
      <c r="AO17" s="88">
        <v>15</v>
      </c>
      <c r="AP17" s="10" t="s">
        <v>156</v>
      </c>
    </row>
    <row r="18" spans="1:42" ht="16">
      <c r="A18" s="59">
        <v>45572</v>
      </c>
      <c r="B18" s="58">
        <v>199256</v>
      </c>
      <c r="D18" s="10" t="s">
        <v>133</v>
      </c>
      <c r="E18" s="11">
        <v>10</v>
      </c>
      <c r="F18" s="39">
        <v>582279</v>
      </c>
      <c r="G18" s="39">
        <v>5975090</v>
      </c>
      <c r="H18" s="11" t="s">
        <v>140</v>
      </c>
      <c r="I18" s="11" t="s">
        <v>126</v>
      </c>
      <c r="K18" s="11" t="s">
        <v>97</v>
      </c>
      <c r="L18" s="10" t="s">
        <v>104</v>
      </c>
      <c r="M18" s="10" t="s">
        <v>119</v>
      </c>
      <c r="N18" s="88">
        <v>5.5</v>
      </c>
      <c r="O18" s="88">
        <v>30</v>
      </c>
      <c r="P18" s="86" t="s">
        <v>106</v>
      </c>
      <c r="Q18" s="87"/>
      <c r="R18" s="86" t="s">
        <v>106</v>
      </c>
      <c r="S18" s="86" t="s">
        <v>106</v>
      </c>
      <c r="T18" s="89"/>
      <c r="U18" s="88">
        <v>1.5</v>
      </c>
      <c r="V18" s="86">
        <v>0.7</v>
      </c>
      <c r="W18" s="88">
        <v>2</v>
      </c>
      <c r="X18" s="86" t="s">
        <v>106</v>
      </c>
      <c r="Y18" s="88">
        <v>1</v>
      </c>
      <c r="Z18" s="88">
        <v>19</v>
      </c>
      <c r="AA18" s="86">
        <v>0.5</v>
      </c>
      <c r="AB18" s="10" t="s">
        <v>106</v>
      </c>
      <c r="AC18" s="10" t="s">
        <v>106</v>
      </c>
      <c r="AD18" s="86" t="s">
        <v>107</v>
      </c>
      <c r="AE18" s="86"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86" t="s">
        <v>160</v>
      </c>
      <c r="AO18" s="88">
        <v>24</v>
      </c>
      <c r="AP18" s="10" t="s">
        <v>157</v>
      </c>
    </row>
    <row r="19" spans="1:42" ht="32">
      <c r="A19" s="59">
        <v>45550</v>
      </c>
      <c r="B19" s="58">
        <v>199173</v>
      </c>
      <c r="D19" s="10" t="s">
        <v>141</v>
      </c>
      <c r="E19" s="11">
        <v>10</v>
      </c>
      <c r="F19" s="39">
        <v>398923</v>
      </c>
      <c r="G19" s="39">
        <v>5996362</v>
      </c>
      <c r="H19" s="11" t="s">
        <v>113</v>
      </c>
      <c r="I19" s="11" t="s">
        <v>142</v>
      </c>
      <c r="J19" s="33"/>
      <c r="K19" s="11" t="s">
        <v>97</v>
      </c>
      <c r="L19" s="10" t="s">
        <v>104</v>
      </c>
      <c r="M19" s="10" t="s">
        <v>105</v>
      </c>
      <c r="N19" s="88">
        <v>0.9</v>
      </c>
      <c r="O19" s="88">
        <v>10.5</v>
      </c>
      <c r="P19" s="86" t="s">
        <v>106</v>
      </c>
      <c r="Q19" s="87"/>
      <c r="R19" s="86" t="s">
        <v>106</v>
      </c>
      <c r="S19" s="86" t="s">
        <v>106</v>
      </c>
      <c r="T19" s="89"/>
      <c r="U19" s="88">
        <v>1</v>
      </c>
      <c r="V19" s="86">
        <v>0.35</v>
      </c>
      <c r="W19" s="88">
        <v>0.7</v>
      </c>
      <c r="X19" s="86" t="s">
        <v>106</v>
      </c>
      <c r="Y19" s="88">
        <v>2.5</v>
      </c>
      <c r="Z19" s="88">
        <v>3</v>
      </c>
      <c r="AA19" s="86">
        <v>4</v>
      </c>
      <c r="AB19" s="10" t="s">
        <v>121</v>
      </c>
      <c r="AC19" s="10" t="s">
        <v>121</v>
      </c>
      <c r="AD19" s="86" t="s">
        <v>107</v>
      </c>
      <c r="AE19" s="86"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86" t="s">
        <v>160</v>
      </c>
      <c r="AO19" s="88">
        <v>15</v>
      </c>
      <c r="AP19" s="10" t="s">
        <v>158</v>
      </c>
    </row>
    <row r="20" spans="1:42" ht="16">
      <c r="A20" s="59">
        <v>45569</v>
      </c>
      <c r="B20" s="58">
        <v>199328</v>
      </c>
      <c r="D20" s="10" t="s">
        <v>100</v>
      </c>
      <c r="E20" s="11">
        <v>10</v>
      </c>
      <c r="F20" s="39">
        <v>388380</v>
      </c>
      <c r="G20" s="39">
        <v>5996779</v>
      </c>
      <c r="H20" s="10" t="s">
        <v>101</v>
      </c>
      <c r="I20" s="11" t="s">
        <v>143</v>
      </c>
      <c r="J20" s="33"/>
      <c r="K20" s="11" t="s">
        <v>127</v>
      </c>
      <c r="L20" s="10" t="s">
        <v>104</v>
      </c>
      <c r="M20" s="10" t="s">
        <v>105</v>
      </c>
      <c r="N20" s="88">
        <v>1.4</v>
      </c>
      <c r="O20" s="88">
        <v>13</v>
      </c>
      <c r="P20" s="86" t="s">
        <v>121</v>
      </c>
      <c r="Q20" s="86">
        <v>0.35</v>
      </c>
      <c r="R20" s="86" t="s">
        <v>121</v>
      </c>
      <c r="S20" s="86" t="s">
        <v>121</v>
      </c>
      <c r="T20" s="86">
        <v>100</v>
      </c>
      <c r="U20" s="86">
        <v>1.5</v>
      </c>
      <c r="V20" s="86">
        <v>0</v>
      </c>
      <c r="W20" s="86">
        <v>0.1</v>
      </c>
      <c r="X20" s="86" t="s">
        <v>106</v>
      </c>
      <c r="Y20" s="86">
        <v>0.5</v>
      </c>
      <c r="Z20" s="86">
        <v>2</v>
      </c>
      <c r="AA20" s="86">
        <v>1.5</v>
      </c>
      <c r="AB20" s="10" t="s">
        <v>106</v>
      </c>
      <c r="AC20" s="10" t="s">
        <v>106</v>
      </c>
      <c r="AD20" s="86" t="s">
        <v>107</v>
      </c>
      <c r="AE20" s="86"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N20" s="86"/>
      <c r="AO20" s="86"/>
      <c r="AP20" s="10" t="s">
        <v>159</v>
      </c>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LHqO65Hb8eUpMomjAHxSNDBjFESrz7vZSD82rDva6JRkfS/2S/AhPs8joTm8OkHe9mELcSKWhDVt9E8d0cVpg==" saltValue="lEp+r500dik4cFbZIyeIV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8">
    <dataValidation type="list" allowBlank="1" showInputMessage="1" showErrorMessage="1" sqref="AM5284:AM65536" xr:uid="{00000000-0002-0000-0200-000000000000}">
      <formula1>"Passable, Potential, Barrier, Unkown"</formula1>
    </dataValidation>
    <dataValidation type="list" allowBlank="1" showInputMessage="1" showErrorMessage="1" sqref="M2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28ECFA10-DEDA-CE4C-85BB-ADCE1D0CD416}">
      <formula1>"Round Culvert,Oval Culvert,Concrete Box"</formula1>
    </dataValidation>
    <dataValidation type="decimal" allowBlank="1" showInputMessage="1" showErrorMessage="1" errorTitle="Invalid Diamter or Span" error="The Diameter or Span entered is invalid. Diameter or Span must be &gt; 0 and &lt; 300" sqref="N5" xr:uid="{3194EB84-1C6A-EF49-B94A-BF6FD4313C96}">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xr:uid="{4AC860A5-C4F3-AA4B-B3BE-164F439015CF}">
      <formula1>0.01</formula1>
      <formula2>1.09</formula2>
    </dataValidation>
    <dataValidation type="list" allowBlank="1" showInputMessage="1" showErrorMessage="1" errorTitle="Invalid value entered" error="The crossing subtype is not compatible with a crossing type of Closed Bottom Structure" sqref="M6" xr:uid="{CBD5F981-443F-1948-B123-679738B64DF1}">
      <formula1>"Round Culvert,Oval Culvert,Concrete Box"</formula1>
    </dataValidation>
    <dataValidation type="decimal" allowBlank="1" showInputMessage="1" showErrorMessage="1" errorTitle="Invalid Diamter or Span" error="The Diameter or Span entered is invalid. Diameter or Span must be &gt; 0 and &lt; 300" sqref="N6" xr:uid="{06F0FEBE-FC14-0645-A9F8-9EAA3ABB14F9}">
      <formula1>0.01</formula1>
      <formula2>300</formula2>
    </dataValidation>
    <dataValidation type="decimal" allowBlank="1" showInputMessage="1" showErrorMessage="1" errorTitle="Invalid value entered" error="The Average Depth Embededdment you entered is invalid. The Average Depth Embededdment must be &lt;= 1.14 and &gt;= 0.01" sqref="Q6" xr:uid="{1189CF32-76B6-DF44-97E1-BAF84078C579}">
      <formula1>0.01</formula1>
      <formula2>1.14</formula2>
    </dataValidation>
    <dataValidation type="list" allowBlank="1" showInputMessage="1" showErrorMessage="1" errorTitle="Invalid value entered" error="The crossing subtype is not compatible with a crossing type of Closed Bottom Structure" sqref="M7" xr:uid="{8CFB1513-30AA-A842-A11B-AFECC5541CA2}">
      <formula1>"Round Culvert,Oval Culvert,Concrete Box"</formula1>
    </dataValidation>
    <dataValidation type="decimal" allowBlank="1" showInputMessage="1" showErrorMessage="1" errorTitle="Invalid Diamter or Span" error="The Diameter or Span entered is invalid. Diameter or Span must be &gt; 0 and &lt; 300" sqref="N7" xr:uid="{BE9095E7-C2AC-A84E-92FE-61FF9303F98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7" xr:uid="{5888FA0F-798B-2A47-BA25-DF77CA4ED4C5}">
      <formula1>0.01</formula1>
      <formula2>1.49</formula2>
    </dataValidation>
    <dataValidation type="list" allowBlank="1" showInputMessage="1" showErrorMessage="1" errorTitle="Invalid value entered" error="The crossing subtype is not compatible with a crossing type of Closed Bottom Structure" sqref="M8" xr:uid="{8AFF0F41-0DA2-994C-82AD-1D2E94910719}">
      <formula1>"Round Culvert,Oval Culvert,Concrete Box"</formula1>
    </dataValidation>
    <dataValidation type="decimal" allowBlank="1" showInputMessage="1" showErrorMessage="1" errorTitle="Invalid Diamter or Span" error="The Diameter or Span entered is invalid. Diameter or Span must be &gt; 0 and &lt; 300" sqref="N8" xr:uid="{C10EFE94-B31D-E347-9E82-E043BEBC4782}">
      <formula1>0.01</formula1>
      <formula2>300</formula2>
    </dataValidation>
    <dataValidation type="decimal" allowBlank="1" showInputMessage="1" showErrorMessage="1" errorTitle="Invalid value entered" error="The Average Depth Embededdment you entered is invalid. The Average Depth Embededdment must be &lt;= 5.59 and &gt;= 0.01" sqref="Q8" xr:uid="{FE29781F-3E7A-6C42-AAF2-177EF8EA9EA9}">
      <formula1>0.01</formula1>
      <formula2>5.59</formula2>
    </dataValidation>
    <dataValidation type="list" allowBlank="1" showInputMessage="1" showErrorMessage="1" errorTitle="Invalid value entered" error="The crossing subtype is not compatible with a crossing type of Closed Bottom Structure" sqref="M9" xr:uid="{68587296-5F49-134C-85AD-D3EBD804DF92}">
      <formula1>"Round Culvert,Oval Culvert,Concrete Box"</formula1>
    </dataValidation>
    <dataValidation type="decimal" allowBlank="1" showInputMessage="1" showErrorMessage="1" errorTitle="Invalid Diamter or Span" error="The Diameter or Span entered is invalid. Diameter or Span must be &gt; 0 and &lt; 300" sqref="N9" xr:uid="{03F6B26A-EA6A-1A40-AE95-02668CC04BE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 xr:uid="{AE251385-ADE0-C24B-A38A-D1C23B9B8C8A}">
      <formula1>0.01</formula1>
      <formula2>1.19</formula2>
    </dataValidation>
    <dataValidation type="list" allowBlank="1" showInputMessage="1" showErrorMessage="1" errorTitle="Invalid value entered" error="The crossing subtype is not compatible with a crossing type of Closed Bottom Structure" sqref="M10" xr:uid="{2773F1BB-2A15-A743-9888-72750B444631}">
      <formula1>"Round Culvert,Oval Culvert,Concrete Box"</formula1>
    </dataValidation>
    <dataValidation type="decimal" allowBlank="1" showInputMessage="1" showErrorMessage="1" errorTitle="Invalid Diamter or Span" error="The Diameter or Span entered is invalid. Diameter or Span must be &gt; 0 and &lt; 300" sqref="N10" xr:uid="{B587E470-3F2E-7F44-A4CD-17D1D99177C7}">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0" xr:uid="{A2013F40-ADE8-D64A-B814-B86F2C5F0557}">
      <formula1>0.01</formula1>
      <formula2>1.09</formula2>
    </dataValidation>
    <dataValidation type="list" allowBlank="1" showInputMessage="1" showErrorMessage="1" errorTitle="Invalid value entered" error="The crossing subtype is not compatible with a crossing type of Closed Bottom Structure" sqref="M11" xr:uid="{57246CA8-9194-4E4E-88C3-5F3C9DB84D44}">
      <formula1>"Round Culvert,Oval Culvert,Concrete Box"</formula1>
    </dataValidation>
    <dataValidation type="decimal" allowBlank="1" showInputMessage="1" showErrorMessage="1" errorTitle="Invalid Diamter or Span" error="The Diameter or Span entered is invalid. Diameter or Span must be &gt; 0 and &lt; 300" sqref="N11" xr:uid="{BFADB4A9-6B12-254C-95B4-B96948A5A51F}">
      <formula1>0.01</formula1>
      <formula2>300</formula2>
    </dataValidation>
    <dataValidation type="decimal" allowBlank="1" showInputMessage="1" showErrorMessage="1" errorTitle="Invalid value entered" error="The Average Depth Embededdment you entered is invalid. The Average Depth Embededdment must be &lt;= 2.29 and &gt;= 0.01" sqref="Q11" xr:uid="{A6FACEEF-5097-C349-A50A-422B06FC9BC5}">
      <formula1>0.01</formula1>
      <formula2>2.29</formula2>
    </dataValidation>
    <dataValidation type="list" allowBlank="1" showInputMessage="1" showErrorMessage="1" errorTitle="Invalid value entered" error="The crossing subtype is not compatible with a crossing type of Closed Bottom Structure" sqref="M12" xr:uid="{EFF44068-83A6-F64F-8B7B-9DB98FD715AE}">
      <formula1>"Round Culvert,Oval Culvert,Concrete Box"</formula1>
    </dataValidation>
    <dataValidation type="decimal" allowBlank="1" showInputMessage="1" showErrorMessage="1" errorTitle="Invalid Diamter or Span" error="The Diameter or Span entered is invalid. Diameter or Span must be &gt; 0 and &lt; 300" sqref="N12" xr:uid="{151EFCEB-EEE5-B344-86C8-09087B8FBBC8}">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 xr:uid="{E745D199-D4E2-FA47-A810-7816050790B4}">
      <formula1>0.01</formula1>
      <formula2>2.49</formula2>
    </dataValidation>
    <dataValidation type="list" allowBlank="1" showInputMessage="1" showErrorMessage="1" errorTitle="Invalid value entered" error="The crossing subtype is not compatible with a crossing type of Closed Bottom Structure" sqref="M13" xr:uid="{A06DDEBC-F3BF-ED4B-8002-61159A495F30}">
      <formula1>"Round Culvert,Oval Culvert,Concrete Box"</formula1>
    </dataValidation>
    <dataValidation type="decimal" allowBlank="1" showInputMessage="1" showErrorMessage="1" errorTitle="Invalid Diamter or Span" error="The Diameter or Span entered is invalid. Diameter or Span must be &gt; 0 and &lt; 300" sqref="N13" xr:uid="{72801925-266C-F24A-98FA-FE3A694E6F17}">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13" xr:uid="{4972B8D6-9C2C-DA41-A163-D593A1B3910A}">
      <formula1>0.01</formula1>
      <formula2>3.99</formula2>
    </dataValidation>
    <dataValidation type="list" allowBlank="1" showInputMessage="1" showErrorMessage="1" errorTitle="Invalid value entered" error="The crossing subtype is not compatible with a crossing type of Closed Bottom Structure" sqref="M14" xr:uid="{EA6E79B4-BFFD-D647-9155-54C71068E372}">
      <formula1>"Round Culvert,Oval Culvert,Concrete Box"</formula1>
    </dataValidation>
    <dataValidation type="decimal" allowBlank="1" showInputMessage="1" showErrorMessage="1" errorTitle="Invalid Diamter or Span" error="The Diameter or Span entered is invalid. Diameter or Span must be &gt; 0 and &lt; 300" sqref="N14" xr:uid="{328356E9-E48D-C043-BF98-F792ECFADE5C}">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4" xr:uid="{DE55311E-1DA9-964E-A052-E6AC7F514E59}">
      <formula1>0.01</formula1>
      <formula2>1.39</formula2>
    </dataValidation>
    <dataValidation type="list" allowBlank="1" showInputMessage="1" showErrorMessage="1" errorTitle="Invalid value entered" error="The crossing subtype is not compatible with a crossing type of Closed Bottom Structure" sqref="M15" xr:uid="{1AA8A469-44B9-D348-BC1E-D053C83641A4}">
      <formula1>"Round Culvert,Oval Culvert,Concrete Box"</formula1>
    </dataValidation>
    <dataValidation type="decimal" allowBlank="1" showInputMessage="1" showErrorMessage="1" errorTitle="Invalid Diamter or Span" error="The Diameter or Span entered is invalid. Diameter or Span must be &gt; 0 and &lt; 300" sqref="N15" xr:uid="{2C95E974-9B93-9C46-9AA4-E82300825C09}">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5" xr:uid="{7BFE2439-53FD-7843-A470-2BE26BEC7B0B}">
      <formula1>0.01</formula1>
      <formula2>1.04</formula2>
    </dataValidation>
    <dataValidation type="list" allowBlank="1" showInputMessage="1" showErrorMessage="1" errorTitle="Invalid value entered" error="The crossing subtype is not compatible with a crossing type of Closed Bottom Structure" sqref="M16" xr:uid="{2DA205C7-F1F6-8C40-99A2-6EFF0C846C72}">
      <formula1>"Round Culvert,Oval Culvert,Concrete Box"</formula1>
    </dataValidation>
    <dataValidation type="decimal" allowBlank="1" showInputMessage="1" showErrorMessage="1" errorTitle="Invalid Diamter or Span" error="The Diameter or Span entered is invalid. Diameter or Span must be &gt; 0 and &lt; 300" sqref="N16" xr:uid="{8E730EF0-2F85-CF4A-8B8C-64A4E6A99FCB}">
      <formula1>0.01</formula1>
      <formula2>300</formula2>
    </dataValidation>
    <dataValidation type="decimal" allowBlank="1" showInputMessage="1" showErrorMessage="1" errorTitle="Invalid value entered" error="The Average Depth Embededdment you entered is invalid. The Average Depth Embededdment must be &lt;= 3.19 and &gt;= 0.01" sqref="Q16" xr:uid="{5B9B894F-6C68-6B46-80CA-3EF605BA9200}">
      <formula1>0.01</formula1>
      <formula2>3.19</formula2>
    </dataValidation>
    <dataValidation type="list" allowBlank="1" showInputMessage="1" showErrorMessage="1" errorTitle="Invalid value entered" error="The crossing subtype is not compatible with a crossing type of Closed Bottom Structure" sqref="M17" xr:uid="{EAEFEDC9-307D-8945-80A2-CB9484E7C02A}">
      <formula1>"Round Culvert,Oval Culvert,Concrete Box"</formula1>
    </dataValidation>
    <dataValidation type="decimal" allowBlank="1" showInputMessage="1" showErrorMessage="1" errorTitle="Invalid Diamter or Span" error="The Diameter or Span entered is invalid. Diameter or Span must be &gt; 0 and &lt; 300" sqref="N17" xr:uid="{C2A4C012-C756-0D45-85EE-130887E9A422}">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17" xr:uid="{19CE2127-77FD-3441-9E73-0F1FD84BE40A}">
      <formula1>0.01</formula1>
      <formula2>1.84</formula2>
    </dataValidation>
    <dataValidation type="list" allowBlank="1" showInputMessage="1" showErrorMessage="1" errorTitle="Invalid value entered" error="The crossing subtype is not compatible with a crossing type of Closed Bottom Structure" sqref="M18" xr:uid="{6EC95F23-D4CA-934F-B5F3-9BF0359E6C5E}">
      <formula1>"Round Culvert,Oval Culvert,Concrete Box"</formula1>
    </dataValidation>
    <dataValidation type="decimal" allowBlank="1" showInputMessage="1" showErrorMessage="1" errorTitle="Invalid Diamter or Span" error="The Diameter or Span entered is invalid. Diameter or Span must be &gt; 0 and &lt; 300" sqref="N18" xr:uid="{BF6AC598-3993-374E-8796-D026A02414A8}">
      <formula1>0.01</formula1>
      <formula2>300</formula2>
    </dataValidation>
    <dataValidation type="decimal" allowBlank="1" showInputMessage="1" showErrorMessage="1" errorTitle="Invalid value entered" error="The Average Depth Embededdment you entered is invalid. The Average Depth Embededdment must be &lt;= 5.49 and &gt;= 0.01" sqref="Q18" xr:uid="{45FBE506-007F-B641-95C6-00B0E53F3333}">
      <formula1>0.01</formula1>
      <formula2>5.49</formula2>
    </dataValidation>
    <dataValidation type="list" allowBlank="1" showInputMessage="1" showErrorMessage="1" errorTitle="Invalid value entered" error="The crossing subtype is not compatible with a crossing type of Closed Bottom Structure" sqref="M19" xr:uid="{6D9E06E3-C239-4A4A-B67B-2445FA32027D}">
      <formula1>"Round Culvert,Oval Culvert,Concrete Box"</formula1>
    </dataValidation>
    <dataValidation type="decimal" allowBlank="1" showInputMessage="1" showErrorMessage="1" errorTitle="Invalid Diamter or Span" error="The Diameter or Span entered is invalid. Diameter or Span must be &gt; 0 and &lt; 300" sqref="N19" xr:uid="{6006D55A-8931-B24A-A774-3037F9053BB9}">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9" xr:uid="{768B46DE-224F-204C-8D12-C33EBDC4AD5E}">
      <formula1>0.01</formula1>
      <formula2>0.89</formula2>
    </dataValidation>
    <dataValidation type="list" allowBlank="1" showInputMessage="1" showErrorMessage="1" errorTitle="Invalid value entered" error="The crossing subtype is not compatible with a crossing type of Closed Bottom Structure" sqref="M20" xr:uid="{AB21D4F9-F4E7-7E4B-BB43-32EF9721AE85}">
      <formula1>"Round Culvert,Oval Culvert,Concrete Box"</formula1>
    </dataValidation>
    <dataValidation type="decimal" allowBlank="1" showInputMessage="1" showErrorMessage="1" errorTitle="Invalid Diamter or Span" error="The Diameter or Span entered is invalid. Diameter or Span must be &gt; 0 and &lt; 300" sqref="N20" xr:uid="{636AF607-DE9A-DC45-B8A7-399FD8C99FD8}">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20" xr:uid="{581B5740-A07F-E245-9FD3-5AEF6181F20E}">
      <formula1>0.01</formula1>
      <formula2>1.39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2025-02-26T01:25:36Z</dcterms:modified>
</cp:coreProperties>
</file>